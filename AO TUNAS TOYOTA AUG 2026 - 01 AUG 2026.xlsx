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emf" ContentType="image/x-emf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11.svg" ContentType="image/svg+xml"/>
  <Override PartName="/xl/media/image9.svg" ContentType="image/sv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4000" windowHeight="9480" firstSheet="1" activeTab="1"/>
  </bookViews>
  <sheets>
    <sheet name="How To" sheetId="40" r:id="rId1"/>
    <sheet name="AO Report(0)" sheetId="26" r:id="rId2"/>
    <sheet name="Remaining Target" sheetId="43" r:id="rId3"/>
    <sheet name="by MDL" sheetId="27" state="hidden" r:id="rId4"/>
    <sheet name="OS" sheetId="1" r:id="rId5"/>
    <sheet name="Pvt OS" sheetId="4" r:id="rId6"/>
    <sheet name="Aging" sheetId="34" r:id="rId7"/>
    <sheet name="Reason Unmatch" sheetId="35" r:id="rId8"/>
    <sheet name="Action Plan" sheetId="36" r:id="rId9"/>
    <sheet name="List" sheetId="41" r:id="rId10"/>
    <sheet name="List Model" sheetId="42" r:id="rId11"/>
  </sheets>
  <definedNames>
    <definedName name="_xlnm._FilterDatabase" localSheetId="3" hidden="1">'by MDL'!$P$20:$R$31</definedName>
    <definedName name="_xlnm._FilterDatabase" localSheetId="4" hidden="1">OS!$C$5:$AL$2814</definedName>
    <definedName name="_xlnm._FilterDatabase" localSheetId="10" hidden="1">'List Model'!$A$1:$E$2670</definedName>
    <definedName name="_\a" localSheetId="1">#REF!</definedName>
    <definedName name="_\b" localSheetId="1">#REF!</definedName>
    <definedName name="_\c" localSheetId="1">#REF!</definedName>
    <definedName name="_\d" localSheetId="1">#REF!</definedName>
    <definedName name="_\g" localSheetId="1">#REF!</definedName>
    <definedName name="_\p" localSheetId="1">#REF!</definedName>
    <definedName name="_\r" localSheetId="1">#REF!</definedName>
    <definedName name="_\t" localSheetId="1">#REF!</definedName>
    <definedName name="_\x" localSheetId="1">#REF!</definedName>
    <definedName name="__\a" localSheetId="3">#REF!</definedName>
    <definedName name="__\b" localSheetId="3">#REF!</definedName>
    <definedName name="__\c" localSheetId="3">#REF!</definedName>
    <definedName name="__\d" localSheetId="3">#REF!</definedName>
    <definedName name="__\g" localSheetId="3">#REF!</definedName>
    <definedName name="__\p" localSheetId="3">#REF!</definedName>
    <definedName name="__\r" localSheetId="3">#REF!</definedName>
    <definedName name="__\t" localSheetId="3">#REF!</definedName>
    <definedName name="__\x" localSheetId="3">#REF!</definedName>
    <definedName name="___\a">#REF!</definedName>
    <definedName name="___\b">#REF!</definedName>
    <definedName name="___\c">#REF!</definedName>
    <definedName name="___\d">#REF!</definedName>
    <definedName name="___\g">#REF!</definedName>
    <definedName name="___\p">#REF!</definedName>
    <definedName name="___\r">#REF!</definedName>
    <definedName name="___\t">#REF!</definedName>
    <definedName name="___\x">#REF!</definedName>
    <definedName name="AwalES" localSheetId="1">#REF!</definedName>
    <definedName name="AwalES" localSheetId="3">#REF!</definedName>
    <definedName name="AwalES">#REF!</definedName>
    <definedName name="CACCORD" localSheetId="1">#REF!</definedName>
    <definedName name="CACCORD" localSheetId="3">#REF!</definedName>
    <definedName name="CACCORD">#REF!</definedName>
    <definedName name="CBENZ" localSheetId="1">#REF!</definedName>
    <definedName name="CBENZ" localSheetId="3">#REF!</definedName>
    <definedName name="CBENZ">#REF!</definedName>
    <definedName name="CBMW_520" localSheetId="1">#REF!</definedName>
    <definedName name="CBMW_520" localSheetId="3">#REF!</definedName>
    <definedName name="CBMW_520">#REF!</definedName>
    <definedName name="CCAKRA" localSheetId="1">#REF!</definedName>
    <definedName name="CCAKRA" localSheetId="3">#REF!</definedName>
    <definedName name="CCAKRA">#REF!</definedName>
    <definedName name="CCEFIRO" localSheetId="1">#REF!</definedName>
    <definedName name="CCEFIRO" localSheetId="3">#REF!</definedName>
    <definedName name="CCEFIRO">#REF!</definedName>
    <definedName name="CCHARADE" localSheetId="1">#REF!</definedName>
    <definedName name="CCHARADE" localSheetId="3">#REF!</definedName>
    <definedName name="CCHARADE">#REF!</definedName>
    <definedName name="CCITY" localSheetId="1">#REF!</definedName>
    <definedName name="CCITY" localSheetId="3">#REF!</definedName>
    <definedName name="CCITY">#REF!</definedName>
    <definedName name="CCIVIC" localSheetId="1">#REF!</definedName>
    <definedName name="CCIVIC" localSheetId="3">#REF!</definedName>
    <definedName name="CCIVIC">#REF!</definedName>
    <definedName name="CCOROLLA" localSheetId="1">#REF!</definedName>
    <definedName name="CCOROLLA" localSheetId="3">#REF!</definedName>
    <definedName name="CCOROLLA">#REF!</definedName>
    <definedName name="CCORONA" localSheetId="1">#REF!</definedName>
    <definedName name="CCORONA" localSheetId="3">#REF!</definedName>
    <definedName name="CCORONA">#REF!</definedName>
    <definedName name="CCROWN" localSheetId="1">#REF!</definedName>
    <definedName name="CCROWN" localSheetId="3">#REF!</definedName>
    <definedName name="CCROWN">#REF!</definedName>
    <definedName name="CELANTRA" localSheetId="1">#REF!</definedName>
    <definedName name="CELANTRA" localSheetId="3">#REF!</definedName>
    <definedName name="CELANTRA">#REF!</definedName>
    <definedName name="CETERNA" localSheetId="1">#REF!</definedName>
    <definedName name="CETERNA" localSheetId="3">#REF!</definedName>
    <definedName name="CETERNA">#REF!</definedName>
    <definedName name="CFORSA" localSheetId="1">#REF!</definedName>
    <definedName name="CFORSA" localSheetId="3">#REF!</definedName>
    <definedName name="CFORSA">#REF!</definedName>
    <definedName name="CLANCER" localSheetId="1">#REF!</definedName>
    <definedName name="CLANCER" localSheetId="3">#REF!</definedName>
    <definedName name="CLANCER">#REF!</definedName>
    <definedName name="CLASER" localSheetId="1">#REF!</definedName>
    <definedName name="CLASER" localSheetId="3">#REF!</definedName>
    <definedName name="CLASER">#REF!</definedName>
    <definedName name="CLPC" localSheetId="1">#REF!</definedName>
    <definedName name="CLPC" localSheetId="3">#REF!</definedName>
    <definedName name="CLPC">#REF!</definedName>
    <definedName name="CLUXURY" localSheetId="1">#REF!</definedName>
    <definedName name="CLUXURY" localSheetId="3">#REF!</definedName>
    <definedName name="CLUXURY">#REF!</definedName>
    <definedName name="CMEDIUM" localSheetId="1">#REF!</definedName>
    <definedName name="CMEDIUM" localSheetId="3">#REF!</definedName>
    <definedName name="CMEDIUM">#REF!</definedName>
    <definedName name="CMINI" localSheetId="1">#REF!</definedName>
    <definedName name="CMINI" localSheetId="3">#REF!</definedName>
    <definedName name="CMINI">#REF!</definedName>
    <definedName name="CP_405" localSheetId="1">#REF!</definedName>
    <definedName name="CP_405" localSheetId="3">#REF!</definedName>
    <definedName name="CP_405">#REF!</definedName>
    <definedName name="CSMALL" localSheetId="1">#REF!</definedName>
    <definedName name="CSMALL" localSheetId="3">#REF!</definedName>
    <definedName name="CSMALL">#REF!</definedName>
    <definedName name="CSTARLET" localSheetId="1">#REF!</definedName>
    <definedName name="CSTARLET" localSheetId="3">#REF!</definedName>
    <definedName name="CSTARLET">#REF!</definedName>
    <definedName name="CSUNNY" localSheetId="1">#REF!</definedName>
    <definedName name="CSUNNY" localSheetId="3">#REF!</definedName>
    <definedName name="CSUNNY">#REF!</definedName>
    <definedName name="CUMM323" localSheetId="1">#REF!</definedName>
    <definedName name="CUMM323" localSheetId="3">#REF!</definedName>
    <definedName name="CUMM323">#REF!</definedName>
    <definedName name="CUMM626" localSheetId="1">#REF!</definedName>
    <definedName name="CUMM626" localSheetId="3">#REF!</definedName>
    <definedName name="CUMM626">#REF!</definedName>
    <definedName name="CVOLVO" localSheetId="1">#REF!</definedName>
    <definedName name="CVOLVO" localSheetId="3">#REF!</definedName>
    <definedName name="CVOLVO">#REF!</definedName>
    <definedName name="DATA_GRAPH" localSheetId="1">#REF!</definedName>
    <definedName name="DATA_GRAPH" localSheetId="3">#REF!</definedName>
    <definedName name="DATA_GRAPH">#REF!</definedName>
    <definedName name="Estimasi">#REF!</definedName>
    <definedName name="evelyne" localSheetId="1">#REF!</definedName>
    <definedName name="evelyne" localSheetId="3">#REF!</definedName>
    <definedName name="evelyne">#REF!</definedName>
    <definedName name="HTT30000_DAT" localSheetId="1">#REF!</definedName>
    <definedName name="HTT30000_DAT" localSheetId="3">#REF!</definedName>
    <definedName name="HTT30000_DAT">#REF!</definedName>
    <definedName name="jojo" localSheetId="1">#REF!</definedName>
    <definedName name="jojo" localSheetId="3">#REF!</definedName>
    <definedName name="jojo">#REF!</definedName>
    <definedName name="Market_Performance_in_2009" localSheetId="1">#REF!</definedName>
    <definedName name="Market_Performance_in_2009" localSheetId="3">#REF!</definedName>
    <definedName name="Market_Performance_in_2009">#REF!</definedName>
    <definedName name="_xlnm.Print_Area" localSheetId="1">'AO Report(0)'!$A$1:$AL$69</definedName>
    <definedName name="_xlnm.Print_Area" localSheetId="3">#REF!</definedName>
    <definedName name="_xlnm.Print_Area">#REF!</definedName>
    <definedName name="Print_Area_MI" localSheetId="1">#REF!</definedName>
    <definedName name="Print_Area_MI" localSheetId="3">#REF!</definedName>
    <definedName name="Print_Area_MI">#REF!</definedName>
    <definedName name="PRINT_AREA_MI1" localSheetId="1">#REF!</definedName>
    <definedName name="PRINT_AREA_MI1" localSheetId="3">#REF!</definedName>
    <definedName name="PRINT_AREA_MI1">#REF!</definedName>
    <definedName name="Print_Area10" localSheetId="1">#REF!</definedName>
    <definedName name="Print_Area10" localSheetId="3">#REF!</definedName>
    <definedName name="Print_Area10">#REF!</definedName>
    <definedName name="_xlnm.Print_Titles">#REF!</definedName>
    <definedName name="PRINT_TITLES_MI">#REF!</definedName>
    <definedName name="Print_titles_mi1" localSheetId="1">#REF!</definedName>
    <definedName name="Print_titles_mi1" localSheetId="3">#REF!</definedName>
    <definedName name="Print_titles_mi1">#REF!</definedName>
    <definedName name="Print_titles_mibudi" localSheetId="1">#REF!</definedName>
    <definedName name="Print_titles_mibudi" localSheetId="3">#REF!</definedName>
    <definedName name="Print_titles_mibudi">#REF!</definedName>
    <definedName name="Q_03123" localSheetId="1">#REF!</definedName>
    <definedName name="Q_03123" localSheetId="3">#REF!</definedName>
    <definedName name="Q_03123">#REF!</definedName>
    <definedName name="Q_03223" localSheetId="1">#REF!</definedName>
    <definedName name="Q_03223" localSheetId="3">#REF!</definedName>
    <definedName name="Q_03223">#REF!</definedName>
    <definedName name="screen139" localSheetId="1">#REF!</definedName>
    <definedName name="screen139" localSheetId="3">#REF!</definedName>
    <definedName name="screen139">#REF!</definedName>
    <definedName name="screen140" localSheetId="1">#REF!</definedName>
    <definedName name="screen140" localSheetId="3">#REF!</definedName>
    <definedName name="screen140">#REF!</definedName>
    <definedName name="screen141" localSheetId="1">#REF!</definedName>
    <definedName name="screen141" localSheetId="3">#REF!</definedName>
    <definedName name="screen141">#REF!</definedName>
    <definedName name="screen142" localSheetId="1">#REF!</definedName>
    <definedName name="screen142" localSheetId="3">#REF!</definedName>
    <definedName name="screen142">#REF!</definedName>
    <definedName name="screen143" localSheetId="1">#REF!</definedName>
    <definedName name="screen143" localSheetId="3">#REF!</definedName>
    <definedName name="screen143">#REF!</definedName>
    <definedName name="screen144" localSheetId="1">#REF!</definedName>
    <definedName name="screen144" localSheetId="3">#REF!</definedName>
    <definedName name="screen144">#REF!</definedName>
    <definedName name="sd" localSheetId="1">#REF!</definedName>
    <definedName name="sd" localSheetId="3">#REF!</definedName>
    <definedName name="sd">#REF!</definedName>
    <definedName name="speed_by_location" localSheetId="1">#REF!</definedName>
    <definedName name="speed_by_location" localSheetId="3">#REF!</definedName>
    <definedName name="speed_by_location">#REF!</definedName>
    <definedName name="THIS_YEAR" localSheetId="1">#REF!</definedName>
    <definedName name="THIS_YEAR" localSheetId="3">#REF!</definedName>
    <definedName name="THIS_YEAR">#REF!</definedName>
    <definedName name="TIPEKENDARAAN">#REF!</definedName>
    <definedName name="Toyota_Retail_Sales_Performance_in_2009" localSheetId="1">#REF!</definedName>
    <definedName name="Toyota_Retail_Sales_Performance_in_2009" localSheetId="3">#REF!</definedName>
    <definedName name="Toyota_Retail_Sales_Performance_in_2009">#REF!</definedName>
    <definedName name="U318I" localSheetId="1">#REF!</definedName>
    <definedName name="U318I" localSheetId="3">#REF!</definedName>
    <definedName name="U318I">#REF!</definedName>
    <definedName name="UACCORD" localSheetId="1">#REF!</definedName>
    <definedName name="UACCORD" localSheetId="3">#REF!</definedName>
    <definedName name="UACCORD">#REF!</definedName>
    <definedName name="UBENZ" localSheetId="1">#REF!</definedName>
    <definedName name="UBENZ" localSheetId="3">#REF!</definedName>
    <definedName name="UBENZ">#REF!</definedName>
    <definedName name="UBMW_520" localSheetId="1">#REF!</definedName>
    <definedName name="UBMW_520" localSheetId="3">#REF!</definedName>
    <definedName name="UBMW_520">#REF!</definedName>
    <definedName name="UCAKRA" localSheetId="1">#REF!</definedName>
    <definedName name="UCAKRA" localSheetId="3">#REF!</definedName>
    <definedName name="UCAKRA">#REF!</definedName>
    <definedName name="UCEFIRO" localSheetId="1">#REF!</definedName>
    <definedName name="UCEFIRO" localSheetId="3">#REF!</definedName>
    <definedName name="UCEFIRO">#REF!</definedName>
    <definedName name="UCHARADE" localSheetId="1">#REF!</definedName>
    <definedName name="UCHARADE" localSheetId="3">#REF!</definedName>
    <definedName name="UCHARADE">#REF!</definedName>
    <definedName name="UCITY" localSheetId="1">#REF!</definedName>
    <definedName name="UCITY" localSheetId="3">#REF!</definedName>
    <definedName name="UCITY">#REF!</definedName>
    <definedName name="UCIVIC" localSheetId="1">#REF!</definedName>
    <definedName name="UCIVIC" localSheetId="3">#REF!</definedName>
    <definedName name="UCIVIC">#REF!</definedName>
    <definedName name="UCOROLLA" localSheetId="1">#REF!</definedName>
    <definedName name="UCOROLLA" localSheetId="3">#REF!</definedName>
    <definedName name="UCOROLLA">#REF!</definedName>
    <definedName name="UCORONA" localSheetId="1">#REF!</definedName>
    <definedName name="UCORONA" localSheetId="3">#REF!</definedName>
    <definedName name="UCORONA">#REF!</definedName>
    <definedName name="UCROWN" localSheetId="1">#REF!</definedName>
    <definedName name="UCROWN" localSheetId="3">#REF!</definedName>
    <definedName name="UCROWN">#REF!</definedName>
    <definedName name="UELANTRA" localSheetId="1">#REF!</definedName>
    <definedName name="UELANTRA" localSheetId="3">#REF!</definedName>
    <definedName name="UELANTRA">#REF!</definedName>
    <definedName name="UETERNA" localSheetId="1">#REF!</definedName>
    <definedName name="UETERNA" localSheetId="3">#REF!</definedName>
    <definedName name="UETERNA">#REF!</definedName>
    <definedName name="UFORSA" localSheetId="1">#REF!</definedName>
    <definedName name="UFORSA" localSheetId="3">#REF!</definedName>
    <definedName name="UFORSA">#REF!</definedName>
    <definedName name="ULANCER" localSheetId="1">#REF!</definedName>
    <definedName name="ULANCER" localSheetId="3">#REF!</definedName>
    <definedName name="ULANCER">#REF!</definedName>
    <definedName name="ULASER" localSheetId="1">#REF!</definedName>
    <definedName name="ULASER" localSheetId="3">#REF!</definedName>
    <definedName name="ULASER">#REF!</definedName>
    <definedName name="ULPC" localSheetId="1">#REF!</definedName>
    <definedName name="ULPC" localSheetId="3">#REF!</definedName>
    <definedName name="ULPC">#REF!</definedName>
    <definedName name="ULUXURY" localSheetId="1">#REF!</definedName>
    <definedName name="ULUXURY" localSheetId="3">#REF!</definedName>
    <definedName name="ULUXURY">#REF!</definedName>
    <definedName name="UMEDIUM" localSheetId="1">#REF!</definedName>
    <definedName name="UMEDIUM" localSheetId="3">#REF!</definedName>
    <definedName name="UMEDIUM">#REF!</definedName>
    <definedName name="UMINI" localSheetId="1">#REF!</definedName>
    <definedName name="UMINI" localSheetId="3">#REF!</definedName>
    <definedName name="UMINI">#REF!</definedName>
    <definedName name="UNIT323" localSheetId="1">#REF!</definedName>
    <definedName name="UNIT323" localSheetId="3">#REF!</definedName>
    <definedName name="UNIT323">#REF!</definedName>
    <definedName name="UNIT626" localSheetId="1">#REF!</definedName>
    <definedName name="UNIT626" localSheetId="3">#REF!</definedName>
    <definedName name="UNIT626">#REF!</definedName>
    <definedName name="UP_405" localSheetId="1">#REF!</definedName>
    <definedName name="UP_405" localSheetId="3">#REF!</definedName>
    <definedName name="UP_405">#REF!</definedName>
    <definedName name="USMALL" localSheetId="1">#REF!</definedName>
    <definedName name="USMALL" localSheetId="3">#REF!</definedName>
    <definedName name="USMALL">#REF!</definedName>
    <definedName name="USTARLET" localSheetId="1">#REF!</definedName>
    <definedName name="USTARLET" localSheetId="3">#REF!</definedName>
    <definedName name="USTARLET">#REF!</definedName>
    <definedName name="USUNNY" localSheetId="1">#REF!</definedName>
    <definedName name="USUNNY" localSheetId="3">#REF!</definedName>
    <definedName name="USUNNY">#REF!</definedName>
    <definedName name="UVOLVO" localSheetId="1">#REF!</definedName>
    <definedName name="UVOLVO" localSheetId="3">#REF!</definedName>
    <definedName name="UVOLVO">#REF!</definedName>
    <definedName name="VSS_10_計画呼出元クリック" localSheetId="1">#REF!</definedName>
    <definedName name="VSS_10_計画呼出元クリック" localSheetId="3">#REF!</definedName>
    <definedName name="VSS_10_計画呼出元クリック">#REF!</definedName>
    <definedName name="VSS_20_グラフ表示クリック" localSheetId="1">#REF!</definedName>
    <definedName name="VSS_20_グラフ表示クリック" localSheetId="3">#REF!</definedName>
    <definedName name="VSS_20_グラフ表示クリック">#REF!</definedName>
    <definedName name="VSS_20_シｰト保存クリック" localSheetId="1">#REF!</definedName>
    <definedName name="VSS_20_シｰト保存クリック" localSheetId="3">#REF!</definedName>
    <definedName name="VSS_20_シｰト保存クリック">#REF!</definedName>
    <definedName name="VSS_20_スタｰトメニュｰクリック" localSheetId="1">#REF!</definedName>
    <definedName name="VSS_20_スタｰトメニュｰクリック" localSheetId="3">#REF!</definedName>
    <definedName name="VSS_20_スタｰトメニュｰクリック">#REF!</definedName>
    <definedName name="VSS_20_保存クリック" localSheetId="1">#REF!</definedName>
    <definedName name="VSS_20_保存クリック" localSheetId="3">#REF!</definedName>
    <definedName name="VSS_20_保存クリック">#REF!</definedName>
    <definedName name="VSS_20_参照デｰタ指定クリック" localSheetId="1">#REF!</definedName>
    <definedName name="VSS_20_参照デｰタ指定クリック" localSheetId="3">#REF!</definedName>
    <definedName name="VSS_20_参照デｰタ指定クリック">#REF!</definedName>
    <definedName name="VSS_20_実績採用日選択" localSheetId="1">#REF!</definedName>
    <definedName name="VSS_20_実績採用日選択" localSheetId="3">#REF!</definedName>
    <definedName name="VSS_20_実績採用日選択">#REF!</definedName>
    <definedName name="VSS_20_競合車指定クリック" localSheetId="1">#REF!</definedName>
    <definedName name="VSS_20_競合車指定クリック" localSheetId="3">#REF!</definedName>
    <definedName name="VSS_20_競合車指定クリック">#REF!</definedName>
    <definedName name="VSS_30_btn_データ保存">#REF!</definedName>
    <definedName name="VSS_30_スタートメニュークリック">#REF!</definedName>
    <definedName name="VSS_30_扱い計のみクリック" localSheetId="1">#REF!</definedName>
    <definedName name="VSS_30_扱い計のみクリック" localSheetId="3">#REF!</definedName>
    <definedName name="VSS_30_扱い計のみクリック">#REF!</definedName>
    <definedName name="VSS_30_扱い計車名別クリック" localSheetId="1">#REF!</definedName>
    <definedName name="VSS_30_扱い計車名別クリック" localSheetId="3">#REF!</definedName>
    <definedName name="VSS_30_扱い計車名別クリック">#REF!</definedName>
    <definedName name="X" localSheetId="1">#REF!</definedName>
    <definedName name="X" localSheetId="3">#REF!</definedName>
    <definedName name="X">#REF!</definedName>
    <definedName name="XXX" localSheetId="1">#REF!</definedName>
    <definedName name="XXX" localSheetId="3">#REF!</definedName>
    <definedName name="XXX">#REF!</definedName>
  </definedNames>
  <calcPr calcId="191029"/>
  <pivotCaches>
    <pivotCache cacheId="0" r:id="rId17"/>
    <pivotCache cacheId="1" r:id="rId1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Bobby Sumakul</author>
  </authors>
  <commentList>
    <comment ref="H15" authorId="0">
      <text>
        <r>
          <rPr>
            <b/>
            <sz val="9"/>
            <rFont val="Tahoma"/>
            <charset val="134"/>
          </rPr>
          <t>Bobby Sumakul:</t>
        </r>
        <r>
          <rPr>
            <sz val="9"/>
            <rFont val="Tahoma"/>
            <charset val="134"/>
          </rPr>
          <t xml:space="preserve">
+ sisa RS LM yang belum ter-AFI (misalnya as of tgl 20)</t>
        </r>
      </text>
    </comment>
    <comment ref="C59" authorId="0">
      <text>
        <r>
          <rPr>
            <b/>
            <sz val="9"/>
            <rFont val="Tahoma"/>
            <charset val="134"/>
          </rPr>
          <t>Bobby Sumakul:</t>
        </r>
        <r>
          <rPr>
            <sz val="9"/>
            <rFont val="Tahoma"/>
            <charset val="134"/>
          </rPr>
          <t xml:space="preserve">
FFS - Unfirmed Match &gt;30 days + Gap from Matching </t>
        </r>
      </text>
    </comment>
  </commentList>
</comments>
</file>

<file path=xl/sharedStrings.xml><?xml version="1.0" encoding="utf-8"?>
<sst xmlns="http://schemas.openxmlformats.org/spreadsheetml/2006/main" count="14729" uniqueCount="4060">
  <si>
    <t>1.</t>
  </si>
  <si>
    <r>
      <rPr>
        <b/>
        <sz val="10"/>
        <color theme="1"/>
        <rFont val="Century Gothic"/>
        <charset val="134"/>
      </rPr>
      <t xml:space="preserve">Update data yang ada di sheet "OS" yang di kolom KUNING </t>
    </r>
    <r>
      <rPr>
        <b/>
        <u/>
        <sz val="10"/>
        <color theme="1"/>
        <rFont val="Century Gothic"/>
        <charset val="134"/>
      </rPr>
      <t>SECARA 5 HARIAN</t>
    </r>
    <r>
      <rPr>
        <b/>
        <sz val="10"/>
        <color theme="1"/>
        <rFont val="Century Gothic"/>
        <charset val="134"/>
      </rPr>
      <t>, yang tidak berwarna kuning jangan di otak-atik</t>
    </r>
  </si>
  <si>
    <t>Dealer</t>
  </si>
  <si>
    <t>Outlet Code (Sales Code)</t>
  </si>
  <si>
    <t>Outlet Name</t>
  </si>
  <si>
    <t>Katashiki</t>
  </si>
  <si>
    <t>Suffix</t>
  </si>
  <si>
    <t>Tanggal SPK</t>
  </si>
  <si>
    <t>Status SPK</t>
  </si>
  <si>
    <t>Status Supply</t>
  </si>
  <si>
    <t>Tanggal Cut Of</t>
  </si>
  <si>
    <t>FIRMED</t>
  </si>
  <si>
    <t>MATCH MDP</t>
  </si>
  <si>
    <t>PENDING LOAN</t>
  </si>
  <si>
    <t>MATCH SUPPLY STOCK ON HAND</t>
  </si>
  <si>
    <t>ALREADY DO</t>
  </si>
  <si>
    <t>UNMATCH</t>
  </si>
  <si>
    <t>CANCEL</t>
  </si>
  <si>
    <t>CUSTOMER PENDING ISSUE</t>
  </si>
  <si>
    <t>2.</t>
  </si>
  <si>
    <t>Update tanggal cut off tiap 5 HARIAN</t>
  </si>
  <si>
    <t>3.</t>
  </si>
  <si>
    <t>Setelah semua data sudah diinput dengan benar, silahkan masuk ke sheet "Pvt OS" -&gt; klik 1x di pivot table manapun -&gt; pilih di menu bar "Analyze" -&gt; pilih "Refresh All"</t>
  </si>
  <si>
    <t>4.</t>
  </si>
  <si>
    <t>Masuk ke sheet "AO Report" -&gt; input angka OP Target pada kolom yang tersedia</t>
  </si>
  <si>
    <t>5.</t>
  </si>
  <si>
    <t>Masuk ke sheet "Action Plan" -&gt; input angka Stock, MDP, dan Carry Over unit pada tabel yang tersedia</t>
  </si>
  <si>
    <t>6.</t>
  </si>
  <si>
    <t>Input plan DO from OS Matching per 5 harian dengan mempertimbangkan jumlah Stock On Hand dan MDP heijunka</t>
  </si>
  <si>
    <t>7.</t>
  </si>
  <si>
    <t>Masuk ke sheet "Reason Unmatch" -&gt; update kolom yang ada dengan angka yang ada pada pivot di sebelah kanan -&gt; jelaskan pula reason pada kolom "Remarks"</t>
  </si>
  <si>
    <t>8.</t>
  </si>
  <si>
    <t>Masuk ke sheet "Action Plan" -&gt; update kolom yang ada dengan angka yang ada pada pivot di sebelah kanan -&gt; jelaskan pula reason pada kolom "Action Plan to Sell"</t>
  </si>
  <si>
    <t>''</t>
  </si>
  <si>
    <t xml:space="preserve">AREA OPERATION REPORT - TUNAS NATIONAL - as of </t>
  </si>
  <si>
    <t xml:space="preserve">[A] Stock Matching with OS </t>
  </si>
  <si>
    <t>Closing Estimation</t>
  </si>
  <si>
    <t>RSSP OM</t>
  </si>
  <si>
    <t>OAP Target</t>
  </si>
  <si>
    <t>OPT</t>
  </si>
  <si>
    <t>MATCHING RATIO</t>
  </si>
  <si>
    <t>[A] Matching with Outstanding</t>
  </si>
  <si>
    <t>EC</t>
  </si>
  <si>
    <t>[B] New Order (SPK)</t>
  </si>
  <si>
    <t>Gap</t>
  </si>
  <si>
    <t>Total Estimasi Closing [A+B]</t>
  </si>
  <si>
    <t xml:space="preserve">Total Invoicable Stock </t>
  </si>
  <si>
    <t>Efficiency (STO)</t>
  </si>
  <si>
    <t>Total potential DO fr OS :</t>
  </si>
  <si>
    <t>s</t>
  </si>
  <si>
    <t>,,</t>
  </si>
  <si>
    <t>MTD</t>
  </si>
  <si>
    <t>Full Stock</t>
  </si>
  <si>
    <t>Invoicable Stk</t>
  </si>
  <si>
    <t>OS Order</t>
  </si>
  <si>
    <t>Stock Matching</t>
  </si>
  <si>
    <t>1-5</t>
  </si>
  <si>
    <t>6-10</t>
  </si>
  <si>
    <t>11-15</t>
  </si>
  <si>
    <t>16-20</t>
  </si>
  <si>
    <t>21-25</t>
  </si>
  <si>
    <t>25-31</t>
  </si>
  <si>
    <t>Revised Plan</t>
  </si>
  <si>
    <t>Original Plan</t>
  </si>
  <si>
    <t>Actual RS</t>
  </si>
  <si>
    <t>[B] Matching Stock from Order</t>
  </si>
  <si>
    <t>SPK Nett actual</t>
  </si>
  <si>
    <t>SPK plan</t>
  </si>
  <si>
    <t>GAP</t>
  </si>
  <si>
    <t>TTL</t>
  </si>
  <si>
    <t>Effective to N RS</t>
  </si>
  <si>
    <t>For N+1 RS</t>
  </si>
  <si>
    <t>N+1 OP tgt</t>
  </si>
  <si>
    <t>Day 21-30 
CKD SPK</t>
  </si>
  <si>
    <t>Comp.</t>
  </si>
  <si>
    <t>SPK Gross Plan</t>
  </si>
  <si>
    <t>SPK Gross actual</t>
  </si>
  <si>
    <t>Cancellation assum.</t>
  </si>
  <si>
    <t>Cancel ratio</t>
  </si>
  <si>
    <t>Cancellation actual</t>
  </si>
  <si>
    <t>3m avg.</t>
  </si>
  <si>
    <t>Loan rej.</t>
  </si>
  <si>
    <t>Cancellation ratio</t>
  </si>
  <si>
    <t>SPK Nett Plan</t>
  </si>
  <si>
    <t>MDP plan</t>
  </si>
  <si>
    <t>RS plan</t>
  </si>
  <si>
    <t>FFS</t>
  </si>
  <si>
    <t>Accum.</t>
  </si>
  <si>
    <t>[B]RS / FFS MTD</t>
  </si>
  <si>
    <t>0
OH Stock</t>
  </si>
  <si>
    <t>Full Month</t>
  </si>
  <si>
    <t>TTL Supply</t>
  </si>
  <si>
    <t>OH Stock</t>
  </si>
  <si>
    <t>MDP</t>
  </si>
  <si>
    <t>C/O</t>
  </si>
  <si>
    <t>DO AFI</t>
  </si>
  <si>
    <t>26-EOM</t>
  </si>
  <si>
    <t>Ori Plan</t>
  </si>
  <si>
    <t>Actual DO</t>
  </si>
  <si>
    <t>1 Minggu</t>
  </si>
  <si>
    <t>2 Minggu</t>
  </si>
  <si>
    <t>3 Minggu</t>
  </si>
  <si>
    <t>4 Minggu</t>
  </si>
  <si>
    <t>&gt; 4 Minggu</t>
  </si>
  <si>
    <t>All</t>
  </si>
  <si>
    <t>&lt;30D</t>
  </si>
  <si>
    <t>Status OS yg sudah matching tapi diestimasikan tetap tidak bisa jadi RS di bulan ini</t>
  </si>
  <si>
    <t>Gap from OS</t>
  </si>
  <si>
    <t>Matched Unfirmed (PL + CPI)</t>
  </si>
  <si>
    <t>Unmatched to Stock</t>
  </si>
  <si>
    <t>1 w</t>
  </si>
  <si>
    <t>2 w</t>
  </si>
  <si>
    <t>3 w</t>
  </si>
  <si>
    <t>4 w</t>
  </si>
  <si>
    <t>&gt;4 w</t>
  </si>
  <si>
    <t>Firmed</t>
  </si>
  <si>
    <t>P.Loan</t>
  </si>
  <si>
    <t>Remarks</t>
  </si>
  <si>
    <t>Avanza New</t>
  </si>
  <si>
    <t>- Maximize swapping &amp; change facility
- Re-offer with the current type &amp; color available</t>
  </si>
  <si>
    <t>Budi Jaya</t>
  </si>
  <si>
    <t>Veloz New</t>
  </si>
  <si>
    <t>Duta Cendana</t>
  </si>
  <si>
    <t>Raize</t>
  </si>
  <si>
    <t>Selamat Toyota</t>
  </si>
  <si>
    <t>Agya</t>
  </si>
  <si>
    <t>Sinar Mas</t>
  </si>
  <si>
    <t>Calya</t>
  </si>
  <si>
    <t>Rejeki Toyota</t>
  </si>
  <si>
    <t>Yaris</t>
  </si>
  <si>
    <t>Astrido Toyota</t>
  </si>
  <si>
    <t>Innova</t>
  </si>
  <si>
    <t>Auto2000</t>
  </si>
  <si>
    <t>Fortuner 4x2</t>
  </si>
  <si>
    <t>Merdeka Motor</t>
  </si>
  <si>
    <t>Rush</t>
  </si>
  <si>
    <t>Plaza Toyota</t>
  </si>
  <si>
    <t>Others</t>
  </si>
  <si>
    <t>Wijaya Toyota</t>
  </si>
  <si>
    <t>Grand Total</t>
  </si>
  <si>
    <t>Tunas Toyota</t>
  </si>
  <si>
    <t>Model</t>
  </si>
  <si>
    <t>Unfirmed &amp; Match</t>
  </si>
  <si>
    <t>BU</t>
  </si>
  <si>
    <t>Total OS</t>
  </si>
  <si>
    <t>OS Match</t>
  </si>
  <si>
    <t>Firmed &amp; Match &gt;60D</t>
  </si>
  <si>
    <t>Firmed &amp; Match 30-60D</t>
  </si>
  <si>
    <t>Firmed &amp; Match &lt;30D</t>
  </si>
  <si>
    <t>PL Match &lt;30D</t>
  </si>
  <si>
    <t>Stock EOM</t>
  </si>
  <si>
    <t>Distplan</t>
  </si>
  <si>
    <t>MDP TLS</t>
  </si>
  <si>
    <t>2nd Allo</t>
  </si>
  <si>
    <t>Delay</t>
  </si>
  <si>
    <t>Total Supply</t>
  </si>
  <si>
    <t>RS Latest</t>
  </si>
  <si>
    <t>Remaining FFS</t>
  </si>
  <si>
    <t>Gap fr Matching</t>
  </si>
  <si>
    <t>C/O AFI</t>
  </si>
  <si>
    <t>C/O AFI
not yet DO</t>
  </si>
  <si>
    <t>SPK Latest</t>
  </si>
  <si>
    <t>RS from new SPK</t>
  </si>
  <si>
    <t>Remaining SPK</t>
  </si>
  <si>
    <t>Action Plan to Sell</t>
  </si>
  <si>
    <t>Funnel Plan</t>
  </si>
  <si>
    <t>STO</t>
  </si>
  <si>
    <t>OP</t>
  </si>
  <si>
    <t>Match fr
New SPK</t>
  </si>
  <si>
    <t>Un Match</t>
  </si>
  <si>
    <t>Leads/Prospect</t>
  </si>
  <si>
    <t>Hot Prospect</t>
  </si>
  <si>
    <t>SPK</t>
  </si>
  <si>
    <t>DO</t>
  </si>
  <si>
    <t>ALPHARD</t>
  </si>
  <si>
    <t>Attached</t>
  </si>
  <si>
    <t>AVANZA</t>
  </si>
  <si>
    <t>SIENTA</t>
  </si>
  <si>
    <t>C-HR</t>
  </si>
  <si>
    <t>C-HR HYBRID</t>
  </si>
  <si>
    <t>CAMRY</t>
  </si>
  <si>
    <t>DYNA</t>
  </si>
  <si>
    <t>FORTUNER 4X4</t>
  </si>
  <si>
    <t>HIACE</t>
  </si>
  <si>
    <t>HILUX D-CAB</t>
  </si>
  <si>
    <t>HILUX S-CAB</t>
  </si>
  <si>
    <t>TRANSMOVER</t>
  </si>
  <si>
    <t>VELLFIRE</t>
  </si>
  <si>
    <t>VIOS</t>
  </si>
  <si>
    <t>VOXY</t>
  </si>
  <si>
    <t>HIACE PREMIO</t>
  </si>
  <si>
    <t>HILUX S-CAB 4X4</t>
  </si>
  <si>
    <t>LANDCRUISER 200</t>
  </si>
  <si>
    <t>COROLLA CROSS HYBRID</t>
  </si>
  <si>
    <t>COROLLA CROSS</t>
  </si>
  <si>
    <t>COROLLA</t>
  </si>
  <si>
    <t>CAMRY HYBRID</t>
  </si>
  <si>
    <t>COROLLA HYBRID</t>
  </si>
  <si>
    <t>SUPRA</t>
  </si>
  <si>
    <t>GR YARIS</t>
  </si>
  <si>
    <t>CROWN</t>
  </si>
  <si>
    <t>ETIOS</t>
  </si>
  <si>
    <t>FT-86</t>
  </si>
  <si>
    <t>HILUX C-CAB</t>
  </si>
  <si>
    <t>LANDCRUISER 70</t>
  </si>
  <si>
    <t>NAV1</t>
  </si>
  <si>
    <t>PRIUS</t>
  </si>
  <si>
    <t>LANDCRUISER 300</t>
  </si>
  <si>
    <t>Pilih Nama Dealer</t>
  </si>
  <si>
    <t>Isi Terlebih Dahulu, Pilih Dealer &amp; Outlet Disini</t>
  </si>
  <si>
    <t>Pilih Nama Outlet</t>
  </si>
  <si>
    <t>PILIH LIST YANG DISEDIAKAN SESUAI STATUS SPK</t>
  </si>
  <si>
    <t>Pilih Status Supply</t>
  </si>
  <si>
    <t>JANGAN LUPA UPDATE TANGGAL CUT OFF INI</t>
  </si>
  <si>
    <t>TIDAK PERLU DIISI, ISI PILIHAN DIATAS, 
KOLOM INI AKAN OTOMATIS TERISI</t>
  </si>
  <si>
    <t>TIDAK PERLU DIISI</t>
  </si>
  <si>
    <t>Follow 'Katashiki Suffix' pada sheet 'List Model'</t>
  </si>
  <si>
    <t>TIDAK PERLU DIISI OLEH DEALER 
[AUTOMATIC RUMUS JIKA MENGISI KATASHIKI SUFFIX]</t>
  </si>
  <si>
    <t>TIDAk PERLU DIISI. OTOMATIS TERISI SAAT ISI TANGGAL SPK</t>
  </si>
  <si>
    <t>ISI TANGGAL SPK DISINI</t>
  </si>
  <si>
    <t>- Firmed
     Ketentuan Firmed :
     a. Leasing telah disetujui
     b. Pembayaran Cash
     c. Fleet / GSO sudah ada PO dan TOP yang telah disepakati
- Pending Loan (Ketentuan : jika leasing masih diproses)
- Already DO
- Cancel
- Customer Payment Issue (Ketentuan : jika customer tidak bisa bayar/menunggu diskon)</t>
  </si>
  <si>
    <t>- Match MDP
- Match Supply Stock On Hand
- UNMATCH</t>
  </si>
  <si>
    <t>WAJIB DIISI</t>
  </si>
  <si>
    <t>WAJIB DIISI [NEW]</t>
  </si>
  <si>
    <t>ISI NAMA CUSTOMER DISINI</t>
  </si>
  <si>
    <t>Tanggal Cut Off</t>
  </si>
  <si>
    <t>No</t>
  </si>
  <si>
    <t>Area AGM</t>
  </si>
  <si>
    <t>Area Region</t>
  </si>
  <si>
    <t>Katashiki Suffix</t>
  </si>
  <si>
    <t>Type Model</t>
  </si>
  <si>
    <t>Outstanding Days</t>
  </si>
  <si>
    <t>Umur Outstansing</t>
  </si>
  <si>
    <t>OS Category</t>
  </si>
  <si>
    <t>Month</t>
  </si>
  <si>
    <t>No RRN</t>
  </si>
  <si>
    <t>Estimasi tanggal DO/AFI
[Untuk OS Firmed &amp; Match]</t>
  </si>
  <si>
    <t>Pekerjaan customer</t>
  </si>
  <si>
    <t>Demand Structure</t>
  </si>
  <si>
    <t>Proses Trade In
(WAJIB DIISI JIKA REPLACEMENT)</t>
  </si>
  <si>
    <t>Financial Type</t>
  </si>
  <si>
    <t>Jenis Leasing</t>
  </si>
  <si>
    <t>Tanggal approval by Leasing</t>
  </si>
  <si>
    <t>Paket Leasing TVC yang digunakan</t>
  </si>
  <si>
    <t>DP Rate</t>
  </si>
  <si>
    <t>Customer Name</t>
  </si>
  <si>
    <t>Salesname</t>
  </si>
  <si>
    <t>NO SO</t>
  </si>
  <si>
    <t>Color</t>
  </si>
  <si>
    <t>Color Code</t>
  </si>
  <si>
    <t>Leasing</t>
  </si>
  <si>
    <t>C/C</t>
  </si>
  <si>
    <t>Tunas Toyota Kiara Condong</t>
  </si>
  <si>
    <t>NGC200R-DHXHKD</t>
  </si>
  <si>
    <t>00</t>
  </si>
  <si>
    <t>DENDI HOLIUS</t>
  </si>
  <si>
    <t>TOPIK HIDAYAT</t>
  </si>
  <si>
    <t>ATTITUDE BLACK MICA</t>
  </si>
  <si>
    <t>MTF</t>
  </si>
  <si>
    <t>KDH223R-LEMDY</t>
  </si>
  <si>
    <t>ATANG</t>
  </si>
  <si>
    <t>WHITE</t>
  </si>
  <si>
    <t>TAF</t>
  </si>
  <si>
    <t>ANI LESTARI</t>
  </si>
  <si>
    <t>INDAH PITALOKA</t>
  </si>
  <si>
    <t>MAGH10R-BPXHBD</t>
  </si>
  <si>
    <t>ELANG GARDA UTAMA</t>
  </si>
  <si>
    <t>JAJANG NURJAMAN</t>
  </si>
  <si>
    <t>GUN126R-DTTHXT</t>
  </si>
  <si>
    <t>SUPER WHITE II</t>
  </si>
  <si>
    <t>GUN166R-SDTHXD</t>
  </si>
  <si>
    <t>TENARDO PUTRA JAYA SINAGA</t>
  </si>
  <si>
    <t>DERI NURSANDI</t>
  </si>
  <si>
    <t>W101RE-LBMFJ</t>
  </si>
  <si>
    <t>DERRY ARIANDI SAPTURA RUDIANA</t>
  </si>
  <si>
    <t>Purplish Silver Mica Metallic</t>
  </si>
  <si>
    <t>ACC</t>
  </si>
  <si>
    <t>GDH321R-EDFDYD</t>
  </si>
  <si>
    <t>FAUDRIE MOHAMADIVA, SE</t>
  </si>
  <si>
    <t>DENI ALFIAN</t>
  </si>
  <si>
    <t>OTHERS</t>
  </si>
  <si>
    <t>W101RE-LMMFJ</t>
  </si>
  <si>
    <t>PAYMENT ISSUE</t>
  </si>
  <si>
    <t>DEDE DINDIN</t>
  </si>
  <si>
    <t>YENI</t>
  </si>
  <si>
    <t>B401RA-GMZFJ</t>
  </si>
  <si>
    <t>IMAM NUR HAKIM</t>
  </si>
  <si>
    <t>ERICK JANUAR LISAPALY</t>
  </si>
  <si>
    <t>BLACK</t>
  </si>
  <si>
    <t>ARIF NURPERMANA, S.PD.I</t>
  </si>
  <si>
    <t>NOVA KHAIRUNNISA SUMARNA</t>
  </si>
  <si>
    <t>PLATINUM WHITE PEARL</t>
  </si>
  <si>
    <t>W100RE-LMDFJ</t>
  </si>
  <si>
    <t>DIDIN SAEFUDIN</t>
  </si>
  <si>
    <t>REGYAWAN KURNIA</t>
  </si>
  <si>
    <t>THOMAS MARIUS EDISON</t>
  </si>
  <si>
    <t>DENO</t>
  </si>
  <si>
    <t>MAGA10R-BRXLBD</t>
  </si>
  <si>
    <t>01</t>
  </si>
  <si>
    <t>SUPRIADI, DRS</t>
  </si>
  <si>
    <t>KHARISMA GALIH PUTRA</t>
  </si>
  <si>
    <t>SELVI DEWI AFRIANI</t>
  </si>
  <si>
    <t>MUHAMMAD FADIL FAHMI RUSTANDI</t>
  </si>
  <si>
    <t>DARK RED MICA MET.</t>
  </si>
  <si>
    <t>A351RA-GBEFJ</t>
  </si>
  <si>
    <t>TEGES ADERIANI</t>
  </si>
  <si>
    <t>ARDIAN PURNAMA</t>
  </si>
  <si>
    <t>SILVER METALLIC</t>
  </si>
  <si>
    <t>TUGIYONO</t>
  </si>
  <si>
    <t>DADAN DARMADI</t>
  </si>
  <si>
    <t>MAGH10R-BRXLBD</t>
  </si>
  <si>
    <t>ENDANG SURYANA</t>
  </si>
  <si>
    <t>W102RE-LBVFJ</t>
  </si>
  <si>
    <t>08</t>
  </si>
  <si>
    <t>PT SURYA SUDECO</t>
  </si>
  <si>
    <t>BLACK MICA</t>
  </si>
  <si>
    <t>B101RA-GMSGJ</t>
  </si>
  <si>
    <t>RUDI HARIYANTO. S. T.</t>
  </si>
  <si>
    <t>YANI ANDRIYANI</t>
  </si>
  <si>
    <t>RUNILAH BH SARIWAN KARTIYA</t>
  </si>
  <si>
    <t>JUARNA KARMAN PUTRA</t>
  </si>
  <si>
    <t>GRAY METALLIC</t>
  </si>
  <si>
    <t>GUN112R-BTMXYD</t>
  </si>
  <si>
    <t>ABDUL KODIR</t>
  </si>
  <si>
    <t>PT.TOYOTA ASTRA FINANCIAL SERVICES</t>
  </si>
  <si>
    <t>GUN142R-MDMSYD</t>
  </si>
  <si>
    <t>22</t>
  </si>
  <si>
    <t>DEDI TAUFIK HIDAYAT</t>
  </si>
  <si>
    <t>ANDRI JAYA LAKSANA</t>
  </si>
  <si>
    <t>A351RA-GBGFJ</t>
  </si>
  <si>
    <t>02</t>
  </si>
  <si>
    <t>PUTRI HESTI PERTIWI</t>
  </si>
  <si>
    <t>RED M. M</t>
  </si>
  <si>
    <t>B401RA-GQZFJ</t>
  </si>
  <si>
    <t>MOCHAMAD KAMAL UDIN</t>
  </si>
  <si>
    <t>NOFIA NURIFAH</t>
  </si>
  <si>
    <t>AI NURJANAH</t>
  </si>
  <si>
    <t>White</t>
  </si>
  <si>
    <t>DENI RESMANA</t>
  </si>
  <si>
    <t>Silver Metallic</t>
  </si>
  <si>
    <t>GUN142R-MDTSXD</t>
  </si>
  <si>
    <t>SOIMAN</t>
  </si>
  <si>
    <t>ARIUS PUTRA JAYA GOHAE</t>
  </si>
  <si>
    <t>PT. MANDIRI TUNAS FINANCE</t>
  </si>
  <si>
    <t>DIKI ZAELANI</t>
  </si>
  <si>
    <t>DAMAI LATIFAH WULANDINI</t>
  </si>
  <si>
    <t>BRONZE M.M.</t>
  </si>
  <si>
    <t>A250RA-GBVVJ</t>
  </si>
  <si>
    <t>VINA SINTIA</t>
  </si>
  <si>
    <t>BLACK WHITE</t>
  </si>
  <si>
    <t>SITI SONDARI</t>
  </si>
  <si>
    <t>TANTO BUDIMAN</t>
  </si>
  <si>
    <t>IWAN SUTARYO</t>
  </si>
  <si>
    <t>JUMAEIRI</t>
  </si>
  <si>
    <t>DADI SOBARI</t>
  </si>
  <si>
    <t>TETEN HERMAWAN</t>
  </si>
  <si>
    <t>NURI LESTARI KRISTIANTY</t>
  </si>
  <si>
    <t>FARHAN FAUZAN TAMIR</t>
  </si>
  <si>
    <t>RIZKI RISMAWAN</t>
  </si>
  <si>
    <t>OS ORDER</t>
  </si>
  <si>
    <t>STOCK MATCHING</t>
  </si>
  <si>
    <t>MATCH MDP/OH</t>
  </si>
  <si>
    <t>PL &lt;30D</t>
  </si>
  <si>
    <t>FIRMED &lt;30D</t>
  </si>
  <si>
    <t>FIRMED 30-600</t>
  </si>
  <si>
    <t>FIRMED &amp; MATCH 30-60D</t>
  </si>
  <si>
    <t>FIRMED &gt;60D</t>
  </si>
  <si>
    <t>FIRMED &amp; MATCH &gt;60D</t>
  </si>
  <si>
    <t>UNFIRMED 30-60D</t>
  </si>
  <si>
    <t>UNFIRMED &amp; MATCH 30-60D</t>
  </si>
  <si>
    <t>UNFIRMED &gt;60D</t>
  </si>
  <si>
    <t>UNFIRMED &amp; MATCH &gt;60D</t>
  </si>
  <si>
    <t>UNFIRMED &amp; MATCH &lt;30D</t>
  </si>
  <si>
    <t>FIRMED &amp; MATCH &lt;30D</t>
  </si>
  <si>
    <t>UNFIRMED &amp; UNMATCH &lt;30D</t>
  </si>
  <si>
    <t>FIRMED &amp; UNMATCH &lt;30D</t>
  </si>
  <si>
    <t>FIRMED &amp; UNMATCH &gt;30D</t>
  </si>
  <si>
    <t>UNFIRMED &amp; UNMATCH &gt;30D</t>
  </si>
  <si>
    <t>FIRMED &amp; MATCH STOCK</t>
  </si>
  <si>
    <t>PL &amp; MATCH STOCK &lt;30D</t>
  </si>
  <si>
    <t>(ALL)</t>
  </si>
  <si>
    <t>(blank)</t>
  </si>
  <si>
    <t>(Multiple Items)</t>
  </si>
  <si>
    <t>&gt;60D</t>
  </si>
  <si>
    <t>30D-60D</t>
  </si>
  <si>
    <t>Count of Area AGM</t>
  </si>
  <si>
    <t>AGYA</t>
  </si>
  <si>
    <t>CALYA</t>
  </si>
  <si>
    <t>YARIS CROSS GASOLINE</t>
  </si>
  <si>
    <t>INNOVA ZENIX HYBRID</t>
  </si>
  <si>
    <t>Tunas Toyota Total</t>
  </si>
  <si>
    <t>INNOVA</t>
  </si>
  <si>
    <t>FORTUNER 4X2</t>
  </si>
  <si>
    <t>AVANZA NEW</t>
  </si>
  <si>
    <t>VELOZ HYBRID</t>
  </si>
  <si>
    <t>RAIZE</t>
  </si>
  <si>
    <t>INNOVA ZENIX</t>
  </si>
  <si>
    <t>AGYA GR-S</t>
  </si>
  <si>
    <t>Match &amp; Unfirmed (PL + CPI)</t>
  </si>
  <si>
    <t>Unmatch to Stock</t>
  </si>
  <si>
    <t>TOTAL</t>
  </si>
  <si>
    <t>UNMATCH &amp; FIRMED</t>
  </si>
  <si>
    <t>UNMATCH &amp; PL</t>
  </si>
  <si>
    <t>Veloz Hybrid</t>
  </si>
  <si>
    <t>Agya GR-S</t>
  </si>
  <si>
    <t>Yaris Cross Gasoline</t>
  </si>
  <si>
    <t>Yaris Cross Hybrid</t>
  </si>
  <si>
    <t>Innova Zenix Hybrid</t>
  </si>
  <si>
    <t>Innova Zenix</t>
  </si>
  <si>
    <t>Alphard</t>
  </si>
  <si>
    <t>Alphard Hybrid</t>
  </si>
  <si>
    <t>Voxy</t>
  </si>
  <si>
    <t>Hilux D-Cab</t>
  </si>
  <si>
    <t>Hilux S-Cab</t>
  </si>
  <si>
    <t>Hilux S-Cab 4x4</t>
  </si>
  <si>
    <t>Hilux Rangga</t>
  </si>
  <si>
    <t>Hiace</t>
  </si>
  <si>
    <t>Hiace Premio</t>
  </si>
  <si>
    <t>Stock</t>
  </si>
  <si>
    <t>MDP
(in/out)</t>
  </si>
  <si>
    <t>TTL
Supply</t>
  </si>
  <si>
    <t>DO
(actual)</t>
  </si>
  <si>
    <t>Ori Plan DO</t>
  </si>
  <si>
    <t>Adj Plan DO</t>
  </si>
  <si>
    <t>Leads</t>
  </si>
  <si>
    <t>Prospect</t>
  </si>
  <si>
    <t>Net
FFS</t>
  </si>
  <si>
    <t>FIRMED &amp; MATCH</t>
  </si>
  <si>
    <t>PL &amp; MATCH &lt;30D</t>
  </si>
  <si>
    <t>1. Increase no. of activity in June :</t>
  </si>
  <si>
    <t>Convertion Rate</t>
  </si>
  <si>
    <t>Masukkan Convertion rate sesuai history cabang</t>
  </si>
  <si>
    <t>Tunas Toyota Balaraja</t>
  </si>
  <si>
    <t>2924</t>
  </si>
  <si>
    <t>Area 1</t>
  </si>
  <si>
    <t>Area 1 - DKI 3</t>
  </si>
  <si>
    <t>Match MDP</t>
  </si>
  <si>
    <t>1st Buyer</t>
  </si>
  <si>
    <t>AUTO2000</t>
  </si>
  <si>
    <t>Tunas Toyota Bandar Jaya Lampung</t>
  </si>
  <si>
    <t>2915</t>
  </si>
  <si>
    <t>Area 2</t>
  </si>
  <si>
    <t>Area 2 - Southern Sumatera</t>
  </si>
  <si>
    <t>Pending Loan</t>
  </si>
  <si>
    <t>Match Supply Stock On Hand</t>
  </si>
  <si>
    <t>Additional</t>
  </si>
  <si>
    <t>TAFS</t>
  </si>
  <si>
    <t>Tunas Toyota Bekasi</t>
  </si>
  <si>
    <t>2925</t>
  </si>
  <si>
    <t>Area 1 - DKI 2</t>
  </si>
  <si>
    <t>Already DO</t>
  </si>
  <si>
    <t>Replacement</t>
  </si>
  <si>
    <t>ADIRA</t>
  </si>
  <si>
    <t>Tunas Toyota Bintaro</t>
  </si>
  <si>
    <t>2901</t>
  </si>
  <si>
    <t>Area 1 - DKI 1</t>
  </si>
  <si>
    <t>Cancel</t>
  </si>
  <si>
    <t>KKB</t>
  </si>
  <si>
    <t>Tunas Toyota Cilegon</t>
  </si>
  <si>
    <t>2902</t>
  </si>
  <si>
    <t>Customer Payment Issue</t>
  </si>
  <si>
    <t>Cash</t>
  </si>
  <si>
    <t>BCA FINANCE</t>
  </si>
  <si>
    <t>Tunas Toyota Cimindi</t>
  </si>
  <si>
    <t>2903</t>
  </si>
  <si>
    <t>Area 1 - West Java</t>
  </si>
  <si>
    <t>Credit</t>
  </si>
  <si>
    <t>Tunas Toyota Cinere</t>
  </si>
  <si>
    <t>2904</t>
  </si>
  <si>
    <t>Tunas Toyota Cipondoh</t>
  </si>
  <si>
    <t>2923</t>
  </si>
  <si>
    <t>EZ Deal</t>
  </si>
  <si>
    <t>Tunas Toyota Ciputat</t>
  </si>
  <si>
    <t>2905</t>
  </si>
  <si>
    <t>SPEKTA</t>
  </si>
  <si>
    <t>Tunas Toyota Dewi Sartika</t>
  </si>
  <si>
    <t>2906</t>
  </si>
  <si>
    <t>REGULER (Lainnya)</t>
  </si>
  <si>
    <t>Tunas Toyota Gatot Subroto</t>
  </si>
  <si>
    <t>2907</t>
  </si>
  <si>
    <t>Tunas Toyota Hayam Wuruk</t>
  </si>
  <si>
    <t>2916</t>
  </si>
  <si>
    <t>&lt;15%</t>
  </si>
  <si>
    <t>Tunas Toyota Jatinegara</t>
  </si>
  <si>
    <t>2908</t>
  </si>
  <si>
    <t>15%-20%</t>
  </si>
  <si>
    <t>Tunas Toyota Jatiwaringin</t>
  </si>
  <si>
    <t>2917</t>
  </si>
  <si>
    <t>20% - &lt;30%</t>
  </si>
  <si>
    <t>Tunas Toyota Kebayoran Lama</t>
  </si>
  <si>
    <t>2909</t>
  </si>
  <si>
    <t>30% - &lt;40%</t>
  </si>
  <si>
    <t>Tunas Toyota Latumenten</t>
  </si>
  <si>
    <t>2910</t>
  </si>
  <si>
    <t>&gt;40%</t>
  </si>
  <si>
    <t>Tunas Toyota Mampang</t>
  </si>
  <si>
    <t>2911</t>
  </si>
  <si>
    <t>Tunas Toyota Pasar Minggu</t>
  </si>
  <si>
    <t>2912</t>
  </si>
  <si>
    <t>Tunas Toyota Pecenongan</t>
  </si>
  <si>
    <t>2918</t>
  </si>
  <si>
    <t>Tunas Toyota Radin Inten</t>
  </si>
  <si>
    <t>2919</t>
  </si>
  <si>
    <t>Tunas Toyota Serang</t>
  </si>
  <si>
    <t>2913</t>
  </si>
  <si>
    <t>Tunas Toyota Tangerang</t>
  </si>
  <si>
    <t>2914</t>
  </si>
  <si>
    <t>Tunas Toyota Bandarjaya Lampung</t>
  </si>
  <si>
    <t>Tunas Toyota Cawang</t>
  </si>
  <si>
    <t>Tunas Toyota Gatsu Bandung</t>
  </si>
  <si>
    <t>Tunas Toyota Psr.Minggu</t>
  </si>
  <si>
    <t>Tunas Toyota Radin Intan</t>
  </si>
  <si>
    <t>2928</t>
  </si>
  <si>
    <t>KATASHIKI-SUFFIX</t>
  </si>
  <si>
    <t>KATASHIKI</t>
  </si>
  <si>
    <t>SUFFIX</t>
  </si>
  <si>
    <t>MODEL</t>
  </si>
  <si>
    <t>TYPE</t>
  </si>
  <si>
    <t>A250RA-GBVV02</t>
  </si>
  <si>
    <t>A250RA-GBVV</t>
  </si>
  <si>
    <t>RAIZE 1.0T S CVT TSS One Tone</t>
  </si>
  <si>
    <t>A250RA-GBVVJ00</t>
  </si>
  <si>
    <t>RAIZE 1.0T S CVT One Tone</t>
  </si>
  <si>
    <t>A250RA-GBVVJ02</t>
  </si>
  <si>
    <t>A250RA-GBVVJ01</t>
  </si>
  <si>
    <t>RAIZE 1.0T S CVT Two Tone</t>
  </si>
  <si>
    <t>A250RA-GBVVJ03</t>
  </si>
  <si>
    <t>03</t>
  </si>
  <si>
    <t>RAIZE 1.0T S CVT TSS Two Tone</t>
  </si>
  <si>
    <t>A250RA-GBVVJ10</t>
  </si>
  <si>
    <t>10</t>
  </si>
  <si>
    <t>A250RA-GBVVJ12</t>
  </si>
  <si>
    <t>12</t>
  </si>
  <si>
    <t>A250RA-GBVVJ11</t>
  </si>
  <si>
    <t>11</t>
  </si>
  <si>
    <t>A250RA-GBVVJ13</t>
  </si>
  <si>
    <t>13</t>
  </si>
  <si>
    <t>A250RA-GBVVJCA</t>
  </si>
  <si>
    <t>CA</t>
  </si>
  <si>
    <t>RAIZE 1.0T S CVT</t>
  </si>
  <si>
    <t>A250RA-GBVVJCB</t>
  </si>
  <si>
    <t>CB</t>
  </si>
  <si>
    <t>RAIZE 1.0T S CVT TSS</t>
  </si>
  <si>
    <t>A250RA-GBVVJCD</t>
  </si>
  <si>
    <t>CD</t>
  </si>
  <si>
    <t>A250RA-GBVVJCC</t>
  </si>
  <si>
    <t>CC</t>
  </si>
  <si>
    <t>A250RA-GBVVJBA</t>
  </si>
  <si>
    <t>BA</t>
  </si>
  <si>
    <t>A250RA-GBVVJBB</t>
  </si>
  <si>
    <t>BB</t>
  </si>
  <si>
    <t>A250RA-GBVVJBC</t>
  </si>
  <si>
    <t>BC</t>
  </si>
  <si>
    <t>A250RA-GBVVJBD</t>
  </si>
  <si>
    <t>BD</t>
  </si>
  <si>
    <t>A250RA-GBVVJ20</t>
  </si>
  <si>
    <t>20</t>
  </si>
  <si>
    <t>A250RA-GBVVJAA</t>
  </si>
  <si>
    <t>AA</t>
  </si>
  <si>
    <t>A250RA-GBVVJBE</t>
  </si>
  <si>
    <t>BE</t>
  </si>
  <si>
    <t>A250RA-GBVVJDA</t>
  </si>
  <si>
    <t>DA</t>
  </si>
  <si>
    <t>A250RA-GBVVJEA</t>
  </si>
  <si>
    <t>EA</t>
  </si>
  <si>
    <t>A250RA-GBVVJAC</t>
  </si>
  <si>
    <t>AC</t>
  </si>
  <si>
    <t>A250RA-GBVVJBG</t>
  </si>
  <si>
    <t>BG</t>
  </si>
  <si>
    <t>A250RA-GBVVJDC</t>
  </si>
  <si>
    <t>DC</t>
  </si>
  <si>
    <t>A250RA-GBVVJEC</t>
  </si>
  <si>
    <t>A250RA-GBVVJAB</t>
  </si>
  <si>
    <t>AB</t>
  </si>
  <si>
    <t>A250RA-GBVVJBF</t>
  </si>
  <si>
    <t>BF</t>
  </si>
  <si>
    <t>A250RA-GBVVJDB</t>
  </si>
  <si>
    <t>DB</t>
  </si>
  <si>
    <t>A250RA-GBVVJEB</t>
  </si>
  <si>
    <t>EB</t>
  </si>
  <si>
    <t>A250RA-GBVVJAD</t>
  </si>
  <si>
    <t>AD</t>
  </si>
  <si>
    <t>A250RA-GBVVJBH</t>
  </si>
  <si>
    <t>BH</t>
  </si>
  <si>
    <t>A250RA-GBVVJDD</t>
  </si>
  <si>
    <t>DD</t>
  </si>
  <si>
    <t>A250RA-GBVVJED</t>
  </si>
  <si>
    <t>ED</t>
  </si>
  <si>
    <t>A250RA-GBVVJ22</t>
  </si>
  <si>
    <t>A250RA-GBVVJ21</t>
  </si>
  <si>
    <t>21</t>
  </si>
  <si>
    <t>A250RA-GBVVJ23</t>
  </si>
  <si>
    <t>23</t>
  </si>
  <si>
    <t>A250RA-GBVVJAE</t>
  </si>
  <si>
    <t>AE</t>
  </si>
  <si>
    <t>A250RA-GBVVJBI</t>
  </si>
  <si>
    <t>BI</t>
  </si>
  <si>
    <t>A250RA-GBVVJCE</t>
  </si>
  <si>
    <t>CE</t>
  </si>
  <si>
    <t>A250RA-GBVVJDE</t>
  </si>
  <si>
    <t>DE</t>
  </si>
  <si>
    <t>A250RA-GBVVJEE</t>
  </si>
  <si>
    <t>EE</t>
  </si>
  <si>
    <t>A250RA-GBVVJAF</t>
  </si>
  <si>
    <t>AF</t>
  </si>
  <si>
    <t>A250RA-GBVVJBJ</t>
  </si>
  <si>
    <t>BJ</t>
  </si>
  <si>
    <t>A250RA-GBVVJCF</t>
  </si>
  <si>
    <t>CF</t>
  </si>
  <si>
    <t>A250RA-GBVVJDF</t>
  </si>
  <si>
    <t>DF</t>
  </si>
  <si>
    <t>A250RA-GBVVJEF</t>
  </si>
  <si>
    <t>EF</t>
  </si>
  <si>
    <t>A250RA-GBVVJAG</t>
  </si>
  <si>
    <t>AG</t>
  </si>
  <si>
    <t>A250RA-GBVVJBK</t>
  </si>
  <si>
    <t>BK</t>
  </si>
  <si>
    <t>A250RA-GBVVJDG</t>
  </si>
  <si>
    <t>DG</t>
  </si>
  <si>
    <t>A250RA-GBVVJEG</t>
  </si>
  <si>
    <t>EG</t>
  </si>
  <si>
    <t>A250RA-GBVVJAH</t>
  </si>
  <si>
    <t>AH</t>
  </si>
  <si>
    <t>A250RA-GBVVJEH</t>
  </si>
  <si>
    <t>EH</t>
  </si>
  <si>
    <t>A250RA-GBVVJBL</t>
  </si>
  <si>
    <t>BL</t>
  </si>
  <si>
    <t>A250RA-GBVVJDK</t>
  </si>
  <si>
    <t>DK</t>
  </si>
  <si>
    <t>A250RA-GBVVJAI</t>
  </si>
  <si>
    <t>AI</t>
  </si>
  <si>
    <t>A250RA-GBVVJBM</t>
  </si>
  <si>
    <t>BM</t>
  </si>
  <si>
    <t>A250RA-GBVVJAK</t>
  </si>
  <si>
    <t>AK</t>
  </si>
  <si>
    <t>A250RA-GBVVJBO</t>
  </si>
  <si>
    <t>BO</t>
  </si>
  <si>
    <t>A250RA-GBVVJAJ</t>
  </si>
  <si>
    <t>AJ</t>
  </si>
  <si>
    <t>A250RA-GBVVJBN</t>
  </si>
  <si>
    <t>BN</t>
  </si>
  <si>
    <t>A250RA-GBVVJBP</t>
  </si>
  <si>
    <t>BP</t>
  </si>
  <si>
    <t>A250RA-GBVVJA</t>
  </si>
  <si>
    <t>A</t>
  </si>
  <si>
    <t>A250RA-GBVVJAL</t>
  </si>
  <si>
    <t>AL</t>
  </si>
  <si>
    <t>A250RA-GBVVJJ0</t>
  </si>
  <si>
    <t>J0</t>
  </si>
  <si>
    <t>A250RA-GBVVJJ1</t>
  </si>
  <si>
    <t>J1</t>
  </si>
  <si>
    <t>A250RA-GBXVJ00</t>
  </si>
  <si>
    <t>A250RA-GBXVJ</t>
  </si>
  <si>
    <t>RAIZE 1.0T G CVT One Tone</t>
  </si>
  <si>
    <t>A250RA-GBXVJ02</t>
  </si>
  <si>
    <t>A250RA-GBXVJ01</t>
  </si>
  <si>
    <t>RAIZE 1.0T G CVT Two Tone</t>
  </si>
  <si>
    <t>A250RA-GBXVJCA</t>
  </si>
  <si>
    <t>RAIZE 1.0T G CVT</t>
  </si>
  <si>
    <t>A250RA-GBXVJBA</t>
  </si>
  <si>
    <t>A250RA-GBXVJBB</t>
  </si>
  <si>
    <t>A250RA-GBXVJ20</t>
  </si>
  <si>
    <t>A250RA-GBXVJDA</t>
  </si>
  <si>
    <t>A250RA-GBXVJDB</t>
  </si>
  <si>
    <t>A250RA-GMXVJ00</t>
  </si>
  <si>
    <t>A250RA-GMXVJ</t>
  </si>
  <si>
    <t>RAIZE 1.0T G M/T One Tone</t>
  </si>
  <si>
    <t>RAIZE 1.0T G M/T Two Tone</t>
  </si>
  <si>
    <t>RAIZE 1.0T G M/T</t>
  </si>
  <si>
    <t>A250RA-GMXVJBA</t>
  </si>
  <si>
    <t>A250RA-GMXVJBB</t>
  </si>
  <si>
    <t>A250RA-GMXVJDA</t>
  </si>
  <si>
    <t>A250RA-GMXVJDB</t>
  </si>
  <si>
    <t>A251RA-GBXFJ00</t>
  </si>
  <si>
    <t>A251RA-GBXFJ</t>
  </si>
  <si>
    <t>RAIZE 1.2 G CVT One Tone</t>
  </si>
  <si>
    <t>A251RA-GBXFJ10</t>
  </si>
  <si>
    <t>A251RA-GBXFJCA</t>
  </si>
  <si>
    <t>RAIZE 1.2 G CVT</t>
  </si>
  <si>
    <t>A251RA-GBXFJ20</t>
  </si>
  <si>
    <t>A251RA-GBXFJK0</t>
  </si>
  <si>
    <t>K0</t>
  </si>
  <si>
    <t>A251RA-GMXFJ00</t>
  </si>
  <si>
    <t>A251RA-GMXFJ</t>
  </si>
  <si>
    <t>RAIZE 1.2 G M/T One Tone</t>
  </si>
  <si>
    <t>A251RA-GMXFJCA</t>
  </si>
  <si>
    <t>RAIZE 1.2 G M/T</t>
  </si>
  <si>
    <t>A351RA-GBEFJ00</t>
  </si>
  <si>
    <t>AGYA 1.2 G CVT</t>
  </si>
  <si>
    <t>GB</t>
  </si>
  <si>
    <t>GA</t>
  </si>
  <si>
    <t>A351RA-GBEFJFB</t>
  </si>
  <si>
    <t>FB</t>
  </si>
  <si>
    <t>A351RA-GBEFJ10</t>
  </si>
  <si>
    <t>A351RA-GBEFJR40</t>
  </si>
  <si>
    <t>R40</t>
  </si>
  <si>
    <t>A351RA-GBEFJ40</t>
  </si>
  <si>
    <t>A351RA-GBEFJAA</t>
  </si>
  <si>
    <t>A351RA-GBEFJBA</t>
  </si>
  <si>
    <t>A351RA-GBEFJCA</t>
  </si>
  <si>
    <t>A351RA-GBEFJDA</t>
  </si>
  <si>
    <t>A351RA-GBEFJAB</t>
  </si>
  <si>
    <t>AGYA 1.2 G CVT TCO</t>
  </si>
  <si>
    <t>AGYA 1.2 G CVT-TCO</t>
  </si>
  <si>
    <t>A351RA-GBGFJ00</t>
  </si>
  <si>
    <t>AGYA 1.2 GR CVT</t>
  </si>
  <si>
    <t>A351RA-GBGFJ11</t>
  </si>
  <si>
    <t>A351RA-GBGFJ10</t>
  </si>
  <si>
    <t>A351RA-GBGFJ02</t>
  </si>
  <si>
    <t>A351RA-GBGFJ01</t>
  </si>
  <si>
    <t>A351RA-GBGFJCA</t>
  </si>
  <si>
    <t>A351RA-GMEFJ00</t>
  </si>
  <si>
    <t>A351RA-GMEFJ</t>
  </si>
  <si>
    <t>AGYA 1.2G M/T</t>
  </si>
  <si>
    <t>A351RA-GBGFJCB</t>
  </si>
  <si>
    <t>A351RA-GMEFJAB</t>
  </si>
  <si>
    <t>A351RA-GMEFJAA</t>
  </si>
  <si>
    <t>AGYA 1.2 G M/T</t>
  </si>
  <si>
    <t>A351RA-GMEFJBA</t>
  </si>
  <si>
    <t>A351RA-GMEFJCA</t>
  </si>
  <si>
    <t>A351RA-GMEFJDA</t>
  </si>
  <si>
    <t>A351RA-GMGFJ00</t>
  </si>
  <si>
    <t>A351RA-GMGFJ</t>
  </si>
  <si>
    <t>AGYA 1.2 GR M/T</t>
  </si>
  <si>
    <t>A351RA-GMGFJ01</t>
  </si>
  <si>
    <t>A351RA-GMGFJCB</t>
  </si>
  <si>
    <t>A351RA-GMGFJCA</t>
  </si>
  <si>
    <t>A351RA-GMNFJ00</t>
  </si>
  <si>
    <t>A351RA-GMNFJ</t>
  </si>
  <si>
    <t>AGYA 1.2 E M/T</t>
  </si>
  <si>
    <t>AAHH40R-PFXLB00</t>
  </si>
  <si>
    <t>AAHH40R-PFXLB</t>
  </si>
  <si>
    <t>ALPHARD HYBRID</t>
  </si>
  <si>
    <t>ALPHARD 2.5 HYBRID CVT</t>
  </si>
  <si>
    <t>AAHH40R-PFXLB11</t>
  </si>
  <si>
    <t>AAHH40R-PFXLB71</t>
  </si>
  <si>
    <t>AAHH40R-PFXLB02</t>
  </si>
  <si>
    <t>AAHH40R-PFXLB01</t>
  </si>
  <si>
    <t>AAHH40R-PFXLBAA</t>
  </si>
  <si>
    <t>ALPHARD 2.5 HYBRID CVT TCO</t>
  </si>
  <si>
    <t>AAHH40R-PFXLBAB</t>
  </si>
  <si>
    <t>ALPHARD 2.5 HYBRID CVT NON PREMIUM COLOR TCO</t>
  </si>
  <si>
    <t>AAHH40R-PFXLB30</t>
  </si>
  <si>
    <t>AAHH40R-PFXZB00</t>
  </si>
  <si>
    <t>AAHH40R-PFXZB</t>
  </si>
  <si>
    <t>VELLFIRE 2.5 VIP HYBRID CVT</t>
  </si>
  <si>
    <t>AAHH40R-PFXZBAA</t>
  </si>
  <si>
    <t>AAHH40R-PFXZBaAB</t>
  </si>
  <si>
    <t>AAHH40R-PFXZBAB</t>
  </si>
  <si>
    <t>AAHH40R-PFXZB02</t>
  </si>
  <si>
    <t>AAHH40R-PFXZB01</t>
  </si>
  <si>
    <t>ACR50R-GFPGKM2</t>
  </si>
  <si>
    <t>ACR50R-GFPGK</t>
  </si>
  <si>
    <t>M2</t>
  </si>
  <si>
    <t>PREVIA</t>
  </si>
  <si>
    <t>NEW PREVIA 2.4 A/T (FULL SPEC)</t>
  </si>
  <si>
    <t>ACR50R-GFPGKM1</t>
  </si>
  <si>
    <t>M1</t>
  </si>
  <si>
    <t>NEW PREVIA 2.4 A/T</t>
  </si>
  <si>
    <t>ACV40R-DEADKQ00</t>
  </si>
  <si>
    <t>ACV40R-DEADKQ</t>
  </si>
  <si>
    <t>CAMRY LIMO PREMIUM 2.4</t>
  </si>
  <si>
    <t>ACV40R-JEAEKD10</t>
  </si>
  <si>
    <t>ACV40R-JEAEKD</t>
  </si>
  <si>
    <t>NEW CAMRY 2.4G A/T</t>
  </si>
  <si>
    <t>ACV40R-JEAEKD00</t>
  </si>
  <si>
    <t>ACV40R-JEAEKD60</t>
  </si>
  <si>
    <t>60</t>
  </si>
  <si>
    <t>ACV40R-JEAGKD10</t>
  </si>
  <si>
    <t>ACV40R-JEAGKD</t>
  </si>
  <si>
    <t>NEW CAMRY 2.4V A/T</t>
  </si>
  <si>
    <t>ACV40R-JEAGKD60</t>
  </si>
  <si>
    <t>AGH30R-NFXLKG6</t>
  </si>
  <si>
    <t>AGH30R-NFXLK</t>
  </si>
  <si>
    <t>G6</t>
  </si>
  <si>
    <t>VELLFIRE 2.5G A/T</t>
  </si>
  <si>
    <t>AGH30R-NFXLK21</t>
  </si>
  <si>
    <t>AGH30R-NFXLK23</t>
  </si>
  <si>
    <t>AGH30R-NFXLK20</t>
  </si>
  <si>
    <t>AGH30R-NFXLK22</t>
  </si>
  <si>
    <t>AGH30R-NFXLK10</t>
  </si>
  <si>
    <t>AGH30R-NFXLK12</t>
  </si>
  <si>
    <t>AGH30R-NFXLK13</t>
  </si>
  <si>
    <t>AGH30R-NFXLK11</t>
  </si>
  <si>
    <t>AGH30R-NFXLK00</t>
  </si>
  <si>
    <t>AGH30R-NFXLK01</t>
  </si>
  <si>
    <t>AGH30R-NFXLK02</t>
  </si>
  <si>
    <t>AGH30R-NFXLK03</t>
  </si>
  <si>
    <t>AGH30R-NFXLKG0</t>
  </si>
  <si>
    <t>G0</t>
  </si>
  <si>
    <t>AGH30R-NFXLKG1</t>
  </si>
  <si>
    <t>G1</t>
  </si>
  <si>
    <t>AGH30R-NFXLKG3</t>
  </si>
  <si>
    <t>G3</t>
  </si>
  <si>
    <t>VELLFIRE 2.5G A/T Limited Pearl Color</t>
  </si>
  <si>
    <t>AGH30R-NFXLKG2</t>
  </si>
  <si>
    <t>G2</t>
  </si>
  <si>
    <t>AGH30R-NFXLKG5</t>
  </si>
  <si>
    <t>G5</t>
  </si>
  <si>
    <t>AGH30R-NFXRK00</t>
  </si>
  <si>
    <t>AGH30R-NFXRK</t>
  </si>
  <si>
    <t>AGH30R-NFXRK01</t>
  </si>
  <si>
    <t>AGH30R-PFXGK20</t>
  </si>
  <si>
    <t>AGH30R-PFXGK</t>
  </si>
  <si>
    <t>ALPHARD 2.5X A/T</t>
  </si>
  <si>
    <t>AGH30R-PFXGK21</t>
  </si>
  <si>
    <t>AGH30R-PFXGKX2</t>
  </si>
  <si>
    <t>X2</t>
  </si>
  <si>
    <t>AGH30R-PFXGK10</t>
  </si>
  <si>
    <t>AGH30R-PFXGK11</t>
  </si>
  <si>
    <t>AGH30R-PFXGK00</t>
  </si>
  <si>
    <t>AGH30R-PFXGK01</t>
  </si>
  <si>
    <t>AGH30R-PFXGKX0</t>
  </si>
  <si>
    <t>X0</t>
  </si>
  <si>
    <t>AGH30R-PFXGK30</t>
  </si>
  <si>
    <t>30</t>
  </si>
  <si>
    <t>AGH30R-PFXGK31</t>
  </si>
  <si>
    <t>31</t>
  </si>
  <si>
    <t>AGH30R-PFXGKX1</t>
  </si>
  <si>
    <t>X1</t>
  </si>
  <si>
    <t>AGH30R-PFXLK20</t>
  </si>
  <si>
    <t>AGH30R-PFXLK</t>
  </si>
  <si>
    <t>ALPHARD 2.5G A/T</t>
  </si>
  <si>
    <t>AGH30R-PFXLK21</t>
  </si>
  <si>
    <t>AGH30R-PFXLKG4</t>
  </si>
  <si>
    <t>G4</t>
  </si>
  <si>
    <t>AGH30R-PFXLK10</t>
  </si>
  <si>
    <t>AGH30R-PFXLK11</t>
  </si>
  <si>
    <t>AGH30R-PFXLK00</t>
  </si>
  <si>
    <t>AGH30R-PFXLK01</t>
  </si>
  <si>
    <t>AGH30R-PFXLKG0</t>
  </si>
  <si>
    <t>AGH30R-PFXLK30</t>
  </si>
  <si>
    <t>AGH30R-PFXLK31</t>
  </si>
  <si>
    <t>AGH30R-PFXLKG1</t>
  </si>
  <si>
    <t>AGH40R-PFXGK00</t>
  </si>
  <si>
    <t>AGH40R-PFXGK</t>
  </si>
  <si>
    <t>ALPHARD 2.5X CVT</t>
  </si>
  <si>
    <t>AGH40R-PFXLK00</t>
  </si>
  <si>
    <t>AGH40R-PFXLK</t>
  </si>
  <si>
    <t>ALPHARD 2.5G CVT</t>
  </si>
  <si>
    <t>AGH40R-PFXGK01</t>
  </si>
  <si>
    <t>AGH40R-PFXLK11</t>
  </si>
  <si>
    <t>AGH40R-PFXLK71</t>
  </si>
  <si>
    <t>AGH40R-PF</t>
  </si>
  <si>
    <t>XLK</t>
  </si>
  <si>
    <t>AGH40R-PFXLK70</t>
  </si>
  <si>
    <t>AGH40R-PFXLK01</t>
  </si>
  <si>
    <t>AGH40R-PFXLKAB</t>
  </si>
  <si>
    <t>ALPHARD 2.5 G CVT - PREMIUM COLOR-TCO</t>
  </si>
  <si>
    <t>AGH40R-PFXLKAA</t>
  </si>
  <si>
    <t>ANH20R-PFXGK00</t>
  </si>
  <si>
    <t>ANH20R-PFXGK</t>
  </si>
  <si>
    <t>ALPHARD 2.4X A/T</t>
  </si>
  <si>
    <t>ANH20R-PFXGK10</t>
  </si>
  <si>
    <t>ANH20R-PFXGK11</t>
  </si>
  <si>
    <t>ANH20R-PFXGK20</t>
  </si>
  <si>
    <t>ANH20R-PFXGK21</t>
  </si>
  <si>
    <t>ANH20R-PFXGK30</t>
  </si>
  <si>
    <t>ANH20R-PFXGK31</t>
  </si>
  <si>
    <t>ANH20R-PFXGKX1</t>
  </si>
  <si>
    <t>ANH20R-PFXQK00</t>
  </si>
  <si>
    <t>ANH20R-PFXQK</t>
  </si>
  <si>
    <t>ALPHARD 2.4G A/T</t>
  </si>
  <si>
    <t>ANH20R-PFXQK10</t>
  </si>
  <si>
    <t>ANH20R-PFXQK11</t>
  </si>
  <si>
    <t>ANH20R-PFXQK20</t>
  </si>
  <si>
    <t>ANH20R-PFXQK21</t>
  </si>
  <si>
    <t>ANH20R-PFXQK31</t>
  </si>
  <si>
    <t>ANH20R-PFXQK30</t>
  </si>
  <si>
    <t>ANH20R-PFXQK40</t>
  </si>
  <si>
    <t>40</t>
  </si>
  <si>
    <t>ANH20R-PFXQK41</t>
  </si>
  <si>
    <t>41</t>
  </si>
  <si>
    <t>ANH20R-PFXQKG1</t>
  </si>
  <si>
    <t>ANH20W-PFXQK00</t>
  </si>
  <si>
    <t>ANH20W-PFXQK</t>
  </si>
  <si>
    <t>ASV50R-JETEKD12</t>
  </si>
  <si>
    <t>ASV50R-JETEKD</t>
  </si>
  <si>
    <t>CAMRY 2.5G A/T</t>
  </si>
  <si>
    <t>ASV50R-JETEKD82</t>
  </si>
  <si>
    <t>82</t>
  </si>
  <si>
    <t>ASV50R-JETEKD00</t>
  </si>
  <si>
    <t>ASV50R-JETEKD70</t>
  </si>
  <si>
    <t>70</t>
  </si>
  <si>
    <t>ASV50R-JETEKD10</t>
  </si>
  <si>
    <t>ASV50R-JETEKD80</t>
  </si>
  <si>
    <t>80</t>
  </si>
  <si>
    <t>ASV50R-JETEKD11</t>
  </si>
  <si>
    <t>ASV50R-JETEKD81</t>
  </si>
  <si>
    <t>81</t>
  </si>
  <si>
    <t>ASV50R-JETGKD12</t>
  </si>
  <si>
    <t>ASV50R-JETGKD</t>
  </si>
  <si>
    <t>CAMRY 2.5V A/T</t>
  </si>
  <si>
    <t>ASV50R-JETGKD82</t>
  </si>
  <si>
    <t>ASV50R-JETGKD00</t>
  </si>
  <si>
    <t>ASV50R-JETGKD70</t>
  </si>
  <si>
    <t>ASV50R-JETGKD10</t>
  </si>
  <si>
    <t>ASV50R-JETGKD80</t>
  </si>
  <si>
    <t>ASV50R-JETGKD11</t>
  </si>
  <si>
    <t>ASV50R-JETGKD81</t>
  </si>
  <si>
    <t>ASV70R-JETGKD71</t>
  </si>
  <si>
    <t>ASV70R-JETGKD</t>
  </si>
  <si>
    <t>71</t>
  </si>
  <si>
    <t>ASV70R-JETGKD01</t>
  </si>
  <si>
    <t>ASV70R-JETGKD00</t>
  </si>
  <si>
    <t>ASV70R-JETGKD70</t>
  </si>
  <si>
    <t>ASV70R-JETGKD02</t>
  </si>
  <si>
    <t>ASV70R-JETGKD03</t>
  </si>
  <si>
    <t>ASV70R-JETGKD73</t>
  </si>
  <si>
    <t>73</t>
  </si>
  <si>
    <t>ASV70R-JETGKD72</t>
  </si>
  <si>
    <t>72</t>
  </si>
  <si>
    <t>ASV70R-JETVKD01</t>
  </si>
  <si>
    <t>ASV70R-JETVKD</t>
  </si>
  <si>
    <t>ASV70R-JETVKD71</t>
  </si>
  <si>
    <t>ASV70R-JETVKD00</t>
  </si>
  <si>
    <t>ASV70R-JETVKD70</t>
  </si>
  <si>
    <t>ASV70R-JETVKD02</t>
  </si>
  <si>
    <t>ASV70R-JETVKD72</t>
  </si>
  <si>
    <t>ASV70R-JETVKD03</t>
  </si>
  <si>
    <t>ASV70R-JETVKD73</t>
  </si>
  <si>
    <t>AVU65W-ANXGB00</t>
  </si>
  <si>
    <t>AVU65W-ANXGB</t>
  </si>
  <si>
    <t>HARRIER</t>
  </si>
  <si>
    <t>HARRIER 2.5L HYBRID A/T</t>
  </si>
  <si>
    <t>AVV50R-JEXVBT12</t>
  </si>
  <si>
    <t>AVV50R-JEXVBT</t>
  </si>
  <si>
    <t>CAMRY 2.5L HYBRID A/T</t>
  </si>
  <si>
    <t>AVV50R-JEXVBT82</t>
  </si>
  <si>
    <t>AVV50R-JEXVBT00</t>
  </si>
  <si>
    <t>AVV50R-JEXVBT70</t>
  </si>
  <si>
    <t>AVV50R-JEXVBT10</t>
  </si>
  <si>
    <t>AVV50R-JEXVBT80</t>
  </si>
  <si>
    <t>AVV50R-JEXVBT11</t>
  </si>
  <si>
    <t>AVV50R-JEXVBT81</t>
  </si>
  <si>
    <t>AXAP54R-ANXGBW00</t>
  </si>
  <si>
    <t>AXAP54R-ANXGBW</t>
  </si>
  <si>
    <t>RAV4</t>
  </si>
  <si>
    <t>RAV4 GR-S PHEV A/T</t>
  </si>
  <si>
    <t>AXV70R-JEZGBT71</t>
  </si>
  <si>
    <t>AXV70R-JEZGBT</t>
  </si>
  <si>
    <t>AXVA70R-JEZGBT00</t>
  </si>
  <si>
    <t>AXVA70R-JEZGBT</t>
  </si>
  <si>
    <t>AXVA70R-JEZGBT70</t>
  </si>
  <si>
    <t>AXVA70R-JEZGBT01</t>
  </si>
  <si>
    <t>AXVA70R-JEZGBT71</t>
  </si>
  <si>
    <t>AXVH80R-JEXVBT</t>
  </si>
  <si>
    <t>CAMRY 2.5L HYBRID A/T (AXVH80R-JEXVBT)</t>
  </si>
  <si>
    <t>AXVA80R-JEZVBT</t>
  </si>
  <si>
    <t>AXVH80R-JEXVBT01</t>
  </si>
  <si>
    <t>AXVH71R-JEXVBD02</t>
  </si>
  <si>
    <t>AXVH71R-JEXVBD</t>
  </si>
  <si>
    <t>AXVH71R-JEXVBD72</t>
  </si>
  <si>
    <t>AXVH71R-JEXVBD03</t>
  </si>
  <si>
    <t>AXVH71R-JEXVBD73</t>
  </si>
  <si>
    <t>AXVH71R-JEXVBD00</t>
  </si>
  <si>
    <t>AXVH71R-JEXVBD71</t>
  </si>
  <si>
    <t>AXVH71R-JEXVBD01</t>
  </si>
  <si>
    <t>AXVH71R-JEXVBD70</t>
  </si>
  <si>
    <t>AXVH71R-JEXVBT00</t>
  </si>
  <si>
    <t>AXVH71R-JEXVBT</t>
  </si>
  <si>
    <t>AXVH71R-JEXVBT11</t>
  </si>
  <si>
    <t>AXVH71R-JEXVBT70</t>
  </si>
  <si>
    <t>AXVH71R-JEXVBT01</t>
  </si>
  <si>
    <t>AXVH71R-JEXVBT71</t>
  </si>
  <si>
    <t>AYH30R-PFXQB20</t>
  </si>
  <si>
    <t>AYH30R-PFXQB</t>
  </si>
  <si>
    <t>ALPHARD 2.5G HYBRID 4 x 4 A/T</t>
  </si>
  <si>
    <t>AYH30R-PFXQB21</t>
  </si>
  <si>
    <t>AYH30R-PFXQB10</t>
  </si>
  <si>
    <t>AYH30R-PFXQB11</t>
  </si>
  <si>
    <t>AYH30R-PFXQB00</t>
  </si>
  <si>
    <t>AYH30R-PFXQB01</t>
  </si>
  <si>
    <t>AYH30R-PFXQBH0</t>
  </si>
  <si>
    <t>H0</t>
  </si>
  <si>
    <t>AYH30R-PFXQB30</t>
  </si>
  <si>
    <t>AZSH21-AEXEB00</t>
  </si>
  <si>
    <t>AZSH21-AEXEB</t>
  </si>
  <si>
    <t>CROWN 2.5L HV G-EXECUTIVE FOUR</t>
  </si>
  <si>
    <t>B100RA-GMDFJ00</t>
  </si>
  <si>
    <t>B100RA-GMDFJ</t>
  </si>
  <si>
    <t>AGYA 1.0E M/T</t>
  </si>
  <si>
    <t>B100RA-GMDFJ01</t>
  </si>
  <si>
    <t>B100RA-GMDFJ11</t>
  </si>
  <si>
    <t>B100RA-GMQFJ00</t>
  </si>
  <si>
    <t>B100RA-GMQFJ</t>
  </si>
  <si>
    <t>AGYA 1.0G M/T</t>
  </si>
  <si>
    <t>B100RA-GMQFJ01</t>
  </si>
  <si>
    <t>B100RA-GMQFJ02</t>
  </si>
  <si>
    <t>B100RA-GMQFJ03</t>
  </si>
  <si>
    <t>B100RA-GMQFJ12</t>
  </si>
  <si>
    <t>B100RA-GMQFJ13</t>
  </si>
  <si>
    <t>B100RA-GMRFJ00</t>
  </si>
  <si>
    <t>B100RA-GMRFJ</t>
  </si>
  <si>
    <t>B100RA-GMRFJ01</t>
  </si>
  <si>
    <t>B100RA-GMRFJ10</t>
  </si>
  <si>
    <t>AGYA 1.0 E M/T</t>
  </si>
  <si>
    <t>B100RA-GMSFJ00</t>
  </si>
  <si>
    <t>B100RA-GMSFJ</t>
  </si>
  <si>
    <t>B100RA-GMSFJ01</t>
  </si>
  <si>
    <t>B100RA-GMSFJ10</t>
  </si>
  <si>
    <t>B100RA-GMSFJH1</t>
  </si>
  <si>
    <t>H1</t>
  </si>
  <si>
    <t>B100RA-GQDFJ00</t>
  </si>
  <si>
    <t>B100RA-GQDFJ</t>
  </si>
  <si>
    <t>AGYA 1.0E A/T</t>
  </si>
  <si>
    <t>B100RA-GQDFJ01</t>
  </si>
  <si>
    <t>B100RA-GQDFJ11</t>
  </si>
  <si>
    <t>B100RA-GQQFJ00</t>
  </si>
  <si>
    <t>B100RA-GQQFJ</t>
  </si>
  <si>
    <t>AGYA 1.0G A/T</t>
  </si>
  <si>
    <t>B100RA-GQQFJ01</t>
  </si>
  <si>
    <t>B100RA-GQQFJ02</t>
  </si>
  <si>
    <t>B100RA-GQQFJ03</t>
  </si>
  <si>
    <t>B100RA-GQQFJ12</t>
  </si>
  <si>
    <t>B100RA-GQQFJ13</t>
  </si>
  <si>
    <t>B100RA-GQSFJ00</t>
  </si>
  <si>
    <t>B100RA-GQSFJ</t>
  </si>
  <si>
    <t>B100RA-GQSFJ01</t>
  </si>
  <si>
    <t>B100RA-GQSFJ10</t>
  </si>
  <si>
    <t>B101RA-GMSGJ00</t>
  </si>
  <si>
    <t>B101RA-GMSGJ01</t>
  </si>
  <si>
    <t>B101RA-GMSGJ03</t>
  </si>
  <si>
    <t>B101RA-GMSGJ02</t>
  </si>
  <si>
    <t>AGYA 1.2G STD M/T</t>
  </si>
  <si>
    <t>B101RA-GMSGJ04</t>
  </si>
  <si>
    <t>04</t>
  </si>
  <si>
    <t>B101RA-GMSGJ10</t>
  </si>
  <si>
    <t>B101RA-GMSGJ11</t>
  </si>
  <si>
    <t>B101RA-GMSGJH3</t>
  </si>
  <si>
    <t>H3</t>
  </si>
  <si>
    <t>B101RA-GMSGJH4</t>
  </si>
  <si>
    <t>H4</t>
  </si>
  <si>
    <t>B101RA-GMSGJ21</t>
  </si>
  <si>
    <t>B101RA-GMSGJ31</t>
  </si>
  <si>
    <t>B101RA-GMSGJ41</t>
  </si>
  <si>
    <t>B101RA-GQSGJ00</t>
  </si>
  <si>
    <t>B101RA-GQSGJ</t>
  </si>
  <si>
    <t>AGYA 1.2G A/T</t>
  </si>
  <si>
    <t>B101RA-GQSGJ01</t>
  </si>
  <si>
    <t>B101RA-GQSGJ02</t>
  </si>
  <si>
    <t>AGYA 1.2G STD A/T</t>
  </si>
  <si>
    <t>B101RA-GQSGJ03</t>
  </si>
  <si>
    <t>B101RA-GQSGJ04</t>
  </si>
  <si>
    <t>B101RA-GQSGJ10</t>
  </si>
  <si>
    <t>B101RA-GQSGJ11</t>
  </si>
  <si>
    <t>B101RA-GQSGJH3</t>
  </si>
  <si>
    <t>B101RA-GQSGJH4</t>
  </si>
  <si>
    <t>B101RA-GQSGJ21</t>
  </si>
  <si>
    <t>B101RA-GQSGJ31</t>
  </si>
  <si>
    <t>B101RA-GQSGJ41</t>
  </si>
  <si>
    <t>B401RA-GMQFJ01</t>
  </si>
  <si>
    <t>B401RA-GMQFJ</t>
  </si>
  <si>
    <t>CALYA 1.2E STD M/T</t>
  </si>
  <si>
    <t>B401RA-GMQFJ00</t>
  </si>
  <si>
    <t>CALYA 1.2E M/T</t>
  </si>
  <si>
    <t>B401RA-GMQFJ03</t>
  </si>
  <si>
    <t>B401RA-GMQFJ02</t>
  </si>
  <si>
    <t>B401RA-GMQFJ11</t>
  </si>
  <si>
    <t>B401RA-GMQFJ10</t>
  </si>
  <si>
    <t>B401RA-GMQFJH1</t>
  </si>
  <si>
    <t>B401RA-GMQFJH0</t>
  </si>
  <si>
    <t>B401RA-GMQFJI0</t>
  </si>
  <si>
    <t>I0</t>
  </si>
  <si>
    <t>B401RA-GMQFJI1</t>
  </si>
  <si>
    <t>I1</t>
  </si>
  <si>
    <t>B401RA-GMQFJ20</t>
  </si>
  <si>
    <t>B401RA-GMQFJ21</t>
  </si>
  <si>
    <t>B401RA-GMQFJ22</t>
  </si>
  <si>
    <t>CALYA 1.2E STD M/T Low</t>
  </si>
  <si>
    <t>B401RA-GMZFJ02</t>
  </si>
  <si>
    <t>CALYA 1.2G M/T</t>
  </si>
  <si>
    <t>B401RA-GMZFJ10</t>
  </si>
  <si>
    <t>B401RA-GMZFJ12</t>
  </si>
  <si>
    <t>B401RA-GMZFJH0</t>
  </si>
  <si>
    <t>B401RA-GMZFJI0</t>
  </si>
  <si>
    <t>B401RA-GMZFJAJ</t>
  </si>
  <si>
    <t>B401RA-GMZFJBJ</t>
  </si>
  <si>
    <t>B401RA-GMZFJ00</t>
  </si>
  <si>
    <t>B401RA-GMZFJ20</t>
  </si>
  <si>
    <t>B401RA-GMZFJAA</t>
  </si>
  <si>
    <t>B401RA-GMZFJBA</t>
  </si>
  <si>
    <t>B401RA-GMZFJCA</t>
  </si>
  <si>
    <t>B401RA-GMZFJDA</t>
  </si>
  <si>
    <t>B401RA-GQQFJ00</t>
  </si>
  <si>
    <t>B401RA-GQQFJ</t>
  </si>
  <si>
    <t>CALYA 1.2E A/T</t>
  </si>
  <si>
    <t>B401RA-GQQFJ02</t>
  </si>
  <si>
    <t>B401RA-GQQFJ10</t>
  </si>
  <si>
    <t>B401RA-GQZFJ00</t>
  </si>
  <si>
    <t>CALYA 1.2G A/T</t>
  </si>
  <si>
    <t>B401RA-GQZFJEB</t>
  </si>
  <si>
    <t>B401RA-GQZFJFA</t>
  </si>
  <si>
    <t>FA</t>
  </si>
  <si>
    <t>B401RA-GQZFJEA</t>
  </si>
  <si>
    <t>B401RA-GQZFJ02</t>
  </si>
  <si>
    <t>B401RA-GQZFJ10</t>
  </si>
  <si>
    <t>B401RA-GQZFJ13</t>
  </si>
  <si>
    <t>B401RA-GQZFJH0</t>
  </si>
  <si>
    <t>B401RA-GQZFJI0</t>
  </si>
  <si>
    <t>B401RA-GQZFJAJ</t>
  </si>
  <si>
    <t>B401RA-GQZFJBJ</t>
  </si>
  <si>
    <t>B401RA-GQZFJ20</t>
  </si>
  <si>
    <t>B401RA-GQZFJAA</t>
  </si>
  <si>
    <t>B401RA-GQZFJBA</t>
  </si>
  <si>
    <t>B401RA-GQZFJCA</t>
  </si>
  <si>
    <t>B401RA-GQZFJDA</t>
  </si>
  <si>
    <t>BU343R-TKMQSD300</t>
  </si>
  <si>
    <t>BU343R-TKMQSD3</t>
  </si>
  <si>
    <t>DYNA LONG 3700</t>
  </si>
  <si>
    <t>DAAAVU65W-ANXGB00</t>
  </si>
  <si>
    <t>DAAAVU65W-ANXGB</t>
  </si>
  <si>
    <t>DB02R-ZURW02</t>
  </si>
  <si>
    <t>DB02R-ZURW</t>
  </si>
  <si>
    <t>SUPRA 3.0L A/T - SPECIAL EDITION</t>
  </si>
  <si>
    <t>DB02R-ZURW01</t>
  </si>
  <si>
    <t>SUPRA 3.0L A/T</t>
  </si>
  <si>
    <t>DB02R-ZURW00</t>
  </si>
  <si>
    <t>DB06R-ZURW10</t>
  </si>
  <si>
    <t>DB06R-ZURW</t>
  </si>
  <si>
    <t>DB06R-ZURW20</t>
  </si>
  <si>
    <t>DB06R-ZURW01</t>
  </si>
  <si>
    <t>DB06R-ZURW00</t>
  </si>
  <si>
    <t>DB42R-ZRRW01</t>
  </si>
  <si>
    <t>DB42R-ZRRW</t>
  </si>
  <si>
    <t>DB42R-ZRRW00</t>
  </si>
  <si>
    <t>DBAZSU60W-ANXGP00</t>
  </si>
  <si>
    <t>DBAZSU60W-ANXGP</t>
  </si>
  <si>
    <t>HARRIER 2.0L A/T</t>
  </si>
  <si>
    <t>F601RM-GMDEJ00</t>
  </si>
  <si>
    <t>F601RM-GMDEJ</t>
  </si>
  <si>
    <t>AVANZA 1300</t>
  </si>
  <si>
    <t>F601RM-GMDFJJ10</t>
  </si>
  <si>
    <t>F601RM-GMDFJJ</t>
  </si>
  <si>
    <t>AVANZA 1300 E</t>
  </si>
  <si>
    <t>F601RM-GMDFJJ00</t>
  </si>
  <si>
    <t>F601RM-GMMEJ00</t>
  </si>
  <si>
    <t>F601RM-GMMEJ</t>
  </si>
  <si>
    <t>F601RM-GMMFJJW0</t>
  </si>
  <si>
    <t>F601RM-GMMFJJ</t>
  </si>
  <si>
    <t>W0</t>
  </si>
  <si>
    <t>AVANZA 1300 G</t>
  </si>
  <si>
    <t>F601RM-GMMFJJ10</t>
  </si>
  <si>
    <t>F601RM-GMMFJJ00</t>
  </si>
  <si>
    <t>F601RM-GQDFJJ00</t>
  </si>
  <si>
    <t>F601RM-GQDFJJ</t>
  </si>
  <si>
    <t>AVANZA 1.3E A/T</t>
  </si>
  <si>
    <t>F601RM-GQDFJJ10</t>
  </si>
  <si>
    <t>F601RM-GQMFJJ00</t>
  </si>
  <si>
    <t>F601RM-GQMFJJ</t>
  </si>
  <si>
    <t>AVANZA 1.3G A/T</t>
  </si>
  <si>
    <t>F601RM-GQMFJJ10</t>
  </si>
  <si>
    <t>F602RM-GMSFJJ10</t>
  </si>
  <si>
    <t>F602RM-GMSFJJ</t>
  </si>
  <si>
    <t>AVANZA 1500 S</t>
  </si>
  <si>
    <t>F602RM-GMSFJJ00</t>
  </si>
  <si>
    <t>F602RM-GQSFJJ10</t>
  </si>
  <si>
    <t>F602RM-GQSFJJ</t>
  </si>
  <si>
    <t>AVANZA 1500 S AUTOMATIC</t>
  </si>
  <si>
    <t>F602RM-GQSFJJ20</t>
  </si>
  <si>
    <t>F651RM-GMDFJ00</t>
  </si>
  <si>
    <t>F651RM-GMDFJ</t>
  </si>
  <si>
    <t>NEW AVANZA 1.3E M/T</t>
  </si>
  <si>
    <t>F651RM-GMDFJ10</t>
  </si>
  <si>
    <t>F651RM-GMMFJ00</t>
  </si>
  <si>
    <t>F651RM-GMMFJ</t>
  </si>
  <si>
    <t>NEW AVANZA 1.3G M/T</t>
  </si>
  <si>
    <t>F651RM-GMMFJ10</t>
  </si>
  <si>
    <t>F651RM-GMMFJ20</t>
  </si>
  <si>
    <t>F651RM-GMMFJ21</t>
  </si>
  <si>
    <t>F651RM-GQDFJ00</t>
  </si>
  <si>
    <t>F651RM-GQDFJ</t>
  </si>
  <si>
    <t>NEW AVANZA 1.3E A/T</t>
  </si>
  <si>
    <t>F651RM-GQDFJ10</t>
  </si>
  <si>
    <t>F651RM-GQMFJ00</t>
  </si>
  <si>
    <t>F651RM-GQMFJ</t>
  </si>
  <si>
    <t>NEW AVANZA 1.3G A/T</t>
  </si>
  <si>
    <t>F651RM-GQMFJ10</t>
  </si>
  <si>
    <t>F651RM-GQMFJ20</t>
  </si>
  <si>
    <t>F651RM-GQMFJ21</t>
  </si>
  <si>
    <t>F652RM-GMMFJ00</t>
  </si>
  <si>
    <t>F652RM-GMMFJ</t>
  </si>
  <si>
    <t>NEW AVANZA 1.5G M/T</t>
  </si>
  <si>
    <t>F652RM-GMMFJ10</t>
  </si>
  <si>
    <t>F652RM-GMMFJ20</t>
  </si>
  <si>
    <t>F652RM-GMSFJ00</t>
  </si>
  <si>
    <t>F652RM-GMSFJ</t>
  </si>
  <si>
    <t>NEW AVANZA VELOZ 1.5 M/T</t>
  </si>
  <si>
    <t>F652RM-GMSFJ10</t>
  </si>
  <si>
    <t>F652RM-GMSFJ20</t>
  </si>
  <si>
    <t>F652RM-GMSFJ21</t>
  </si>
  <si>
    <t>F652RM-GQSFJ00</t>
  </si>
  <si>
    <t>F652RM-GQSFJ</t>
  </si>
  <si>
    <t>NEW AVANZA VELOZ 1.5 A/T</t>
  </si>
  <si>
    <t>F652RM-GQSFJ10</t>
  </si>
  <si>
    <t>F652RM-GQSFJ20</t>
  </si>
  <si>
    <t>F652RM-GQSFJ21</t>
  </si>
  <si>
    <t>F653RM-GMDFJ21</t>
  </si>
  <si>
    <t>F653RM-GMDFJ</t>
  </si>
  <si>
    <t>AVANZA 1.3E M/T</t>
  </si>
  <si>
    <t>F653RM-GMDFJ22</t>
  </si>
  <si>
    <t>AVANZA 1.3E STD M/T</t>
  </si>
  <si>
    <t>F653RM-GMDFJH2</t>
  </si>
  <si>
    <t>H2</t>
  </si>
  <si>
    <t>F653RM-GMDFJH1</t>
  </si>
  <si>
    <t>F653RM-GMDFJ12</t>
  </si>
  <si>
    <t>F653RM-GMDFJ11</t>
  </si>
  <si>
    <t>F653RM-GMDFJ04</t>
  </si>
  <si>
    <t>F653RM-GMDFJ03</t>
  </si>
  <si>
    <t>F653RM-GMDFJ07</t>
  </si>
  <si>
    <t>07</t>
  </si>
  <si>
    <t>F653RM-GMDFJ06</t>
  </si>
  <si>
    <t>06</t>
  </si>
  <si>
    <t>F653RM-GMDFJ00</t>
  </si>
  <si>
    <t>F653RM-GMDFJ01</t>
  </si>
  <si>
    <t>F653RM-GMDFJ24</t>
  </si>
  <si>
    <t>24</t>
  </si>
  <si>
    <t>AVANZA 1.3 Transmover M/T - New</t>
  </si>
  <si>
    <t>F653RM-GMDFJ25</t>
  </si>
  <si>
    <t>25</t>
  </si>
  <si>
    <t>F653RM-GMDFJ08</t>
  </si>
  <si>
    <t>AVANZA 1.3 TRANSMOVER M/T</t>
  </si>
  <si>
    <t>F653RM-GMDFJ05</t>
  </si>
  <si>
    <t>05</t>
  </si>
  <si>
    <t>F653RM-GMDFJ13</t>
  </si>
  <si>
    <t>F653RM-GMDFJ02</t>
  </si>
  <si>
    <t>F653RM-GMDFJ23</t>
  </si>
  <si>
    <t>F653RM-GMDFJH4</t>
  </si>
  <si>
    <t>F653RM-GMDFJH5</t>
  </si>
  <si>
    <t>H5</t>
  </si>
  <si>
    <t>F653RM-GMDFJJ4</t>
  </si>
  <si>
    <t>J4</t>
  </si>
  <si>
    <t>F653RM-GMMFJ21</t>
  </si>
  <si>
    <t>F653RM-GMMFJ</t>
  </si>
  <si>
    <t>AVANZA 1.3G M/T</t>
  </si>
  <si>
    <t>F653RM-GMMFJH1</t>
  </si>
  <si>
    <t>F653RM-GMMFJ11</t>
  </si>
  <si>
    <t>F653RM-GMMFJ12</t>
  </si>
  <si>
    <t>F653RM-GMMFJ02</t>
  </si>
  <si>
    <t>F653RM-GMMFJ03</t>
  </si>
  <si>
    <t>F653RM-GMMFJ04</t>
  </si>
  <si>
    <t>F653RM-GMMFJ05</t>
  </si>
  <si>
    <t>F653RM-GMMFJ00</t>
  </si>
  <si>
    <t>F653RM-GMMFJ01</t>
  </si>
  <si>
    <t>F653RM-GMMFJAA</t>
  </si>
  <si>
    <t>F653RM-GMMFJBA</t>
  </si>
  <si>
    <t>F653RM-GMSFJ21</t>
  </si>
  <si>
    <t>F653RM-GMSFJ</t>
  </si>
  <si>
    <t>AVANZA 1.3 VELOZ M/T</t>
  </si>
  <si>
    <t>F653RM-GMSFJH1</t>
  </si>
  <si>
    <t>F653RM-GMSFJ11</t>
  </si>
  <si>
    <t>F653RM-GMSFJ02</t>
  </si>
  <si>
    <t>F653RM-GMSFJ03</t>
  </si>
  <si>
    <t>F653RM-GMSFJ00</t>
  </si>
  <si>
    <t>F653RM-GMSFJ01</t>
  </si>
  <si>
    <t>F653RM-GMSFJ31</t>
  </si>
  <si>
    <t>F653RM-GQDFJ22</t>
  </si>
  <si>
    <t>F653RM-GQDFJ</t>
  </si>
  <si>
    <t>AVANZA 1.3E STD A/T</t>
  </si>
  <si>
    <t>F653RM-GQDFJ21</t>
  </si>
  <si>
    <t>F653RM-GQDFJH2</t>
  </si>
  <si>
    <t>F653RM-GQDFJH1</t>
  </si>
  <si>
    <t>F653RM-GQDFJ12</t>
  </si>
  <si>
    <t>F653RM-GQDFJ11</t>
  </si>
  <si>
    <t>F653RM-GQDFJ03</t>
  </si>
  <si>
    <t>F653RM-GQDFJ02</t>
  </si>
  <si>
    <t>F653RM-GQDFJ05</t>
  </si>
  <si>
    <t>F653RM-GQDFJ04</t>
  </si>
  <si>
    <t>F653RM-GQDFJ00</t>
  </si>
  <si>
    <t>F653RM-GQDFJ01</t>
  </si>
  <si>
    <t>F653RM-GQDFJ26</t>
  </si>
  <si>
    <t>26</t>
  </si>
  <si>
    <t>AVANZA 1.3 Transmover A/T - New</t>
  </si>
  <si>
    <t>F653RM-GQMFJ21</t>
  </si>
  <si>
    <t>F653RM-GQMFJ</t>
  </si>
  <si>
    <t>F653RM-GQMFJH1</t>
  </si>
  <si>
    <t>F653RM-GQMFJ11</t>
  </si>
  <si>
    <t>F653RM-GQMFJ01</t>
  </si>
  <si>
    <t>F653RM-GQMFJ02</t>
  </si>
  <si>
    <t>F653RM-GQMFJ00</t>
  </si>
  <si>
    <t>F653RM-GQSFJ21</t>
  </si>
  <si>
    <t>F653RM-GQSFJ</t>
  </si>
  <si>
    <t>AVANZA 1.3 VELOZ A/T</t>
  </si>
  <si>
    <t>F653RM-GQSFJH1</t>
  </si>
  <si>
    <t>F653RM-GQSFJ11</t>
  </si>
  <si>
    <t>F653RM-GQSFJ02</t>
  </si>
  <si>
    <t>F653RM-GQSFJ03</t>
  </si>
  <si>
    <t>F653RM-GQSFJ00</t>
  </si>
  <si>
    <t>F653RM-GQSFJ01</t>
  </si>
  <si>
    <t>F653RM-GQSFJ31</t>
  </si>
  <si>
    <t>F654RM-GMMFJ21</t>
  </si>
  <si>
    <t>F654RM-GMMFJ</t>
  </si>
  <si>
    <t>AVANZA 1.5G M/T</t>
  </si>
  <si>
    <t>F654RM-GMMFJH1</t>
  </si>
  <si>
    <t>F654RM-GMMFJ12</t>
  </si>
  <si>
    <t>F654RM-GMMFJ11</t>
  </si>
  <si>
    <t>F654RM-GMMFJ01</t>
  </si>
  <si>
    <t>F654RM-GMMFJ02</t>
  </si>
  <si>
    <t>F654RM-GMMFJ03</t>
  </si>
  <si>
    <t>F654RM-GMMFJ04</t>
  </si>
  <si>
    <t>F654RM-GMMFJ00</t>
  </si>
  <si>
    <t>F654RM-GMSFJ21</t>
  </si>
  <si>
    <t>F654RM-GMSFJ</t>
  </si>
  <si>
    <t>AVANZA 1.5 VELOZ M/T</t>
  </si>
  <si>
    <t>F654RM-GMSFJH1</t>
  </si>
  <si>
    <t>F654RM-GMSFJ11</t>
  </si>
  <si>
    <t>F654RM-GMSFJ02</t>
  </si>
  <si>
    <t>F654RM-GMSFJ03</t>
  </si>
  <si>
    <t>F654RM-GMSFJ00</t>
  </si>
  <si>
    <t>F654RM-GMSFJ01</t>
  </si>
  <si>
    <t>F654RM-GMSFJ31</t>
  </si>
  <si>
    <t>F654RM-GMSFJAA</t>
  </si>
  <si>
    <t>F654RM-GMSFJBA</t>
  </si>
  <si>
    <t>F654RM-GMSFJAB</t>
  </si>
  <si>
    <t>F654RM-GMSFJBB</t>
  </si>
  <si>
    <t>F654RM-GQSFJ21</t>
  </si>
  <si>
    <t>F654RM-GQSFJ</t>
  </si>
  <si>
    <t>AVANZA 1.5 VELOZ A/T</t>
  </si>
  <si>
    <t>F654RM-GQSFJH1</t>
  </si>
  <si>
    <t>F654RM-GQSFJ11</t>
  </si>
  <si>
    <t>F654RM-GQSFJ02</t>
  </si>
  <si>
    <t>F654RM-GQSFJ03</t>
  </si>
  <si>
    <t>F654RM-GQSFJ00</t>
  </si>
  <si>
    <t>F654RM-GQSFJ01</t>
  </si>
  <si>
    <t>F654RM-GQSFJ31</t>
  </si>
  <si>
    <t>F654RM-GQSFJ23</t>
  </si>
  <si>
    <t>F700RE-GMDFJ01</t>
  </si>
  <si>
    <t>F700RE-GMDFJ</t>
  </si>
  <si>
    <t>RUSH</t>
  </si>
  <si>
    <t>RUSH 1.5G</t>
  </si>
  <si>
    <t>F700RE-GMDFJ10</t>
  </si>
  <si>
    <t>F700RE-GMDFJ00</t>
  </si>
  <si>
    <t>F700RE-GMDFJ20</t>
  </si>
  <si>
    <t>RUSH 1.5G M/T</t>
  </si>
  <si>
    <t>F700RE-GMDFJ30</t>
  </si>
  <si>
    <t>F700RE-GMDFJ31</t>
  </si>
  <si>
    <t>F700RE-GMMFJ00</t>
  </si>
  <si>
    <t>F700RE-GMMFJ</t>
  </si>
  <si>
    <t>RUSH 1.5S</t>
  </si>
  <si>
    <t>F700RE-GMMFJ01</t>
  </si>
  <si>
    <t>F700RE-GMMFJ10</t>
  </si>
  <si>
    <t>F700RE-GMMFJ11</t>
  </si>
  <si>
    <t>F700RE-GMMFJ20</t>
  </si>
  <si>
    <t>RUSH 1.5S M/T</t>
  </si>
  <si>
    <t>F700RE-GMMFJ30</t>
  </si>
  <si>
    <t>F700RE-GMMFJ31</t>
  </si>
  <si>
    <t>F700RE-GMMFJ40</t>
  </si>
  <si>
    <t>F700RE-GMMFJ41</t>
  </si>
  <si>
    <t>F700RE-GQDFJ00</t>
  </si>
  <si>
    <t>F700RE-GQDFJ</t>
  </si>
  <si>
    <t>RUSH 1.5G A/T</t>
  </si>
  <si>
    <t>F700RE-GQDFJ10</t>
  </si>
  <si>
    <t>F700RE-GQDFJ20</t>
  </si>
  <si>
    <t>F700RE-GQDFJ30</t>
  </si>
  <si>
    <t>F700RE-GQDFJ31</t>
  </si>
  <si>
    <t>F700RE-GQMFJ01</t>
  </si>
  <si>
    <t>F700RE-GQMFJ</t>
  </si>
  <si>
    <t>RUSH 1.5S A/T</t>
  </si>
  <si>
    <t>F700RE-GQMFJ10</t>
  </si>
  <si>
    <t>F700RE-GQMFJ11</t>
  </si>
  <si>
    <t>F700RE-GQMFJ20</t>
  </si>
  <si>
    <t>F700RE-GQMFJ30</t>
  </si>
  <si>
    <t>F700RE-GQMFJ31</t>
  </si>
  <si>
    <t>F700RE-GQMFJ40</t>
  </si>
  <si>
    <t>F700RE-GQMFJ41</t>
  </si>
  <si>
    <t>F700RE-GQMFJ00</t>
  </si>
  <si>
    <t>F800RE-GMGFJ00</t>
  </si>
  <si>
    <t>F800RE-GMGFJ</t>
  </si>
  <si>
    <t>F800RE-GMGFJAD</t>
  </si>
  <si>
    <t>F800RE-GMGFJ10</t>
  </si>
  <si>
    <t>F800RE-GMGFJH0</t>
  </si>
  <si>
    <t>F800RE-GMGFJI0</t>
  </si>
  <si>
    <t>F800RE-GMGFJ20</t>
  </si>
  <si>
    <t>F800RE-GMGFJAJ</t>
  </si>
  <si>
    <t>F800RE-GMGFJBJ</t>
  </si>
  <si>
    <t>F800RE-GMGFJ1A</t>
  </si>
  <si>
    <t>1A</t>
  </si>
  <si>
    <t>F800RE-GMGFJAB</t>
  </si>
  <si>
    <t>F800RE-GMGFJBB</t>
  </si>
  <si>
    <t>F800RE-GMGFJ30</t>
  </si>
  <si>
    <t>F800RE-GMGFJAC</t>
  </si>
  <si>
    <t>F800RE-GMGFJBC</t>
  </si>
  <si>
    <t>F800RE-GMMFJ00</t>
  </si>
  <si>
    <t>F800RE-GMMFJ</t>
  </si>
  <si>
    <t>F800RE-GMMFJ10</t>
  </si>
  <si>
    <t>F800RE-GMMFJH0</t>
  </si>
  <si>
    <t>F800RE-GMMFJI0</t>
  </si>
  <si>
    <t>F800RE-GMMFJ20</t>
  </si>
  <si>
    <t>F800RE-GMMFJ1A</t>
  </si>
  <si>
    <t>F800RE-GQGFJ00</t>
  </si>
  <si>
    <t>F800RE-GQGFJ</t>
  </si>
  <si>
    <t>F800RE-GQGFJBD</t>
  </si>
  <si>
    <t>F800RE-GQGFJAD</t>
  </si>
  <si>
    <t>F800RE-GQGFJ10</t>
  </si>
  <si>
    <t>F800RE-GQGFJH0</t>
  </si>
  <si>
    <t>F800RE-GQGFJI0</t>
  </si>
  <si>
    <t>F800RE-GQGFJ20</t>
  </si>
  <si>
    <t>F800RE-GQGFJAJ</t>
  </si>
  <si>
    <t>F800RE-GQGFJBJ</t>
  </si>
  <si>
    <t>F800RE-GQGFJ1A</t>
  </si>
  <si>
    <t>F800RE-GQGFJAB</t>
  </si>
  <si>
    <t>F800RE-GQGFJBB</t>
  </si>
  <si>
    <t>F800RE-GQGFJ30</t>
  </si>
  <si>
    <t>F800RE-GQGFJAC</t>
  </si>
  <si>
    <t>F800RE-GQGFJBC</t>
  </si>
  <si>
    <t>F800RE-GQGFJK3</t>
  </si>
  <si>
    <t>K3</t>
  </si>
  <si>
    <t>F800RE-GQMFJ00</t>
  </si>
  <si>
    <t>F800RE-GQMFJ</t>
  </si>
  <si>
    <t>F800RE-GQMFJBA</t>
  </si>
  <si>
    <t>F800RE-GQMFJAA</t>
  </si>
  <si>
    <t>F800RE-GQMFJ10</t>
  </si>
  <si>
    <t>F800RE-GQMFJH0</t>
  </si>
  <si>
    <t>F800RE-GQMFJI0</t>
  </si>
  <si>
    <t>F800RE-GQMFJ20</t>
  </si>
  <si>
    <t>F800RE-GQMFJ1A</t>
  </si>
  <si>
    <t>FJA300R-GNUSY00</t>
  </si>
  <si>
    <t>FJA300R-GNUSY</t>
  </si>
  <si>
    <t>LAND CRUISER 300 GR-S 4x4 A/T</t>
  </si>
  <si>
    <t>FJA300R-GNUSYDA</t>
  </si>
  <si>
    <t>FJA300R-GNUSY22</t>
  </si>
  <si>
    <t>FJA300R-GNUSY18</t>
  </si>
  <si>
    <t>FJA300R-GNUSY23</t>
  </si>
  <si>
    <t>FJA300R-GNUSY14</t>
  </si>
  <si>
    <t>FJA300R-GNUSY19</t>
  </si>
  <si>
    <t>FJA300R-GNUSY01</t>
  </si>
  <si>
    <t>FJA300R-GNUSY02</t>
  </si>
  <si>
    <t>FJA300R-GNUSY03</t>
  </si>
  <si>
    <t>FJA300R-GNUSY04</t>
  </si>
  <si>
    <t>FJA300R-GNUSY05</t>
  </si>
  <si>
    <t>FJA300R-GNUSY07</t>
  </si>
  <si>
    <t>FJA300R-GNUSY06</t>
  </si>
  <si>
    <t>FJA300R-GNUSY08</t>
  </si>
  <si>
    <t>FJA300R-GNUSY09</t>
  </si>
  <si>
    <t>09</t>
  </si>
  <si>
    <t>FJA300R-GNUSY10</t>
  </si>
  <si>
    <t>FJA300R-GNUSY11</t>
  </si>
  <si>
    <t>FJA300R-GNUSY12</t>
  </si>
  <si>
    <t>FJA300R-GNUSY13</t>
  </si>
  <si>
    <t>14</t>
  </si>
  <si>
    <t>FJA300R-GNUSY15</t>
  </si>
  <si>
    <t>15</t>
  </si>
  <si>
    <t>FJA300R-GNUSYAA</t>
  </si>
  <si>
    <t>FJA300R-GNUSYAB</t>
  </si>
  <si>
    <t>FJA300R-GNUSYAC</t>
  </si>
  <si>
    <t>FJA300R-GNUSYAD</t>
  </si>
  <si>
    <t>FJA300R-GNUVY00</t>
  </si>
  <si>
    <t>FJA300R-GNUVY</t>
  </si>
  <si>
    <t>LAND CRUISER 300 VX 4x4 A/T</t>
  </si>
  <si>
    <t>FJA300R-GNUVY01</t>
  </si>
  <si>
    <t>FJA300R-GNUVY02</t>
  </si>
  <si>
    <t>FJA300R-GNUVY03</t>
  </si>
  <si>
    <t>FJA300R-GNUZY00</t>
  </si>
  <si>
    <t>FJA300R-GNUZY</t>
  </si>
  <si>
    <t>LAND CRUISER 300 ZX 4x4 A/T</t>
  </si>
  <si>
    <t>FJA300R-GNUZY15</t>
  </si>
  <si>
    <t>FJA300R-GNUZY14</t>
  </si>
  <si>
    <t>FJA300R-GNUZY01</t>
  </si>
  <si>
    <t>LAND CRUISER 300 VX-R 4x4 A/T</t>
  </si>
  <si>
    <t>FJA300R-GNUZY02</t>
  </si>
  <si>
    <t>FJA300R-GNUZY03</t>
  </si>
  <si>
    <t>FJA300R-GNUZY04</t>
  </si>
  <si>
    <t>FJA300R-GNUZY05</t>
  </si>
  <si>
    <t>FJA300R-GNUZY06</t>
  </si>
  <si>
    <t>FJA300R-GNUZY07</t>
  </si>
  <si>
    <t>FJA300R-GNUZY24</t>
  </si>
  <si>
    <t>FJA300R-GNUZY25</t>
  </si>
  <si>
    <t>FJA300R-GNUZYAA</t>
  </si>
  <si>
    <t>FJA300R-GNUZYAB</t>
  </si>
  <si>
    <t>FJA300R-GNUZYAC</t>
  </si>
  <si>
    <t>FJA300R-GNUZYAD</t>
  </si>
  <si>
    <t>GDH321R-EDFDYD00</t>
  </si>
  <si>
    <t>HIACE 2.8 M/T</t>
  </si>
  <si>
    <t>GDH321R-EDFDYD10</t>
  </si>
  <si>
    <t>GDH321R-EDFDYD01</t>
  </si>
  <si>
    <t>GDH321R-EDFDYD1</t>
  </si>
  <si>
    <t>1</t>
  </si>
  <si>
    <t>GDH321R-EDFDYD02</t>
  </si>
  <si>
    <t>GDH321R-EDFDYD21</t>
  </si>
  <si>
    <t>GDH322R-EDFPY01</t>
  </si>
  <si>
    <t>GDH322R-EDFPY</t>
  </si>
  <si>
    <t>GDH322R-EDFPY00</t>
  </si>
  <si>
    <t>GGH20R-PFTQK00</t>
  </si>
  <si>
    <t>GGH20R-PFTQK</t>
  </si>
  <si>
    <t>ALPHARD 3.5 A/T</t>
  </si>
  <si>
    <t>GGH20R-PFTQK10</t>
  </si>
  <si>
    <t>GGH20R-PFTQK11</t>
  </si>
  <si>
    <t>GGH20R-PFTQK20</t>
  </si>
  <si>
    <t>GGH20R-PFTQK21</t>
  </si>
  <si>
    <t>GGH20R-PFTQK30</t>
  </si>
  <si>
    <t>GGH20R-PFTQK31</t>
  </si>
  <si>
    <t>GGH20R-PFTQKL1</t>
  </si>
  <si>
    <t>L1</t>
  </si>
  <si>
    <t>GGH30R-PFTVK00</t>
  </si>
  <si>
    <t>GGH30R-PFTVK</t>
  </si>
  <si>
    <t>ALPHARD 3.5Q A/T</t>
  </si>
  <si>
    <t>GGH30R-PFTVK01</t>
  </si>
  <si>
    <t>GGH30R-PFTVKL0</t>
  </si>
  <si>
    <t>L0</t>
  </si>
  <si>
    <t>GGH30R-PFZVK10</t>
  </si>
  <si>
    <t>GGH30R-PFZVK</t>
  </si>
  <si>
    <t>GGH30R-PFZVK11</t>
  </si>
  <si>
    <t>GGH30R-PFZVKL1</t>
  </si>
  <si>
    <t>GGH30R-PFZVK00</t>
  </si>
  <si>
    <t>GGH30R-PFZVK01</t>
  </si>
  <si>
    <t>GGH30R-PFZVK20</t>
  </si>
  <si>
    <t>GGH30R-PFZVK21</t>
  </si>
  <si>
    <t>GGH30R-PFZVKL0</t>
  </si>
  <si>
    <t>GRS202-AETUH00</t>
  </si>
  <si>
    <t>GRS202-AETUH</t>
  </si>
  <si>
    <t>CROWN ROYAL SALOON 3.0G A/T</t>
  </si>
  <si>
    <t>GRS202R-AETQK00</t>
  </si>
  <si>
    <t>GRS202R-AETQK</t>
  </si>
  <si>
    <t>GRS210-AETUH00</t>
  </si>
  <si>
    <t>GRS210-AETUH</t>
  </si>
  <si>
    <t>CROWN ROYAL SALOON 2.5G A/T</t>
  </si>
  <si>
    <t>GRX130R-AETZH00</t>
  </si>
  <si>
    <t>GRX130R-AETZH</t>
  </si>
  <si>
    <t>MARK X</t>
  </si>
  <si>
    <t>MARK X 2.5 A/T</t>
  </si>
  <si>
    <t>GSJ15R-GKASKQ00</t>
  </si>
  <si>
    <t>GSJ15R-GKASKQ</t>
  </si>
  <si>
    <t>FJCRUISER</t>
  </si>
  <si>
    <t>FJ CRUISER</t>
  </si>
  <si>
    <t>GSJ15R-GKASKQ01</t>
  </si>
  <si>
    <t>GSJ15R-GKASKQ10</t>
  </si>
  <si>
    <t>GSJ15R-GKASKQ11</t>
  </si>
  <si>
    <t>GSV40R-JETGKD00</t>
  </si>
  <si>
    <t>GSV40R-JETGKD</t>
  </si>
  <si>
    <t>NEW CAMRY 3.5Q A/T</t>
  </si>
  <si>
    <t>GSV40R-JETGKD10</t>
  </si>
  <si>
    <t>GSV40R-JETGKD60</t>
  </si>
  <si>
    <t>GUN112R-BTMLXD00</t>
  </si>
  <si>
    <t>GUN112R-BTMLXD</t>
  </si>
  <si>
    <t>HILUX PICK UP 2.4 DSL M/T</t>
  </si>
  <si>
    <t>GUN112R-BTMLXD10</t>
  </si>
  <si>
    <t>GUN112R-BTMLXD20</t>
  </si>
  <si>
    <t>GUN112R-BTMLXD21</t>
  </si>
  <si>
    <t>GUN112R-BTMLXD22</t>
  </si>
  <si>
    <t>GUN112R-BTMXYD00</t>
  </si>
  <si>
    <t>GUN112R-BTMXYD50</t>
  </si>
  <si>
    <t>50</t>
  </si>
  <si>
    <t>GUN125R-BTFLXD00</t>
  </si>
  <si>
    <t>GUN125R-BTFLXD</t>
  </si>
  <si>
    <t>HILUX PICK UP 2.4 DSL 4x4 M/T</t>
  </si>
  <si>
    <t>GUN125R-BTFLXD10</t>
  </si>
  <si>
    <t>GUN125R-BTFLXD30</t>
  </si>
  <si>
    <t>GUN125R-BTFLXD20</t>
  </si>
  <si>
    <t>GUN125R-BTFXHD00</t>
  </si>
  <si>
    <t>GUN125R-BTFXHD</t>
  </si>
  <si>
    <t>GUN125R-BTFXHD50</t>
  </si>
  <si>
    <t>GUN125R-CTFLHD50</t>
  </si>
  <si>
    <t>GUN125R-CTFLHD</t>
  </si>
  <si>
    <t>HILUX 2.4E EXTRA CABIN 4X4 M/T</t>
  </si>
  <si>
    <t>GUN125R-CTFLHD11</t>
  </si>
  <si>
    <t>GUN125R-CTFLHD61</t>
  </si>
  <si>
    <t>61</t>
  </si>
  <si>
    <t>GUN125R-CTFLHD00</t>
  </si>
  <si>
    <t>GUN125R-CTFLHD01</t>
  </si>
  <si>
    <t>GUN125R-CTFLHD51</t>
  </si>
  <si>
    <t>51</t>
  </si>
  <si>
    <t>GUN125R-DTFLHD01</t>
  </si>
  <si>
    <t>GUN125R-DTFLHD</t>
  </si>
  <si>
    <t>HILUX 2.4E DOUBLE CABIN 4X4 M/T</t>
  </si>
  <si>
    <t>GUN125R-DTFLHD51</t>
  </si>
  <si>
    <t>GUN125R-DTFLHD00</t>
  </si>
  <si>
    <t>GUN125R-DTFLHD50</t>
  </si>
  <si>
    <t>GUN125R-DTFLHD11</t>
  </si>
  <si>
    <t>GUN125R-DTFLHD61</t>
  </si>
  <si>
    <t>GUN125R-DTFLXD00</t>
  </si>
  <si>
    <t>GUN125R-DTFLXD</t>
  </si>
  <si>
    <t>GUN125R-DTFLXD50</t>
  </si>
  <si>
    <t>GUN125R-DTFLXD10</t>
  </si>
  <si>
    <t>GUN125R-DTFLXD60</t>
  </si>
  <si>
    <t>GUN125R-DTFLXD11</t>
  </si>
  <si>
    <t>GUN125R-DTFLXD61</t>
  </si>
  <si>
    <t>GUN125R-DTFLXD21</t>
  </si>
  <si>
    <t>HILUX D-Cab</t>
  </si>
  <si>
    <t>GUN125R-DTFLXD71</t>
  </si>
  <si>
    <t>GUN125R-DTFLXD70</t>
  </si>
  <si>
    <t>GUN125R-DTFLXD20</t>
  </si>
  <si>
    <t>GUN125R-DTFLXD30</t>
  </si>
  <si>
    <t>GUN125R-DTFLXD31</t>
  </si>
  <si>
    <t>GUN125R-DTFLXD40</t>
  </si>
  <si>
    <t>GUN125R-DTFSHD01</t>
  </si>
  <si>
    <t>GUN125R-DTFSHD</t>
  </si>
  <si>
    <t>HILUX 2.4G DOUBLE CABIN 4X4 M/T</t>
  </si>
  <si>
    <t>GUN125R-DTFSHD51</t>
  </si>
  <si>
    <t>GUN125R-DTFSHD00</t>
  </si>
  <si>
    <t>GUN125R-DTFSHD50</t>
  </si>
  <si>
    <t>GUN125R-DTFSHD11</t>
  </si>
  <si>
    <t>GUN125R-DTFSHD61</t>
  </si>
  <si>
    <t>GUN125R-DTFSXD00</t>
  </si>
  <si>
    <t>GUN125R-DTFSXD</t>
  </si>
  <si>
    <t>GUN125R-DTFSXD50</t>
  </si>
  <si>
    <t>GUN125R-DTFSXD10</t>
  </si>
  <si>
    <t>GUN125R-DTFSXD60</t>
  </si>
  <si>
    <t>GUN125R-DTFSXD20</t>
  </si>
  <si>
    <t>GUN125R-DTFSXDC1</t>
  </si>
  <si>
    <t>C1</t>
  </si>
  <si>
    <t>GUN125R-DTTHXD00</t>
  </si>
  <si>
    <t>GUN125R-DTTHXD</t>
  </si>
  <si>
    <t>HILUX 2.4V DOUBLE CABIN 4X4 A/T</t>
  </si>
  <si>
    <t>GUN125R-DTTHXD50</t>
  </si>
  <si>
    <t>GUN125R-DTTHXD10</t>
  </si>
  <si>
    <t>GUN125R-DTTHXD60</t>
  </si>
  <si>
    <t>GUN125R-DTTHXD20</t>
  </si>
  <si>
    <t>GUN125R-DTTHXD30</t>
  </si>
  <si>
    <t>GUN125R-DTTHXD70</t>
  </si>
  <si>
    <t>GUN125R-DTTHXD40</t>
  </si>
  <si>
    <t>GUN125R-DTTMHD01</t>
  </si>
  <si>
    <t>GUN125R-DTTMHD</t>
  </si>
  <si>
    <t>GUN125R-DTTMHD51</t>
  </si>
  <si>
    <t>GUN125R-DTTMHD00</t>
  </si>
  <si>
    <t>GUN125R-DTTMHD50</t>
  </si>
  <si>
    <t>GUN125R-DTTMHD11</t>
  </si>
  <si>
    <t>GUN125R-DTTMHD61</t>
  </si>
  <si>
    <t>GUN126R-DTTHXT00</t>
  </si>
  <si>
    <t>HILUX 2.8 GR-S DOUBLE CABIN 4X4 A/T</t>
  </si>
  <si>
    <t>GUN126R-DTTHXT01</t>
  </si>
  <si>
    <t>GUN126R-DTTHXT02</t>
  </si>
  <si>
    <t>HILUX GR-S</t>
  </si>
  <si>
    <t>GUN142R-MDMHXD00</t>
  </si>
  <si>
    <t>GUN142R-MDMHXD</t>
  </si>
  <si>
    <t>INNOVA 2.4V M/T</t>
  </si>
  <si>
    <t>GUN142R-MDMHXD01</t>
  </si>
  <si>
    <t>INNOVA VENTURER 2.4 M/T</t>
  </si>
  <si>
    <t>GUN142R-MDMHXDI0</t>
  </si>
  <si>
    <t>GUN142R-MDMHXDI1</t>
  </si>
  <si>
    <t>GUN142R-MDMHXD10</t>
  </si>
  <si>
    <t>GUN142R-MDMHXD11</t>
  </si>
  <si>
    <t>GUN142R-MDMHXD20</t>
  </si>
  <si>
    <t>GUN142R-MDMHXD21</t>
  </si>
  <si>
    <t>GUN142R-MDMHYD12</t>
  </si>
  <si>
    <t>GUN142R-MDMHYD</t>
  </si>
  <si>
    <t>GUN142R-MDMHYD22</t>
  </si>
  <si>
    <t>GUN142R-MDMHYD00</t>
  </si>
  <si>
    <t>INNOVA 2.4Q M/T</t>
  </si>
  <si>
    <t>GUN142R-MDMHYDC0</t>
  </si>
  <si>
    <t>C0</t>
  </si>
  <si>
    <t>GUN142R-MDMHYD02</t>
  </si>
  <si>
    <t>GUN142R-MDMHYDF2</t>
  </si>
  <si>
    <t>F2</t>
  </si>
  <si>
    <t>GUN142R-MDMHYDH2</t>
  </si>
  <si>
    <t>GUN142R-MDMHYDE2</t>
  </si>
  <si>
    <t>E2</t>
  </si>
  <si>
    <t>GUN142R-MDMMYD10</t>
  </si>
  <si>
    <t>GUN142R-MDMMYD</t>
  </si>
  <si>
    <t>GUN142R-MDMMYDD0</t>
  </si>
  <si>
    <t>D0</t>
  </si>
  <si>
    <t>GUN142R-MDMMYDD1</t>
  </si>
  <si>
    <t>D1</t>
  </si>
  <si>
    <t>GUN142R-MDMMYD11</t>
  </si>
  <si>
    <t>GUN142R-MDMMYD13</t>
  </si>
  <si>
    <t>GUN142R-MDMMYD14</t>
  </si>
  <si>
    <t>GUN142R-MDMMYD23</t>
  </si>
  <si>
    <t>GUN142R-MDMMYD24</t>
  </si>
  <si>
    <t>GUN142R-MDMMYD00</t>
  </si>
  <si>
    <t>GUN142R-MDMMYDC0</t>
  </si>
  <si>
    <t>GUN142R-MDMMYD01</t>
  </si>
  <si>
    <t>GUN142R-MDMMYDH3</t>
  </si>
  <si>
    <t>GUN142R-MDMMYDF3</t>
  </si>
  <si>
    <t>F3</t>
  </si>
  <si>
    <t>GUN142R-MDMMYDF4</t>
  </si>
  <si>
    <t>F4</t>
  </si>
  <si>
    <t>GUN142R-MDMMYD25</t>
  </si>
  <si>
    <t>GUN142R-MDMMYDE0</t>
  </si>
  <si>
    <t>E0</t>
  </si>
  <si>
    <t>GUN142R-MDMMYDE1</t>
  </si>
  <si>
    <t>E1</t>
  </si>
  <si>
    <t>GUN142R-MDMSXD00</t>
  </si>
  <si>
    <t>GUN142R-MDMSXD</t>
  </si>
  <si>
    <t>INNOVA 2.4G M/T</t>
  </si>
  <si>
    <t>GUN142R-MDMSXDHA</t>
  </si>
  <si>
    <t>HA</t>
  </si>
  <si>
    <t>GUN142R-MDMSXDFA</t>
  </si>
  <si>
    <t>GUN142R-MDMSXD30</t>
  </si>
  <si>
    <t>GUN142R-MDMSXDI0</t>
  </si>
  <si>
    <t>GUN142R-MDMSXD10</t>
  </si>
  <si>
    <t>GUN142R-MDMSXDAJ</t>
  </si>
  <si>
    <t>GUN142R-MDMSXDBJ</t>
  </si>
  <si>
    <t>GUN142R-MDMSXD20</t>
  </si>
  <si>
    <t>GUN142R-MDMSXDAA</t>
  </si>
  <si>
    <t>GUN142R-MDMSXDBA</t>
  </si>
  <si>
    <t>GUN142R-MDMSXDDA</t>
  </si>
  <si>
    <t>GUN142R-MDMSYDD0</t>
  </si>
  <si>
    <t>GUN142R-MDMSYDD1</t>
  </si>
  <si>
    <t>GUN142R-MDMSYD11</t>
  </si>
  <si>
    <t>GUN142R-MDMSYD10</t>
  </si>
  <si>
    <t>GUN142R-MDMSYD20</t>
  </si>
  <si>
    <t>GUN142R-MDMSYD21</t>
  </si>
  <si>
    <t>GUN142R-MDMSYD00</t>
  </si>
  <si>
    <t>GUN142R-MDMSYDC0</t>
  </si>
  <si>
    <t>GUN142R-MDMSYD01</t>
  </si>
  <si>
    <t>GUN142R-MDMSYDH0</t>
  </si>
  <si>
    <t>GUN142R-MDMSYDE0</t>
  </si>
  <si>
    <t>GUN142R-MDMSYDF0</t>
  </si>
  <si>
    <t>F0</t>
  </si>
  <si>
    <t>GUN142R-MDMSYDF1</t>
  </si>
  <si>
    <t>F1</t>
  </si>
  <si>
    <t>GUN142R-MDMSYD22</t>
  </si>
  <si>
    <t>GUN142R-MDMSYDE1</t>
  </si>
  <si>
    <t>GUN142R-MDTHXD00</t>
  </si>
  <si>
    <t>GUN142R-MDTHXD</t>
  </si>
  <si>
    <t>INNOVA 2.4V A/T</t>
  </si>
  <si>
    <t>GUN142R-MDTHXD01</t>
  </si>
  <si>
    <t>INNOVA VENTURER 2.4 A/T</t>
  </si>
  <si>
    <t>GUN142R-MDTHXD12</t>
  </si>
  <si>
    <t>GUN142R-MDTHXDI0</t>
  </si>
  <si>
    <t>GUN142R-MDTHXDI1</t>
  </si>
  <si>
    <t>GUN142R-MDTHXD10</t>
  </si>
  <si>
    <t>GUN142R-MDTHXD11</t>
  </si>
  <si>
    <t>GUN142R-MDTHXDAJ</t>
  </si>
  <si>
    <t>GUN142R-MDTHXDBJ</t>
  </si>
  <si>
    <t>GUN142R-MDTHXD20</t>
  </si>
  <si>
    <t>GUN142R-MDTHXD21</t>
  </si>
  <si>
    <t>GUN142R-MDTHXDAA</t>
  </si>
  <si>
    <t>GUN142R-MDTHXDBA</t>
  </si>
  <si>
    <t>GUN142R-MDTHXDDA</t>
  </si>
  <si>
    <t>GUN142R-MDTHYD12</t>
  </si>
  <si>
    <t>GUN142R-MDTHYD</t>
  </si>
  <si>
    <t>GUN142R-MDTHYD22</t>
  </si>
  <si>
    <t>GUN142R-MDTHYD00</t>
  </si>
  <si>
    <t>INNOVA 2.4Q A/T</t>
  </si>
  <si>
    <t>GUN142R-MDTHYDC0</t>
  </si>
  <si>
    <t>GUN142R-MDTHYD02</t>
  </si>
  <si>
    <t>GUN142R-MDTHYDH2</t>
  </si>
  <si>
    <t>GUN142R-MDTHYDE2</t>
  </si>
  <si>
    <t>GUN142R-MDTHYDF2</t>
  </si>
  <si>
    <t>GUN142R-MDTMYD10</t>
  </si>
  <si>
    <t>GUN142R-MDTMYD</t>
  </si>
  <si>
    <t>GUN142R-MDTMYDD0</t>
  </si>
  <si>
    <t>GUN142R-MDTMYDD1</t>
  </si>
  <si>
    <t>GUN142R-MDTMYD11</t>
  </si>
  <si>
    <t>GUN142R-MDTMYD13</t>
  </si>
  <si>
    <t>GUN142R-MDTMYD14</t>
  </si>
  <si>
    <t>GUN142R-MDTMYD24</t>
  </si>
  <si>
    <t>GUN142R-MDTMYD23</t>
  </si>
  <si>
    <t>GUN142R-MDTMYD00</t>
  </si>
  <si>
    <t>GUN142R-MDTMYDC0</t>
  </si>
  <si>
    <t>GUN142R-MDTMYD01</t>
  </si>
  <si>
    <t>GUN142R-MDTMYDH3</t>
  </si>
  <si>
    <t>GUN142R-MDTMYDE0</t>
  </si>
  <si>
    <t>GUN142R-MDTMYDF3</t>
  </si>
  <si>
    <t>GUN142R-MDTMYDF4</t>
  </si>
  <si>
    <t>GUN142R-MDTMYD25</t>
  </si>
  <si>
    <t>GUN142R-MDTMYDE1</t>
  </si>
  <si>
    <t>GUN142R-MDTSXD00</t>
  </si>
  <si>
    <t>INNOVA 2.4G A/T</t>
  </si>
  <si>
    <t>GUN142R-MDTSXD30</t>
  </si>
  <si>
    <t>GUN142R-MDTSXDHA</t>
  </si>
  <si>
    <t>GUN142R-MDTSXDFA</t>
  </si>
  <si>
    <t>GUN142R-MDTSXDDB</t>
  </si>
  <si>
    <t>GUN142R-MDTSXDEB</t>
  </si>
  <si>
    <t>GUN142R-MDTSXDEA</t>
  </si>
  <si>
    <t>GUN142R-MDTSXDI0</t>
  </si>
  <si>
    <t>GUN142R-MDTSXD10</t>
  </si>
  <si>
    <t>GUN142R-MDTSXDAJ</t>
  </si>
  <si>
    <t>GUN142R-MDTSXDBJ</t>
  </si>
  <si>
    <t>GUN142R-MDTSXD20</t>
  </si>
  <si>
    <t>GUN142R-MDTSXDAA</t>
  </si>
  <si>
    <t>GUN142R-MDTSXDBA</t>
  </si>
  <si>
    <t>GUN142R-MDTSXDDA</t>
  </si>
  <si>
    <t>GUN142R-MDTSYD10</t>
  </si>
  <si>
    <t>GUN142R-MDTSYD</t>
  </si>
  <si>
    <t>GUN142R-MDTSYDD0</t>
  </si>
  <si>
    <t>GUN142R-MDTSYDD1</t>
  </si>
  <si>
    <t>GUN142R-MDTSYD11</t>
  </si>
  <si>
    <t>GUN142R-MDTSYD20</t>
  </si>
  <si>
    <t>GUN142R-MDTSYD21</t>
  </si>
  <si>
    <t>GUN142R-MDTSYD00</t>
  </si>
  <si>
    <t>GUN142R-MDTSYDC0</t>
  </si>
  <si>
    <t>GUN142R-MDTSYD01</t>
  </si>
  <si>
    <t>GUN142R-MDTSYDH0</t>
  </si>
  <si>
    <t>GUN142R-MDTSYDE0</t>
  </si>
  <si>
    <t>GUN142R-MDTSYDE1</t>
  </si>
  <si>
    <t>GUN142R-MDTSYDF0</t>
  </si>
  <si>
    <t>GUN142R-MDTSYDF1</t>
  </si>
  <si>
    <t>GUN142R-MDTSYD22</t>
  </si>
  <si>
    <t>GUN155R-SDTHXDI0</t>
  </si>
  <si>
    <t>GUN155R-SDTHXD</t>
  </si>
  <si>
    <t>FORTUNER 2.4 VRZ 4X4 A/T</t>
  </si>
  <si>
    <t>GUN155R-SDTHXD00</t>
  </si>
  <si>
    <t>GUN155R-SDTHXD10</t>
  </si>
  <si>
    <t>GUN155R-SDTMHDH0</t>
  </si>
  <si>
    <t>GUN155R-SDTMHD</t>
  </si>
  <si>
    <t>GUN155R-SDTMHDF0</t>
  </si>
  <si>
    <t>GUN155R-SDTMHD20</t>
  </si>
  <si>
    <t>GUN155R-SDTMHD10</t>
  </si>
  <si>
    <t>GUN155R-SDTMHDD0</t>
  </si>
  <si>
    <t>GUN155R-SDTMHD00</t>
  </si>
  <si>
    <t>GUN155R-SDTMHDE0</t>
  </si>
  <si>
    <t>FORTUNER 2.4VRZ 4X4 A/T</t>
  </si>
  <si>
    <t>GUN155R-SDTSHDH0</t>
  </si>
  <si>
    <t>GUN155R-SDTSHD</t>
  </si>
  <si>
    <t>FORTUNER 2.4G 4X4 A/T</t>
  </si>
  <si>
    <t>GUN155R-SDTSHDF0</t>
  </si>
  <si>
    <t>GUN155R-SDTSHD20</t>
  </si>
  <si>
    <t>GUN155R-SDTSHD10</t>
  </si>
  <si>
    <t>GUN155R-SDTSHDD0</t>
  </si>
  <si>
    <t>GUN155R-SDTSHD00</t>
  </si>
  <si>
    <t>GUN155R-SDTSHD01</t>
  </si>
  <si>
    <t>GUN155R-SDTSHDE0</t>
  </si>
  <si>
    <t>GUN155R-SDTSXDI0</t>
  </si>
  <si>
    <t>GUN155R-SDTSXD</t>
  </si>
  <si>
    <t>GUN155R-SDTSXD00</t>
  </si>
  <si>
    <t>GUN155R-SDTSXD10</t>
  </si>
  <si>
    <t>GUN155R-SDTSXD20</t>
  </si>
  <si>
    <t>GUN156R-SDTHXD01</t>
  </si>
  <si>
    <t>GUN156R-SDTHXD</t>
  </si>
  <si>
    <t>FORTUNER 2.8 VRZ 4X4 A/T</t>
  </si>
  <si>
    <t>GUN156R-SDTHXDBG</t>
  </si>
  <si>
    <t>GUN156R-SDTHXD34</t>
  </si>
  <si>
    <t>GUN156R-SDTHXDBH</t>
  </si>
  <si>
    <t>GUN156R-SDTHXDGC</t>
  </si>
  <si>
    <t>GC</t>
  </si>
  <si>
    <t>GUN156R-SDTHXD35</t>
  </si>
  <si>
    <t>GUN156R-SDTHXD31</t>
  </si>
  <si>
    <t>GUN156R-SDTHXD32</t>
  </si>
  <si>
    <t>GUN156R-SDTHXD33</t>
  </si>
  <si>
    <t>GUN156R-SDTHXD11</t>
  </si>
  <si>
    <t>GUN156R-SDTHXD21</t>
  </si>
  <si>
    <t>GUN156R-SDTHXD22</t>
  </si>
  <si>
    <t>GUN165R-SDFSHD00</t>
  </si>
  <si>
    <t>GUN165R-SDFSHD</t>
  </si>
  <si>
    <t>FORTUNER 2.4G 4X2 M/T</t>
  </si>
  <si>
    <t>GUN165R-SDFSHD01</t>
  </si>
  <si>
    <t>GUN165R-SDFSHDD0</t>
  </si>
  <si>
    <t>GUN165R-SDFSHD10</t>
  </si>
  <si>
    <t>GUN165R-SDFSHD20</t>
  </si>
  <si>
    <t>GUN165R-SDFSHDE0</t>
  </si>
  <si>
    <t>GUN165R-SDFSHDF0</t>
  </si>
  <si>
    <t>GUN165R-SDFSHDH0</t>
  </si>
  <si>
    <t>GUN165R-SDFSXD00</t>
  </si>
  <si>
    <t>GUN165R-SDFSXD</t>
  </si>
  <si>
    <t>GUN165R-SDFSXD30</t>
  </si>
  <si>
    <t>GUN165R-SDFSXDI0</t>
  </si>
  <si>
    <t>GUN165R-SDFSXD10</t>
  </si>
  <si>
    <t>GUN165R-SDFSXD20</t>
  </si>
  <si>
    <t>GUN165R-SDTHXD00</t>
  </si>
  <si>
    <t>GUN165R-SDTHXD</t>
  </si>
  <si>
    <t>FORTUNER 2.4 VRZ 4X2 A/T</t>
  </si>
  <si>
    <t>GUN165R-SDTHXDI0</t>
  </si>
  <si>
    <t>GUN165R-SDTHXDI1</t>
  </si>
  <si>
    <t>GUN165R-SDTHXD01</t>
  </si>
  <si>
    <t>GUN165R-SDTHXD10</t>
  </si>
  <si>
    <t>GUN165R-SDTHXD11</t>
  </si>
  <si>
    <t>GUN165R-SDTHXDAA</t>
  </si>
  <si>
    <t>GUN165R-SDTHXDBA</t>
  </si>
  <si>
    <t>GUN165R-SDTHXD20</t>
  </si>
  <si>
    <t>GUN165R-SDTHXD21</t>
  </si>
  <si>
    <t>GUN165R-SDTHXDAC</t>
  </si>
  <si>
    <t>GUN165R-SDTHXDBC</t>
  </si>
  <si>
    <t>GUN165R-SDTHXDAD</t>
  </si>
  <si>
    <t>GUN165R-SDTHXDBD</t>
  </si>
  <si>
    <t>GUN165R-SDTHXD31</t>
  </si>
  <si>
    <t>GUN165R-SDTMHD00</t>
  </si>
  <si>
    <t>GUN165R-SDTMHD</t>
  </si>
  <si>
    <t>GUN165R-SDTMHD01</t>
  </si>
  <si>
    <t>GUN165R-SDTMHDD0</t>
  </si>
  <si>
    <t>GUN165R-SDTMHD10</t>
  </si>
  <si>
    <t>GUN165R-SDTMHD11</t>
  </si>
  <si>
    <t>GUN165R-SDTMHD20</t>
  </si>
  <si>
    <t>GUN165R-SDTMHD21</t>
  </si>
  <si>
    <t>GUN165R-SDTMHDE0</t>
  </si>
  <si>
    <t>GUN165R-SDTMHDE1</t>
  </si>
  <si>
    <t>GUN165R-SDTMHD22</t>
  </si>
  <si>
    <t>GUN165R-SDTMHDF0</t>
  </si>
  <si>
    <t>GUN165R-SDTMHDF1</t>
  </si>
  <si>
    <t>GUN165R-SDTMHDH2</t>
  </si>
  <si>
    <t>GUN165R-SDTMHDH0</t>
  </si>
  <si>
    <t>GUN165R-SDTSHD00</t>
  </si>
  <si>
    <t>GUN165R-SDTSHD</t>
  </si>
  <si>
    <t>FORTUNER 2.4G 4X2 A/T</t>
  </si>
  <si>
    <t>GUN165R-SDTSHD01</t>
  </si>
  <si>
    <t>GUN165R-SDTSHDD0</t>
  </si>
  <si>
    <t>GUN165R-SDTSHD10</t>
  </si>
  <si>
    <t>GUN165R-SDTSHD20</t>
  </si>
  <si>
    <t>GUN165R-SDTSHDF0</t>
  </si>
  <si>
    <t>GUN165R-SDTSHDH0</t>
  </si>
  <si>
    <t>GUN165R-SDTSHDE0</t>
  </si>
  <si>
    <t>GUN165R-SDTSXD00</t>
  </si>
  <si>
    <t>GUN165R-SDTSXD</t>
  </si>
  <si>
    <t>GUN165R-SDTSXD30</t>
  </si>
  <si>
    <t>GUN165R-SDTSXDI0</t>
  </si>
  <si>
    <t>GUN165R-SDTSXD10</t>
  </si>
  <si>
    <t>GUN165R-SDTSXD20</t>
  </si>
  <si>
    <t>GUN166R-SDTHXD01</t>
  </si>
  <si>
    <t>Fortuner 2.8 VRZ 4X2 A/T</t>
  </si>
  <si>
    <t>HB</t>
  </si>
  <si>
    <t>GUN166R-SDTHXDBF</t>
  </si>
  <si>
    <t>GUN166R-SDTHXDBG</t>
  </si>
  <si>
    <t>GUN166R-SDTHXDAG</t>
  </si>
  <si>
    <t>GUN166R-SDTHXDBH</t>
  </si>
  <si>
    <t>GUN166R-SDTHXD22</t>
  </si>
  <si>
    <t>GUN166R-SDTHXDAH</t>
  </si>
  <si>
    <t>GUN166R-SDTHXD35</t>
  </si>
  <si>
    <t>GUN166R-SDTHXD34</t>
  </si>
  <si>
    <t>GUN166R-SDTHXD20</t>
  </si>
  <si>
    <t>GUN166R-SDTHXD02</t>
  </si>
  <si>
    <t>GUN166R-SDTHXDAF</t>
  </si>
  <si>
    <t>GUN166R-SDTHXD31</t>
  </si>
  <si>
    <t>GUN166R-SDTHXDGA</t>
  </si>
  <si>
    <t>GUN166R-SDTHXD32</t>
  </si>
  <si>
    <t>GUN166R-SDTHXD33</t>
  </si>
  <si>
    <t>GUN166R-SDTHXD00</t>
  </si>
  <si>
    <t>GUN166R-SDTHXD10</t>
  </si>
  <si>
    <t>GUN166R-SDTHXD11</t>
  </si>
  <si>
    <t>GUN166R-SDTHXDAA</t>
  </si>
  <si>
    <t>FORTUNER 2.8 VRZ 4X2 A/T</t>
  </si>
  <si>
    <t>GUN166R-SDTHXDBA</t>
  </si>
  <si>
    <t>GUN166R-SDTHXDAD</t>
  </si>
  <si>
    <t>GUN166R-SDTHXDAB</t>
  </si>
  <si>
    <t>GUN166R-SDTHXDBB</t>
  </si>
  <si>
    <t>GUN166R-SDTHXD21</t>
  </si>
  <si>
    <t>FORTUNER 2.8 VRZ 4X2 A/T GR</t>
  </si>
  <si>
    <t>GUN166R-SDTHXDAC</t>
  </si>
  <si>
    <t>GUN166R-SDTHXDBC</t>
  </si>
  <si>
    <t>GUN166R-SDTHXDCA</t>
  </si>
  <si>
    <t>GXPA16R-AGFGZW00</t>
  </si>
  <si>
    <t>GXPA16R-AGFGZW</t>
  </si>
  <si>
    <t xml:space="preserve">GR YARIS 1.6T M/T </t>
  </si>
  <si>
    <t>GXPA16R-AGFGZW10</t>
  </si>
  <si>
    <t>GXPA16R-AGZGZW00</t>
  </si>
  <si>
    <t>GXPA16R-AGZGZW</t>
  </si>
  <si>
    <t>GXPA16R-AGZGZW10</t>
  </si>
  <si>
    <t>HZJ78R-RJMRS00</t>
  </si>
  <si>
    <t>HZJ78R-RJMRS</t>
  </si>
  <si>
    <t>LAND CRUISER 70 4.2 TROOP CARRIER 4x4 M/T</t>
  </si>
  <si>
    <t>HZJ79R-TJMRS00</t>
  </si>
  <si>
    <t>HZJ79R-TJMRS</t>
  </si>
  <si>
    <t>LAND CRUISER 70 4.2 C/C 4X4</t>
  </si>
  <si>
    <t>KDH200R-RBMDYN00</t>
  </si>
  <si>
    <t>KDH200R-RBMDYN</t>
  </si>
  <si>
    <t>HI ACE PANEL VAN 2.5 (4X2) M/T</t>
  </si>
  <si>
    <t>KDH212R-JDMNYNH1</t>
  </si>
  <si>
    <t>KDH212R-JDMNYN</t>
  </si>
  <si>
    <t>HI ACE 2.5 (4X2) M/T</t>
  </si>
  <si>
    <t>KDH222R-LEMDY14</t>
  </si>
  <si>
    <t>KDH222R-LEMDY</t>
  </si>
  <si>
    <t>HI ACE COMMUTER LUXURY M/T</t>
  </si>
  <si>
    <t>KDH222R-LEMDY15</t>
  </si>
  <si>
    <t>KDH222R-LEMDY00</t>
  </si>
  <si>
    <t>HI ACE M/T</t>
  </si>
  <si>
    <t>KDH222R-LEMDY01</t>
  </si>
  <si>
    <t>KDH222R-LEMDY02</t>
  </si>
  <si>
    <t>HI ACE COMMUTER M/T</t>
  </si>
  <si>
    <t>KDH222R-LEMDY03</t>
  </si>
  <si>
    <t>KDH222R-LEMDY12</t>
  </si>
  <si>
    <t>KDH222R-LEMDY13</t>
  </si>
  <si>
    <t>KDH222R-LEMDY10</t>
  </si>
  <si>
    <t>KDH222R-LEMDY11</t>
  </si>
  <si>
    <t>KDH222R-LEMDY20</t>
  </si>
  <si>
    <t>KDH222R-LEMDY21</t>
  </si>
  <si>
    <t>KDH222R-LEMDYC0</t>
  </si>
  <si>
    <t>HI ACE M/T - COMMUTER METALLIC</t>
  </si>
  <si>
    <t>KDH222R-LEMDYC1</t>
  </si>
  <si>
    <t>KDH222R-LEMDYS1</t>
  </si>
  <si>
    <t>S1</t>
  </si>
  <si>
    <t>HI ACE M/T - STANDARD METALLIC</t>
  </si>
  <si>
    <t>KDH222R-LEMDYS2</t>
  </si>
  <si>
    <t>S2</t>
  </si>
  <si>
    <t>KDH222R-LEMDY16</t>
  </si>
  <si>
    <t>16</t>
  </si>
  <si>
    <t>KDH222R-LEMDY17</t>
  </si>
  <si>
    <t>17</t>
  </si>
  <si>
    <t>KDH223R-LEMDY00</t>
  </si>
  <si>
    <t>KDH223R-LEMDY11</t>
  </si>
  <si>
    <t>KDH222R-LEMDYC2</t>
  </si>
  <si>
    <t>C2</t>
  </si>
  <si>
    <t>KDH223R-LEMDY16</t>
  </si>
  <si>
    <t>KDH223R-LEMDY01</t>
  </si>
  <si>
    <t>KDH223R-LEMDY21</t>
  </si>
  <si>
    <t>KF60R-THMRS01</t>
  </si>
  <si>
    <t>KF60R-THMRS</t>
  </si>
  <si>
    <t>KIJANG PICK-UP</t>
  </si>
  <si>
    <t>KIJANG PICK-UP STANDARD</t>
  </si>
  <si>
    <t>KGJ10R-BGXNGW00</t>
  </si>
  <si>
    <t>KGJ10R-BGXNGW</t>
  </si>
  <si>
    <t>IQ</t>
  </si>
  <si>
    <t>IQ 1.0 A/T</t>
  </si>
  <si>
    <t>KUN10R-TRMDYD00</t>
  </si>
  <si>
    <t>KUN10R-TRMDYD</t>
  </si>
  <si>
    <t>HILUX PICK UP 2.5L DSL M/T</t>
  </si>
  <si>
    <t>KUN10R-TRMDYD10</t>
  </si>
  <si>
    <t>KUN10R-TRMDYD20</t>
  </si>
  <si>
    <t>KUN10R-TRMDYD50</t>
  </si>
  <si>
    <t>KUN112R-BTMXYD10</t>
  </si>
  <si>
    <t>KUN112R-BTMXYD</t>
  </si>
  <si>
    <t>HILUX PICK UP 2.5 DSL M/T</t>
  </si>
  <si>
    <t>KUN112R-BTMXYD00</t>
  </si>
  <si>
    <t>KUN112R-BTMXYD50</t>
  </si>
  <si>
    <t>KUN112R-BTMXYDF0</t>
  </si>
  <si>
    <t>KUN125R-CTFLHD00</t>
  </si>
  <si>
    <t>KUN125R-CTFLHD</t>
  </si>
  <si>
    <t>HILUX 2.5E EXTRA CABIN 4X4 M/T</t>
  </si>
  <si>
    <t>KUN125R-CTFLHD50</t>
  </si>
  <si>
    <t>KUN125R-DTAMHD00</t>
  </si>
  <si>
    <t>KUN125R-DTAMHD</t>
  </si>
  <si>
    <t>HILUX 2.5V DOUBLE CABIN 4X4 A/T</t>
  </si>
  <si>
    <t>KUN125R-DTAMHD01</t>
  </si>
  <si>
    <t>KUN125R-DTAMHD50</t>
  </si>
  <si>
    <t>KUN125R-DTAMHD51</t>
  </si>
  <si>
    <t>KUN125R-DTFLHD01</t>
  </si>
  <si>
    <t>KUN125R-DTFLHD</t>
  </si>
  <si>
    <t>HILUX 2.5E DOUBLE CABIN 4X4 M/T</t>
  </si>
  <si>
    <t>KUN125R-DTFLHD00</t>
  </si>
  <si>
    <t>KUN125R-DTFLHD50</t>
  </si>
  <si>
    <t>KUN125R-DTFSHD00</t>
  </si>
  <si>
    <t>KUN125R-DTFSHD</t>
  </si>
  <si>
    <t>HILUX 2.5G DOUBLE CABIN 4X4 M/T</t>
  </si>
  <si>
    <t>KUN125R-DTFSHD01</t>
  </si>
  <si>
    <t>KUN125R-DTFSHD50</t>
  </si>
  <si>
    <t>KUN125R-DTFSHD51</t>
  </si>
  <si>
    <t>KUN25R-PRMDHD00</t>
  </si>
  <si>
    <t>KUN25R-PRMDHD</t>
  </si>
  <si>
    <t>HILUX 2.5E DOUBLE CABIN 4X4</t>
  </si>
  <si>
    <t>KUN25R-PRMDHD01</t>
  </si>
  <si>
    <t>HILUX 2.5G DOUBLE CABIN 4X4</t>
  </si>
  <si>
    <t>KUN25R-PRMDHD50</t>
  </si>
  <si>
    <t>KUN25R-PRMDHD51</t>
  </si>
  <si>
    <t>KUN25R-PRMDHD10</t>
  </si>
  <si>
    <t>KUN25R-PRMDHD11</t>
  </si>
  <si>
    <t>KUN25R-PRMDHD61</t>
  </si>
  <si>
    <t>KUN25R-PRMDHD20</t>
  </si>
  <si>
    <t>KUN25R-PRMDHD21</t>
  </si>
  <si>
    <t>KUN25R-PRMDHD71</t>
  </si>
  <si>
    <t>KUN25R-PRMDHD70</t>
  </si>
  <si>
    <t>KUN25R-PRPSHD00</t>
  </si>
  <si>
    <t>KUN25R-PRPSHD</t>
  </si>
  <si>
    <t>HILUX 2.5V DOUBLE CABIN 4X4</t>
  </si>
  <si>
    <t>KUN25R-PRPSHD50</t>
  </si>
  <si>
    <t>KUN25R-PRPSHD10</t>
  </si>
  <si>
    <t>KUN25R-PRPSHD60</t>
  </si>
  <si>
    <t>KUN25R-URMSHT00</t>
  </si>
  <si>
    <t>KUN25R-URMSHT</t>
  </si>
  <si>
    <t>HILUX 2.5E C-CAB 4X4 M/T</t>
  </si>
  <si>
    <t>KUN26R-PRMSYD00</t>
  </si>
  <si>
    <t>KUN26R-PRMSYD</t>
  </si>
  <si>
    <t>HILUX 3.0E DOUBLE CABIN 4X4 MT</t>
  </si>
  <si>
    <t>KUN26R-PRMSYD01</t>
  </si>
  <si>
    <t>HILUX 3.0G DOUBLE CABIN 4X4 MT</t>
  </si>
  <si>
    <t>KUN26R-PRPSYT00</t>
  </si>
  <si>
    <t>KUN26R-PRPSYT</t>
  </si>
  <si>
    <t>HILUX 3.0 DOUBLE CABIN 4X4</t>
  </si>
  <si>
    <t>KUN40R-GKMDYD21</t>
  </si>
  <si>
    <t>KUN40R-GKMDYD</t>
  </si>
  <si>
    <t>INNOVA G DSL</t>
  </si>
  <si>
    <t>KUN40R-GKMDYDP1</t>
  </si>
  <si>
    <t>P1</t>
  </si>
  <si>
    <t>KUN40R-GKMDYDT1</t>
  </si>
  <si>
    <t>T1</t>
  </si>
  <si>
    <t>KUN40R-GKMDYDU1</t>
  </si>
  <si>
    <t>U1</t>
  </si>
  <si>
    <t>KUN40R-GKMDYDW1</t>
  </si>
  <si>
    <t>W1</t>
  </si>
  <si>
    <t>KUN40R-GKMDYDZ1</t>
  </si>
  <si>
    <t>Z1</t>
  </si>
  <si>
    <t>KUN40R-GKMDYD31</t>
  </si>
  <si>
    <t>KUN40R-GKMDYD41</t>
  </si>
  <si>
    <t>KUN40R-GKMDYD51</t>
  </si>
  <si>
    <t>KUN40R-GKMDYDA1</t>
  </si>
  <si>
    <t>A1</t>
  </si>
  <si>
    <t>KUN40R-GKMNYD00</t>
  </si>
  <si>
    <t>KUN40R-GKMNYD</t>
  </si>
  <si>
    <t>INNOVA V DIESEL</t>
  </si>
  <si>
    <t>KUN40R-GKMNYD20</t>
  </si>
  <si>
    <t>INNOVA V DSL</t>
  </si>
  <si>
    <t>KUN40R-GKMNYDP0</t>
  </si>
  <si>
    <t>P0</t>
  </si>
  <si>
    <t>KUN40R-GKMNYDT0</t>
  </si>
  <si>
    <t>T0</t>
  </si>
  <si>
    <t>KUN40R-GKMNYDU0</t>
  </si>
  <si>
    <t>U0</t>
  </si>
  <si>
    <t>KUN40R-GKMNYDW0</t>
  </si>
  <si>
    <t>KUN40R-GKMNYD30</t>
  </si>
  <si>
    <t>KUN40R-GKMNYD40</t>
  </si>
  <si>
    <t>KUN40R-GKMNYD50</t>
  </si>
  <si>
    <t>KUN40R-GKMNYDA0</t>
  </si>
  <si>
    <t>A0</t>
  </si>
  <si>
    <t>KUN40R-GKMRYDP0</t>
  </si>
  <si>
    <t>KUN40R-GKMRYD</t>
  </si>
  <si>
    <t>INNOVA E DSL</t>
  </si>
  <si>
    <t>KUN40R-GKMRYDT0</t>
  </si>
  <si>
    <t>KUN40R-GKMRYDU0</t>
  </si>
  <si>
    <t>KUN40R-GKMRYDW0</t>
  </si>
  <si>
    <t>KUN40R-GKMRYD20</t>
  </si>
  <si>
    <t>KUN40R-GKMRYD30</t>
  </si>
  <si>
    <t>KUN40R-GKMRYD40</t>
  </si>
  <si>
    <t>KUN40R-GKMRYD50</t>
  </si>
  <si>
    <t>KUN40R-GKMRYDA0</t>
  </si>
  <si>
    <t>KUN40R-GKPDHD21</t>
  </si>
  <si>
    <t>KUN40R-GKPDHD</t>
  </si>
  <si>
    <t>INNOVA G AT DSL</t>
  </si>
  <si>
    <t>KUN40R-GKPDHDP1</t>
  </si>
  <si>
    <t>KUN40R-GKPDHDT1</t>
  </si>
  <si>
    <t>KUN40R-GKPDHDU1</t>
  </si>
  <si>
    <t>KUN40R-GKPDHDW1</t>
  </si>
  <si>
    <t>KUN40R-GKPDHD31</t>
  </si>
  <si>
    <t>KUN40R-GKPDHD41</t>
  </si>
  <si>
    <t>KUN40R-GKPDHD51</t>
  </si>
  <si>
    <t>KUN40R-GKPDHD61</t>
  </si>
  <si>
    <t>KUN40R-GKPDHDA1</t>
  </si>
  <si>
    <t>KUN40R-GKPNHD00</t>
  </si>
  <si>
    <t>KUN40R-GKPNHD</t>
  </si>
  <si>
    <t>INNOVA V AT DSL</t>
  </si>
  <si>
    <t>KUN40R-GKPNHD20</t>
  </si>
  <si>
    <t>KUN40R-GKPNHD30</t>
  </si>
  <si>
    <t>KUN40R-GKPNHDP0</t>
  </si>
  <si>
    <t>KUN40R-GKPNHDT0</t>
  </si>
  <si>
    <t>KUN40R-GKPNHDU0</t>
  </si>
  <si>
    <t>KUN40R-GKPNHDU1</t>
  </si>
  <si>
    <t>KUN40R-GKPNHDW0</t>
  </si>
  <si>
    <t>KUN40R-GKPNHD40</t>
  </si>
  <si>
    <t>KUN40R-GKPNHD50</t>
  </si>
  <si>
    <t>KUN40R-GKPNHD60</t>
  </si>
  <si>
    <t>KUN40R-GKPNHDA0</t>
  </si>
  <si>
    <t>KUN50R-EKPSHD00</t>
  </si>
  <si>
    <t>KUN50R-EKPSHD</t>
  </si>
  <si>
    <t>FORTUNER 2.5G A/T 4X4</t>
  </si>
  <si>
    <t>KUN50R-EKPSHDA0</t>
  </si>
  <si>
    <t>KUN60REKMSHD61</t>
  </si>
  <si>
    <t>KUN60REKMSHD</t>
  </si>
  <si>
    <t>FORTUNER 2.5G M/T</t>
  </si>
  <si>
    <t>KUN60R-EKMSHD10</t>
  </si>
  <si>
    <t>KUN60R-EKMSHD</t>
  </si>
  <si>
    <t>KUN60R-EKMSHD20</t>
  </si>
  <si>
    <t>KUN60R-EKMSHD21</t>
  </si>
  <si>
    <t>KUN60R-EKMSHD31</t>
  </si>
  <si>
    <t>KUN60R-EKMSHD30</t>
  </si>
  <si>
    <t>KUN60R-EKMSHD32</t>
  </si>
  <si>
    <t>32</t>
  </si>
  <si>
    <t>KUN60R-EKMSHD33</t>
  </si>
  <si>
    <t>33</t>
  </si>
  <si>
    <t>KUN60R-EKMSHD11</t>
  </si>
  <si>
    <t>KUN60R-EKMSHD50</t>
  </si>
  <si>
    <t>KUN60R-EKMSHD51</t>
  </si>
  <si>
    <t>KUN60R-EKMSHD60</t>
  </si>
  <si>
    <t>KUN60R-EKMSHD61</t>
  </si>
  <si>
    <t>KUN60R-EKMSHDA0</t>
  </si>
  <si>
    <t>KUN60R-EKMSHDA1</t>
  </si>
  <si>
    <t>KUN60R-EKMSHDP0</t>
  </si>
  <si>
    <t>KUN60R-EKMSHDP1</t>
  </si>
  <si>
    <t>KUN60R-EKMSHDT2</t>
  </si>
  <si>
    <t>T2</t>
  </si>
  <si>
    <t>KUN60R-EKMSHDT3</t>
  </si>
  <si>
    <t>T3</t>
  </si>
  <si>
    <t>KUN60R-EKMSHDU0</t>
  </si>
  <si>
    <t>KUN60R-EKMSHDU1</t>
  </si>
  <si>
    <t>KUN60R-EKMSHDW0</t>
  </si>
  <si>
    <t>KUN60R-EKMSHDW1</t>
  </si>
  <si>
    <t>KUN60R–EKMSHD61</t>
  </si>
  <si>
    <t>KUN60R–EKMSHD</t>
  </si>
  <si>
    <t>KUN60R-EKPSHD00</t>
  </si>
  <si>
    <t>KUN60R-EKPSHD</t>
  </si>
  <si>
    <t>FORTUNER 2.5G A/T</t>
  </si>
  <si>
    <t>KUN60R-EKPSHD10</t>
  </si>
  <si>
    <t>KUN60R-EKPSHD11</t>
  </si>
  <si>
    <t>KUN60R-EKPSHD01</t>
  </si>
  <si>
    <t>KUN60R-EKPSHD20</t>
  </si>
  <si>
    <t>KUN60R-EKPSHD21</t>
  </si>
  <si>
    <t>KUN60R-EKPSHDU0</t>
  </si>
  <si>
    <t>KUN60R-EKPSHD22</t>
  </si>
  <si>
    <t>KUN60R-EKPSHD23</t>
  </si>
  <si>
    <t>KUN60R-EKPSHD50</t>
  </si>
  <si>
    <t>KUN60R-EKPSHD51</t>
  </si>
  <si>
    <t>KUN60R-EKPSHDP0</t>
  </si>
  <si>
    <t>KUN60R-EKPSHD60</t>
  </si>
  <si>
    <t>KUN60R-EKPSHD61</t>
  </si>
  <si>
    <t>KUN60R-EKPSHDA0</t>
  </si>
  <si>
    <t>KUN60R-EKPSHDA1</t>
  </si>
  <si>
    <t>KUN60R-EKPSHDP1</t>
  </si>
  <si>
    <t>KUN60R-EKPSHDT2</t>
  </si>
  <si>
    <t>KUN60R-EKPSHDT3</t>
  </si>
  <si>
    <t>KUN60R-EKPSHDU1</t>
  </si>
  <si>
    <t>KUN60R-EKPSHDW0</t>
  </si>
  <si>
    <t>KUN60R-EKPSHDW1</t>
  </si>
  <si>
    <t>KUN60R-NKMSHD00</t>
  </si>
  <si>
    <t>KUN60R-NKMSHD</t>
  </si>
  <si>
    <t>LF82R-GRMNS01</t>
  </si>
  <si>
    <t>LF82R-GRMNS</t>
  </si>
  <si>
    <t>KIJANG MINIBUS</t>
  </si>
  <si>
    <t>KIJANG MINIBUS SUPER DIESEL</t>
  </si>
  <si>
    <t>MAGA10R-BRXLBD00</t>
  </si>
  <si>
    <t>INNOVA ZENIX 2.0G CVT</t>
  </si>
  <si>
    <t>MAGA10R-BRXLBD10</t>
  </si>
  <si>
    <t>MAGA10R-BRXLBD02</t>
  </si>
  <si>
    <t>MAGA10R-BRXLBDAB</t>
  </si>
  <si>
    <t>MAGA10R-BRXLBDBB</t>
  </si>
  <si>
    <t>MAGA10R-BRXLBDCB</t>
  </si>
  <si>
    <t>MAGA10R-BRXLBDDB</t>
  </si>
  <si>
    <t>MAGA10R-BRXLBDAA</t>
  </si>
  <si>
    <t>MAGA10R-BRXLBDBA</t>
  </si>
  <si>
    <t>MAGA10R-BRXLBDCA</t>
  </si>
  <si>
    <t>MAGA10R-BRXLBDDA</t>
  </si>
  <si>
    <t>MAGA10R-BRXMBD00</t>
  </si>
  <si>
    <t>MAGA10R-BRXMBD</t>
  </si>
  <si>
    <t>INNOVA ZENIX 2.0V CVT</t>
  </si>
  <si>
    <t>MAGA10R-BRXMBD10</t>
  </si>
  <si>
    <t>MAGA10R-BRXMBD01</t>
  </si>
  <si>
    <t>MAGA10R-BRXMBDAB</t>
  </si>
  <si>
    <t>MAGA10R-BRXMBDBB</t>
  </si>
  <si>
    <t>MAGA10R-BRXMBDCB</t>
  </si>
  <si>
    <t>MAGA10R-BRXMBDDB</t>
  </si>
  <si>
    <t>MAGA10R-BRXMBDAA</t>
  </si>
  <si>
    <t>MAGA10R-BRXMBDBA</t>
  </si>
  <si>
    <t>MAGA10R-BRXMBDCA</t>
  </si>
  <si>
    <t>MAGA10R-BRXMBDDA</t>
  </si>
  <si>
    <t>MAGA10R-BRXMBDEB</t>
  </si>
  <si>
    <t>MAGA10R-BRXMBD02</t>
  </si>
  <si>
    <t>MAGA10R-BRXMBD03</t>
  </si>
  <si>
    <t>MAGH10R-BPXHBD00</t>
  </si>
  <si>
    <t>INNOVA ZENIX HYBRID 2.0Q HV CVT TSS</t>
  </si>
  <si>
    <t>MAGH10R-BPXHBDAD</t>
  </si>
  <si>
    <t>MAGH10R-BPXHBD14</t>
  </si>
  <si>
    <t>MAGH10R-BPXHBD10</t>
  </si>
  <si>
    <t>MAGH10R-BPXHBDFH</t>
  </si>
  <si>
    <t>FC</t>
  </si>
  <si>
    <t>MAGH10R-BPXHBD04</t>
  </si>
  <si>
    <t>MAGH10R-BPXHBD01</t>
  </si>
  <si>
    <t>MAGH10R-BPXHBD05</t>
  </si>
  <si>
    <t>MAGH10R-BPXHBDAC</t>
  </si>
  <si>
    <t>MAGH10R-BPXHBDAA</t>
  </si>
  <si>
    <t>MAGH10R-BPXHBDBA</t>
  </si>
  <si>
    <t>MAGH10R-BPXHBDCA</t>
  </si>
  <si>
    <t>MAGH10R-BPXHBDAB</t>
  </si>
  <si>
    <t>MAGH10R-BPXHBDBD</t>
  </si>
  <si>
    <t>MAGH10R-BPXHBDBB</t>
  </si>
  <si>
    <t>MAGH10R-BPXHBDCB</t>
  </si>
  <si>
    <t>MAGH10R-BPXHBD02</t>
  </si>
  <si>
    <t>MAGH10R-BPXHBD03</t>
  </si>
  <si>
    <t>MAGH10R-BRXLBD00</t>
  </si>
  <si>
    <t>INNOVA ZENIX HYBRID 2.0G HV CVT</t>
  </si>
  <si>
    <t>MAGH10R-BRXLBD05</t>
  </si>
  <si>
    <t>MAGH10R-BRXLBD10</t>
  </si>
  <si>
    <t>MAGH10R-BRXLBD11</t>
  </si>
  <si>
    <t>MAGH10R-BRXLBDFC</t>
  </si>
  <si>
    <t>MAGH10R-BRXLBD01</t>
  </si>
  <si>
    <t>MAGH10R-BRXLBD02</t>
  </si>
  <si>
    <t>MAGH10R-BRXLBDAB</t>
  </si>
  <si>
    <t>MAGH10R-BRXLBDBB</t>
  </si>
  <si>
    <t>MAGH10R-BRXLBDCB</t>
  </si>
  <si>
    <t>MAGH10R-BRXLBDDB</t>
  </si>
  <si>
    <t>MAGH10R-BRXLBDAA</t>
  </si>
  <si>
    <t>MAGH10R-BRXLBDBA</t>
  </si>
  <si>
    <t>MAGH10R-BRXLBDBC</t>
  </si>
  <si>
    <t>MAGH10R-BRXLBDCA</t>
  </si>
  <si>
    <t>MAGH10R-BRXLBDDA</t>
  </si>
  <si>
    <t>MAGH10R-BRXMBD</t>
  </si>
  <si>
    <t>MAGH10R-BRXM</t>
  </si>
  <si>
    <t>INNOVA ZENIX HYBRID 2.0V HV CVT</t>
  </si>
  <si>
    <t>INNOVA ZENIX 2.0 V HV CVT MODELISTA-NON PREMIUM COLOR</t>
  </si>
  <si>
    <t>MAGH10R-BRXMBD14</t>
  </si>
  <si>
    <t>MAGH10R-BRXMBD15</t>
  </si>
  <si>
    <t>MAGH10R-BRXMBDFC</t>
  </si>
  <si>
    <t>MAGH10R-BRXMBD10</t>
  </si>
  <si>
    <t>MAGH10R-BRXMBDBC</t>
  </si>
  <si>
    <t>MAGH10R-BRXM11</t>
  </si>
  <si>
    <t>MAGH10R-BRXMBD11</t>
  </si>
  <si>
    <t>MAGH10R-BRXMBDBD</t>
  </si>
  <si>
    <t>MAGH10R-BRXMBD07</t>
  </si>
  <si>
    <t>MAGH10R-BRXMBD00</t>
  </si>
  <si>
    <t>MAGH10R-BRXMBD04</t>
  </si>
  <si>
    <t>MAGH10R-BRXMBD05</t>
  </si>
  <si>
    <t>MAGH10R-BRXMBD01</t>
  </si>
  <si>
    <t>MAGH10R-BRXMBDAA</t>
  </si>
  <si>
    <t>MAGH10R-BRXMBDBA</t>
  </si>
  <si>
    <t>MAGH10R-BRXMBDCA</t>
  </si>
  <si>
    <t>MAGH10R-BRXMBDAB</t>
  </si>
  <si>
    <t>MAGH10R-BRXMBDBB</t>
  </si>
  <si>
    <t>MAGH10R-BRXMBDCB</t>
  </si>
  <si>
    <t>MAGH10R-BRXMBD02</t>
  </si>
  <si>
    <t>MAGH10R-BRXMBD03</t>
  </si>
  <si>
    <t>MAGH10R-BRXMBD06</t>
  </si>
  <si>
    <t>MZRA90R-BPXRH00</t>
  </si>
  <si>
    <t>MZRA90R-BPXRH</t>
  </si>
  <si>
    <t>VOXY 2.0 CVT</t>
  </si>
  <si>
    <t>MZRA90R-BPXRH11</t>
  </si>
  <si>
    <t>MZRA90R-BPXRHBB</t>
  </si>
  <si>
    <t>MZRA90R-BPXRH02</t>
  </si>
  <si>
    <t>MZRA90R-BPXRH01</t>
  </si>
  <si>
    <t>MZRA90R-BPXRHAB</t>
  </si>
  <si>
    <t>VOXY 2.0 CVT PREMIUM COLOR-TCO</t>
  </si>
  <si>
    <t>NCP150R-BEMDKD70</t>
  </si>
  <si>
    <t>NCP150R-BEMDKD</t>
  </si>
  <si>
    <t>LIMO</t>
  </si>
  <si>
    <t>LIMO 1.5 STD</t>
  </si>
  <si>
    <t>NCP150R-BEMDKD00</t>
  </si>
  <si>
    <t>NCP150R-BEMGKD00</t>
  </si>
  <si>
    <t>NCP150R-BEMGKD</t>
  </si>
  <si>
    <t>VIOS 1.5G M/T</t>
  </si>
  <si>
    <t>NCP150R-BEMGKD70</t>
  </si>
  <si>
    <t>NCP150R-BEMRKD00</t>
  </si>
  <si>
    <t>NCP150R-BEMRKD</t>
  </si>
  <si>
    <t>VIOS 1.5E M/T</t>
  </si>
  <si>
    <t>NCP150R-BEMRKD70</t>
  </si>
  <si>
    <t>NCP150R-BEPGKD00</t>
  </si>
  <si>
    <t>NCP150R-BEPGKD</t>
  </si>
  <si>
    <t>VIOS 1.5G A/T</t>
  </si>
  <si>
    <t>NCP150R-BEPGKD70</t>
  </si>
  <si>
    <t>NCP150R-BEPRKD00</t>
  </si>
  <si>
    <t>NCP150R-BEPRKD</t>
  </si>
  <si>
    <t>VIOS 1.5E A/T</t>
  </si>
  <si>
    <t>NCP150R-BEPRKD70</t>
  </si>
  <si>
    <t>NCP150R-CEMDKD02</t>
  </si>
  <si>
    <t>NCP150R-CEMDKD</t>
  </si>
  <si>
    <t>NCP150R-CEMDKDC3</t>
  </si>
  <si>
    <t>C3</t>
  </si>
  <si>
    <t>NCP150R-CEMDKDP0</t>
  </si>
  <si>
    <t>NCP150R-CEMDKD00</t>
  </si>
  <si>
    <t>NCP150R-CEMDKD01</t>
  </si>
  <si>
    <t>NCP150R-CEMDKDA1</t>
  </si>
  <si>
    <t>NCP150R-CEMDKD03</t>
  </si>
  <si>
    <t>NCP150R-CEMDKD04</t>
  </si>
  <si>
    <t>NCP150R-CEMGKD00</t>
  </si>
  <si>
    <t>NCP150R-CEMGKD</t>
  </si>
  <si>
    <t>NCP150R-CEMGKD01</t>
  </si>
  <si>
    <t>NCP150R-CEMGKDA0</t>
  </si>
  <si>
    <t>NCP150R-CEMGKDC0</t>
  </si>
  <si>
    <t>NCP150R-CEMGKDA1</t>
  </si>
  <si>
    <t>NCP150R-CEMGKDC1</t>
  </si>
  <si>
    <t>NCP150R-CEMGKDP0</t>
  </si>
  <si>
    <t>NCP150R-CEMRKD00</t>
  </si>
  <si>
    <t>NCP150R-CEMRKD</t>
  </si>
  <si>
    <t>NCP150R-CEMRKDA0</t>
  </si>
  <si>
    <t>NCP150R-CEMRKDC0</t>
  </si>
  <si>
    <t>NCP150R-CEMRKDP0</t>
  </si>
  <si>
    <t>NCP150R-CEPGKD00</t>
  </si>
  <si>
    <t>NCP150R-CEPGKD</t>
  </si>
  <si>
    <t>NCP150R-CEPGKD01</t>
  </si>
  <si>
    <t>NCP150R-CEPGKDA0</t>
  </si>
  <si>
    <t>NCP150R-CEPGKDC0</t>
  </si>
  <si>
    <t>NCP150R-CEPGKDC1</t>
  </si>
  <si>
    <t>NCP150R-CEPGKDA1</t>
  </si>
  <si>
    <t>NCP150R-CEPGKDP0</t>
  </si>
  <si>
    <t>NCP150R-CEPRKDC2</t>
  </si>
  <si>
    <t>NCP150R-CEPRKD</t>
  </si>
  <si>
    <t>LIMO 1.5 A/T</t>
  </si>
  <si>
    <t>NCP150R-CEPRKD01</t>
  </si>
  <si>
    <t>NCP150R-CEPRKD02</t>
  </si>
  <si>
    <t>NCP150R-CEPRKD03</t>
  </si>
  <si>
    <t>NCP150R-CEPRKD00</t>
  </si>
  <si>
    <t>NCP150R-CEPRKDA0</t>
  </si>
  <si>
    <t>NCP150R-CEPRKDP0</t>
  </si>
  <si>
    <t>NCP150R-CEPRKDC0</t>
  </si>
  <si>
    <t>NCP150R-CHMGKD00</t>
  </si>
  <si>
    <t>NCP150R-CHMGKD</t>
  </si>
  <si>
    <t>YARIS</t>
  </si>
  <si>
    <t>YARIS 1.5G M/T</t>
  </si>
  <si>
    <t>NCP150R-CHMGKD01</t>
  </si>
  <si>
    <t>NCP150R-CHMGKDC1</t>
  </si>
  <si>
    <t>NCP150R-CHMGKDA1</t>
  </si>
  <si>
    <t>NCP150R-CHMRKD00</t>
  </si>
  <si>
    <t>NCP150R-CHMRKD</t>
  </si>
  <si>
    <t>YARIS 1.5E M/T</t>
  </si>
  <si>
    <t>NCP150R-CHMRKDA0</t>
  </si>
  <si>
    <t>NCP150R-CHMRKDC0</t>
  </si>
  <si>
    <t>NCP150R-CHMVKD00</t>
  </si>
  <si>
    <t>NCP150R-CHMVKD</t>
  </si>
  <si>
    <t>YARIS 1.5S M/T</t>
  </si>
  <si>
    <t>NCP150R-CHMVKDA0</t>
  </si>
  <si>
    <t>NCP150R-CHMVKDC0</t>
  </si>
  <si>
    <t>NCP150R-CHPGKD00</t>
  </si>
  <si>
    <t>NCP150R-CHPGKD</t>
  </si>
  <si>
    <t>YARIS 1.5G A/T</t>
  </si>
  <si>
    <t>NCP150R-CHPGKD01</t>
  </si>
  <si>
    <t>NCP150R-CHPGKDA1</t>
  </si>
  <si>
    <t>NCP150R-CHPGKDC1</t>
  </si>
  <si>
    <t>NCP150R-CHPRKD00</t>
  </si>
  <si>
    <t>NCP150R-CHPRKD</t>
  </si>
  <si>
    <t>YARIS 1.5E A/T</t>
  </si>
  <si>
    <t>NCP150R-CHPRKDC0</t>
  </si>
  <si>
    <t>NCP150R-CHPRKDA0</t>
  </si>
  <si>
    <t>NCP150R-CHPVKD00</t>
  </si>
  <si>
    <t>NCP150R-CHPVKD</t>
  </si>
  <si>
    <t>YARIS 1.5S A/T</t>
  </si>
  <si>
    <t>NCP150R-CHPVKDA0</t>
  </si>
  <si>
    <t>NCP150R-CHPVKDC0</t>
  </si>
  <si>
    <t>NCP91R-AHMDKD10</t>
  </si>
  <si>
    <t>NCP91R-AHMDKD</t>
  </si>
  <si>
    <t>YARIS 1.5J M/T</t>
  </si>
  <si>
    <t>NCP91R-AHMDKD00</t>
  </si>
  <si>
    <t>NCP91R-AHMDKD60</t>
  </si>
  <si>
    <t>NCP91R-AHMDKD20</t>
  </si>
  <si>
    <t>NCP91R-AHMDKD30</t>
  </si>
  <si>
    <t>NCP91R-AHMRKD10</t>
  </si>
  <si>
    <t>NCP91R-AHMRKD</t>
  </si>
  <si>
    <t>NCP91R-AHMRKD60</t>
  </si>
  <si>
    <t>NCP91R-AHMRKD20</t>
  </si>
  <si>
    <t>NCP91R-AHMRKD00</t>
  </si>
  <si>
    <t>NCP91R-AHMVKD10</t>
  </si>
  <si>
    <t>NCP91R-AHMVKD</t>
  </si>
  <si>
    <t>NCP91R-AHMVKD60</t>
  </si>
  <si>
    <t>NCP91R-AHMVKD20</t>
  </si>
  <si>
    <t>NCP91R-AHPDKD10</t>
  </si>
  <si>
    <t>NCP91R-AHPDKD</t>
  </si>
  <si>
    <t>YARIS 1.5J A/T</t>
  </si>
  <si>
    <t>NCP91R-AHPDKD60</t>
  </si>
  <si>
    <t>NCP91R-AHPDKD20</t>
  </si>
  <si>
    <t>NCP91R-AHPDKD80</t>
  </si>
  <si>
    <t>NCP91R-AHPDKD30</t>
  </si>
  <si>
    <t>NCP91R-AHPRKD10</t>
  </si>
  <si>
    <t>NCP91R-AHPRKD</t>
  </si>
  <si>
    <t>NCP91R-AHPRKD60</t>
  </si>
  <si>
    <t>NCP91R-AHPRKD20</t>
  </si>
  <si>
    <t>NCP91R-AHPRKD80</t>
  </si>
  <si>
    <t>NCP91R-AHPRKD00</t>
  </si>
  <si>
    <t>NCP91R-AHPVKD11</t>
  </si>
  <si>
    <t>NCP91R-AHPVKD</t>
  </si>
  <si>
    <t>YARIS 1.5S LIMITED A/T</t>
  </si>
  <si>
    <t>NCP91R-AHPVKD12</t>
  </si>
  <si>
    <t>NCP91R-AHPVKD62</t>
  </si>
  <si>
    <t>62</t>
  </si>
  <si>
    <t>NCP91R-AHPVKD61</t>
  </si>
  <si>
    <t>NCP91R-AHPVKD21</t>
  </si>
  <si>
    <t>NCP91R-AHPVKD22</t>
  </si>
  <si>
    <t>NCP91R-AHPVKD81</t>
  </si>
  <si>
    <t>NCP91R-AHPVKD82</t>
  </si>
  <si>
    <t>NCP91R-AHPVKD00</t>
  </si>
  <si>
    <t>NCP93R-BEMDKD70</t>
  </si>
  <si>
    <t>NCP93R-BEMDKD</t>
  </si>
  <si>
    <t>NCP93R-BEMDKD10</t>
  </si>
  <si>
    <t>NCP93R-BEMDKD20</t>
  </si>
  <si>
    <t>NCP93R-BEMDKD30</t>
  </si>
  <si>
    <t>NCP93R-BEMGKD10</t>
  </si>
  <si>
    <t>NCP93R-BEMGKD</t>
  </si>
  <si>
    <t>NCP93R-BEMGKD00</t>
  </si>
  <si>
    <t>NCP93R-BEMGKD20</t>
  </si>
  <si>
    <t>NCP93R-BEMGKD21</t>
  </si>
  <si>
    <t>NCP93R-BEMGKD60</t>
  </si>
  <si>
    <t>NCP93R-BEMGKD61</t>
  </si>
  <si>
    <t>NCP93R-BEMRKD00</t>
  </si>
  <si>
    <t>NCP93R-BEMRKD</t>
  </si>
  <si>
    <t>NCP93R-BEMRKD10</t>
  </si>
  <si>
    <t>NCP93R-BEMRKD60</t>
  </si>
  <si>
    <t>NCP93R-BEMRKD20</t>
  </si>
  <si>
    <t>NCP93R-BEMRKD70</t>
  </si>
  <si>
    <t>NCP93R-BEMRKD30</t>
  </si>
  <si>
    <t>NCP93R-BEPGKD10</t>
  </si>
  <si>
    <t>NCP93R-BEPGKD</t>
  </si>
  <si>
    <t>NCP93R-BEPGKD11</t>
  </si>
  <si>
    <t>NCP93R-BEPGKD60</t>
  </si>
  <si>
    <t>NCP93R-BEPGKD00</t>
  </si>
  <si>
    <t>NCP93R-BEPGKD20</t>
  </si>
  <si>
    <t>NCP93R-BEPGKD21</t>
  </si>
  <si>
    <t>NCP93R-BEPGKD71</t>
  </si>
  <si>
    <t>NCP93R-BEPGKD31</t>
  </si>
  <si>
    <t>NCP93R-BEPGKD70</t>
  </si>
  <si>
    <t>NCP93R-BEPGKD61</t>
  </si>
  <si>
    <t>NGC102R-TEMHK00</t>
  </si>
  <si>
    <t>NGC102R-TEMHK</t>
  </si>
  <si>
    <t>NGC102R-TEMHK70</t>
  </si>
  <si>
    <t>NGC102R-TEXHK00</t>
  </si>
  <si>
    <t>NGC102R-TEXHK</t>
  </si>
  <si>
    <t>VIOS 1.5G CVT</t>
  </si>
  <si>
    <t>NGC102R-TEXHK01</t>
  </si>
  <si>
    <t>VIOS 1.5G TSS CVT</t>
  </si>
  <si>
    <t>NGC102R-TEXHK70</t>
  </si>
  <si>
    <t>NGC102R-TEXHK71</t>
  </si>
  <si>
    <t>NGC102R-TEXHK02</t>
  </si>
  <si>
    <t>NGC102R-TEXHK03</t>
  </si>
  <si>
    <t>NGC102R-TEXHK72</t>
  </si>
  <si>
    <t>NGC102R-TEXHK73</t>
  </si>
  <si>
    <t>NGC200R-DHMMKD00</t>
  </si>
  <si>
    <t>NGC200R-DHMMKD</t>
  </si>
  <si>
    <t>YARIS CROSS GASOLINE 1.5G MT</t>
  </si>
  <si>
    <t>NGC200R-DHXHKD00</t>
  </si>
  <si>
    <t>YARIS CROSS GASOLINE 1.5S CVT TSS</t>
  </si>
  <si>
    <t>NGC200R-DHXHKD11</t>
  </si>
  <si>
    <t>NGC200R-DHXHKD01</t>
  </si>
  <si>
    <t>NGC200R-DHXHKD02</t>
  </si>
  <si>
    <t>NGC200R-DHXHKD03</t>
  </si>
  <si>
    <t>NGC200R-DHXHKDAD</t>
  </si>
  <si>
    <t>YARIS CROSS GASOLINE 1.5S CVT TSS TCO</t>
  </si>
  <si>
    <t>NGC200R-DHXMKD00</t>
  </si>
  <si>
    <t>NGC200R-DHXMKD</t>
  </si>
  <si>
    <t>YARIS CROSS GASOLINE 1.5G CVT</t>
  </si>
  <si>
    <t>NGK10R-AHMGKDP0</t>
  </si>
  <si>
    <t>NGK10R-AHMGKD</t>
  </si>
  <si>
    <t>ETIOS 1.2G M/T</t>
  </si>
  <si>
    <t>NGK10R-AHMGKDD0</t>
  </si>
  <si>
    <t>NGK10R-AHMGKDD2</t>
  </si>
  <si>
    <t>D2</t>
  </si>
  <si>
    <t>NGK10R-AHMGKD00</t>
  </si>
  <si>
    <t>NGK10R-AHMGKD10</t>
  </si>
  <si>
    <t>NGK10R-AHMGKDA0</t>
  </si>
  <si>
    <t>NGK10R-AHMGKDC0</t>
  </si>
  <si>
    <t>NGK10R-AHMGKD12</t>
  </si>
  <si>
    <t>NGK10R-AHMNKDD2</t>
  </si>
  <si>
    <t>NGK10R-AHMNKD</t>
  </si>
  <si>
    <t>ETIOS 1.2E M/T</t>
  </si>
  <si>
    <t>NGK10R-AHMNKDD0</t>
  </si>
  <si>
    <t>NGK10R-AHMNKDP0</t>
  </si>
  <si>
    <t>NGK10R-AHMNKDD1</t>
  </si>
  <si>
    <t>NGK10R-AHMNKDD3</t>
  </si>
  <si>
    <t>D3</t>
  </si>
  <si>
    <t>NGK10R-AHMNKD00</t>
  </si>
  <si>
    <t>NGK10R-AHMNKD10</t>
  </si>
  <si>
    <t>NGK10R-AHMNKD11</t>
  </si>
  <si>
    <t>NGK10R-AHMNKDA0</t>
  </si>
  <si>
    <t>NGK10R-AHMNKDC0</t>
  </si>
  <si>
    <t>NGK10R-AHMNKDC1</t>
  </si>
  <si>
    <t>NGK10R-AHMNKD12</t>
  </si>
  <si>
    <t>NGK10R-AHMNKD13</t>
  </si>
  <si>
    <t>NGK10R-AHMRKDA1</t>
  </si>
  <si>
    <t>NGK10R-AHMRKD</t>
  </si>
  <si>
    <t>ETIOS 1.2J M/T</t>
  </si>
  <si>
    <t>NGK10R-AHMRKDP0</t>
  </si>
  <si>
    <t>NGK10R-AHMRKDD0</t>
  </si>
  <si>
    <t>NGK10R-AHMRKDD2</t>
  </si>
  <si>
    <t>NGK10R-AHMRKD00</t>
  </si>
  <si>
    <t>NGK10R-AHMRKD01</t>
  </si>
  <si>
    <t>NGK10R-AHMRKDP1</t>
  </si>
  <si>
    <t>NGK10R-AHMRKD10</t>
  </si>
  <si>
    <t>NGK10R-AHMRKDC0</t>
  </si>
  <si>
    <t>NGK10R-AHMRKD12</t>
  </si>
  <si>
    <t>NGK12R-AHMUKX00</t>
  </si>
  <si>
    <t>NGK12R-AHMUKX</t>
  </si>
  <si>
    <t>ETIOS CROSS 1.2 M/T</t>
  </si>
  <si>
    <t>NGK15R-AEMRKX00</t>
  </si>
  <si>
    <t>NGK15R-AEMRKX</t>
  </si>
  <si>
    <t>ETIOS SEDAN 1.5 M/T</t>
  </si>
  <si>
    <t>NGK15R-AEMRKX01</t>
  </si>
  <si>
    <t>NHP10R-AHXVB00</t>
  </si>
  <si>
    <t>NHP10R-AHXVB</t>
  </si>
  <si>
    <t>PRIUS C 1.5 A/T HYBRID</t>
  </si>
  <si>
    <t>NHP170R-MWXQB00</t>
  </si>
  <si>
    <t>NHP170R-MWXQB</t>
  </si>
  <si>
    <t>SIENTA 1.5 HYBRID A/T</t>
  </si>
  <si>
    <t>NSP150L-AEXGKV00</t>
  </si>
  <si>
    <t>NSP150L-AEXGKV</t>
  </si>
  <si>
    <t>VIOS 1.3G CVT</t>
  </si>
  <si>
    <t>NSP151L-CEXRKV5Q</t>
  </si>
  <si>
    <t>NSP151L-CEXRKV</t>
  </si>
  <si>
    <t>5Q</t>
  </si>
  <si>
    <t>VIOS G A/T</t>
  </si>
  <si>
    <t>NSP151R-AEXGK00</t>
  </si>
  <si>
    <t>NSP151R-AEXGK</t>
  </si>
  <si>
    <t>NSP151R-AHMVKN00</t>
  </si>
  <si>
    <t>NSP151R-AHMVKN</t>
  </si>
  <si>
    <t>NSP151R-CEMDKD11</t>
  </si>
  <si>
    <t>NSP151R-CEMDKD</t>
  </si>
  <si>
    <t>LIMO 1.5 M/T</t>
  </si>
  <si>
    <t>NSP151R-CEMDKD10</t>
  </si>
  <si>
    <t>NSP151R-CEMDKD00</t>
  </si>
  <si>
    <t>VIOS 1.5 M/T</t>
  </si>
  <si>
    <t>NSP151R-CEMGKD00</t>
  </si>
  <si>
    <t>NSP151R-CEMGKD</t>
  </si>
  <si>
    <t>NSP151R-CEMGKD01</t>
  </si>
  <si>
    <t>NSP151R-CEMGKD10</t>
  </si>
  <si>
    <t>NSP151R-CEMGKDD0</t>
  </si>
  <si>
    <t>NSP151R-CEMGKDD1</t>
  </si>
  <si>
    <t>NSP151R-CEMGKDI0</t>
  </si>
  <si>
    <t>NSP151R-CEMRKD00</t>
  </si>
  <si>
    <t>NSP151R-CEMRKD</t>
  </si>
  <si>
    <t>NSP151R-CEMRKD10</t>
  </si>
  <si>
    <t>NSP151R-CEMRKDD0</t>
  </si>
  <si>
    <t>NSP151R-CEMRKDI0</t>
  </si>
  <si>
    <t>NSP151R-CEXDKD10</t>
  </si>
  <si>
    <t>NSP151R-CEXDKD</t>
  </si>
  <si>
    <t>LIMO 1.5 CVT</t>
  </si>
  <si>
    <t>NSP151R-CEXDKD11</t>
  </si>
  <si>
    <t>NSP151R-CEXDKD00</t>
  </si>
  <si>
    <t>NSP151R-CEXGKD10</t>
  </si>
  <si>
    <t>NSP151R-CEXGKD</t>
  </si>
  <si>
    <t>NSP151R-CEXGKDD0</t>
  </si>
  <si>
    <t>NSP151R-CEXGKDD1</t>
  </si>
  <si>
    <t>NSP151R-CEXGKD00</t>
  </si>
  <si>
    <t>NSP151R-CEXGKD01</t>
  </si>
  <si>
    <t>NSP151R-CEXGKDI0</t>
  </si>
  <si>
    <t>NSP151R-CEXRKD10</t>
  </si>
  <si>
    <t>NSP151R-CEXRKD</t>
  </si>
  <si>
    <t>VIOS 1.5E CVT</t>
  </si>
  <si>
    <t>NSP151R-CEXRKDD0</t>
  </si>
  <si>
    <t>NSP151R-CEXRKD00</t>
  </si>
  <si>
    <t>NSP151R-CEXRKDI0</t>
  </si>
  <si>
    <t>NSP151R-CHMGKD00</t>
  </si>
  <si>
    <t>NSP151R-CHMGKD</t>
  </si>
  <si>
    <t>NSP151R-CHMGKDD0</t>
  </si>
  <si>
    <t>NSP151R-CHMGKD10</t>
  </si>
  <si>
    <t>NSP151R-CHMGKD21</t>
  </si>
  <si>
    <t>YARIS 1.5G M/T 3 Airbags</t>
  </si>
  <si>
    <t>NSP151R-CHMGKD20</t>
  </si>
  <si>
    <t>YARIS 1.5G M/T 7 Airbags</t>
  </si>
  <si>
    <t>NSP151R-CHMGKDF0</t>
  </si>
  <si>
    <t>NSP151R-CHMGKDi0</t>
  </si>
  <si>
    <t>i0</t>
  </si>
  <si>
    <t>NSP151R-CHMGKDI1</t>
  </si>
  <si>
    <t>NSP151R-CHMRKD00</t>
  </si>
  <si>
    <t>NSP151R-CHMRKD</t>
  </si>
  <si>
    <t>NSP151R-CHMRKDD0</t>
  </si>
  <si>
    <t>NSP151R-CHMRKD10</t>
  </si>
  <si>
    <t>NSP151R-CHMRKDF0</t>
  </si>
  <si>
    <t>NSP151R-CHMVKD00</t>
  </si>
  <si>
    <t>NSP151R-CHMVKD</t>
  </si>
  <si>
    <t>NSP151R-CHMVKD01</t>
  </si>
  <si>
    <t>NSP151R-CHMVKD02</t>
  </si>
  <si>
    <t>NSP151R-CHMVKD03</t>
  </si>
  <si>
    <t>NSP151R-CHMVKDD0</t>
  </si>
  <si>
    <t>NSP151R-CHMVKDD1</t>
  </si>
  <si>
    <t>NSP151R-CHMVKDD2</t>
  </si>
  <si>
    <t>NSP151R-CHMVKDD3</t>
  </si>
  <si>
    <t>NSP151R-CHMVKD10</t>
  </si>
  <si>
    <t>NSP151R-CHMVKD20</t>
  </si>
  <si>
    <t>YARIS 1.5S M/T 7 Airbags</t>
  </si>
  <si>
    <t>NSP151R-CHMVKD21</t>
  </si>
  <si>
    <t>YARIS 1.5S M/T 3 Airbags</t>
  </si>
  <si>
    <t>NSP151R-CHMVKDE0</t>
  </si>
  <si>
    <t>NSP151R-CHMVKDE1</t>
  </si>
  <si>
    <t>NSP151R-CHMVKDE2</t>
  </si>
  <si>
    <t>NSP151R-CHMVKDE3</t>
  </si>
  <si>
    <t>E3</t>
  </si>
  <si>
    <t>NSP151R-CHMVKDF0</t>
  </si>
  <si>
    <t>NSP151R-CHMVKDi0</t>
  </si>
  <si>
    <t>NSP151R-CHMVKDI1</t>
  </si>
  <si>
    <t>NSP151R-CHMVKD41</t>
  </si>
  <si>
    <t>NSP151R-CHMVKD31</t>
  </si>
  <si>
    <t>NSP151R-CHMVKD40</t>
  </si>
  <si>
    <t>NSP151R-CHMVKD30</t>
  </si>
  <si>
    <t>NSP151R-CHMVKD51</t>
  </si>
  <si>
    <t>NSP151R-CHMVKD61</t>
  </si>
  <si>
    <t>NSP151R-CHMVKD63</t>
  </si>
  <si>
    <t>63</t>
  </si>
  <si>
    <t>NSP151R-CHXGKD00</t>
  </si>
  <si>
    <t>NSP151R-CHXGKD</t>
  </si>
  <si>
    <t>YARIS 1.5G CVT</t>
  </si>
  <si>
    <t>NSP151R-CHXGKDD0</t>
  </si>
  <si>
    <t>NSP151R-CHXGKD10</t>
  </si>
  <si>
    <t>NSP151R-CHXGKD20</t>
  </si>
  <si>
    <t>YARIS 1.5G CVT 7 Airbags</t>
  </si>
  <si>
    <t>NSP151R-CHXGKD21</t>
  </si>
  <si>
    <t>YARIS 1.5G CVT 3 Airbags</t>
  </si>
  <si>
    <t>NSP151R-CHXGKDF0</t>
  </si>
  <si>
    <t>NSP151R-CHXGKDi0</t>
  </si>
  <si>
    <t>NSP151R-CHXGKDi1</t>
  </si>
  <si>
    <t>i1</t>
  </si>
  <si>
    <t>NSP151R-CHXRKD00</t>
  </si>
  <si>
    <t>NSP151R-CHXRKD</t>
  </si>
  <si>
    <t>YARIS 1.5E CVT</t>
  </si>
  <si>
    <t>NSP151R-CHXRKDD0</t>
  </si>
  <si>
    <t>NSP151R-CHXRKD10</t>
  </si>
  <si>
    <t>NSP151R-CHXRKDF0</t>
  </si>
  <si>
    <t>NSP151R-CHXVKD01</t>
  </si>
  <si>
    <t>NSP151R-CHXVKD</t>
  </si>
  <si>
    <t>NSP151R-CHXVKD00</t>
  </si>
  <si>
    <t>YARIS 1.5S CVT</t>
  </si>
  <si>
    <t>NSP151R-CHXVKD02</t>
  </si>
  <si>
    <t>NSP151R-CHXVKD03</t>
  </si>
  <si>
    <t>NSP151R-CHXVKDD0</t>
  </si>
  <si>
    <t>NSP151R-CHXVKDD1</t>
  </si>
  <si>
    <t>NSP151R-CHXVKDD2</t>
  </si>
  <si>
    <t>NSP151R-CHXVKDD3</t>
  </si>
  <si>
    <t>NSP151R-CHXVKD10</t>
  </si>
  <si>
    <t>NSP151R-CHXVKD20</t>
  </si>
  <si>
    <t>YARIS 1.5S CVT 7 Airbags</t>
  </si>
  <si>
    <t>NSP151R-CHXVKD21</t>
  </si>
  <si>
    <t>YARIS 1.5S CVT 3 Airbags</t>
  </si>
  <si>
    <t>NSP151R-CHXVKDF0</t>
  </si>
  <si>
    <t>NSP151R-CHXVKDi0</t>
  </si>
  <si>
    <t>NSP151R-CHXVKDi1</t>
  </si>
  <si>
    <t>NSP151R-CHXVKDAJ</t>
  </si>
  <si>
    <t>NSP151R-CHXVKDAA</t>
  </si>
  <si>
    <t>NSP151R-CHXVKDAB</t>
  </si>
  <si>
    <t>NSP151R-CHXVKDAC</t>
  </si>
  <si>
    <t>NSP151R-CHXVKD40</t>
  </si>
  <si>
    <t>NSP151R-CHXVKD41</t>
  </si>
  <si>
    <t>NSP151R-CHXVKD31</t>
  </si>
  <si>
    <t>NSP151R-CHXVKD30</t>
  </si>
  <si>
    <t>NSP151R-CHXVKDAE</t>
  </si>
  <si>
    <t>NSP151R-CHXVKDAD</t>
  </si>
  <si>
    <t>NSP151R-CHXVKD50</t>
  </si>
  <si>
    <t>NSP151R-CHXVKD51</t>
  </si>
  <si>
    <t>NSP151R-CHXVKDAF</t>
  </si>
  <si>
    <t>NSP151R-CHXVKDAG</t>
  </si>
  <si>
    <t>NSP151R-CHXVKDJ0</t>
  </si>
  <si>
    <t>NSP151R-CHXVKDJ1</t>
  </si>
  <si>
    <t>NSP151R-CHXVKD60</t>
  </si>
  <si>
    <t>NSP151R-CHXVKD61</t>
  </si>
  <si>
    <t>NSP151R-CHXVKD62</t>
  </si>
  <si>
    <t>NSP151R-CHXVKD63</t>
  </si>
  <si>
    <t>NSP170R-MWFDKD17</t>
  </si>
  <si>
    <t>NSP170R-MWFDKD</t>
  </si>
  <si>
    <t>SIENTA 1.5E M/T</t>
  </si>
  <si>
    <t>NSP170R-MWFDKDF7</t>
  </si>
  <si>
    <t>F7</t>
  </si>
  <si>
    <t>NSP170R-MWFDKD07</t>
  </si>
  <si>
    <t>NSP170R-MWFDKDD0</t>
  </si>
  <si>
    <t>NSP170R-MWFDKD00</t>
  </si>
  <si>
    <t>NSP170R-MWFDKD01</t>
  </si>
  <si>
    <t>NSP170R-MWFDKDE0</t>
  </si>
  <si>
    <t>NSP170R-MWFNKDI7</t>
  </si>
  <si>
    <t>NSP170R-MWFNKD</t>
  </si>
  <si>
    <t>I7</t>
  </si>
  <si>
    <t>SIENTA 1.5G M/T</t>
  </si>
  <si>
    <t>NSP170R-MWFNKDH7</t>
  </si>
  <si>
    <t>H7</t>
  </si>
  <si>
    <t>NSP170R-MWFNKD17</t>
  </si>
  <si>
    <t>NSP170R-MWFNKDF7</t>
  </si>
  <si>
    <t>NSP170R-MWFNKDE0</t>
  </si>
  <si>
    <t>NSP170R-MWFNKD07</t>
  </si>
  <si>
    <t>NSP170R-MWFNKDD0</t>
  </si>
  <si>
    <t>NSP170R-MWFNKD00</t>
  </si>
  <si>
    <t>NSP170R-MWFNKD01</t>
  </si>
  <si>
    <t>NSP170R-MWFQKDI7</t>
  </si>
  <si>
    <t>NSP170R-MWFQKD</t>
  </si>
  <si>
    <t>SIENTA 1.5V M/T</t>
  </si>
  <si>
    <t>NSP170R-MWFQKDI8</t>
  </si>
  <si>
    <t>I8</t>
  </si>
  <si>
    <t>SIENTA 1.5V M/T WELCAB DISABILITY</t>
  </si>
  <si>
    <t>NSP170R-MWFQKDI9</t>
  </si>
  <si>
    <t>I9</t>
  </si>
  <si>
    <t>NSP170R-MWFQKDH7</t>
  </si>
  <si>
    <t>NSP170R-MWFQKD17</t>
  </si>
  <si>
    <t>NSP170R-MWFQKD18</t>
  </si>
  <si>
    <t>18</t>
  </si>
  <si>
    <t>NSP170R-MWFQKD19</t>
  </si>
  <si>
    <t>19</t>
  </si>
  <si>
    <t>NSP170R-MWFQKDF7</t>
  </si>
  <si>
    <t>NSP170R-MWFQKDF8</t>
  </si>
  <si>
    <t>F8</t>
  </si>
  <si>
    <t>NSP170R-MWFQKDE0</t>
  </si>
  <si>
    <t>NSP170R-MWFQKDE2</t>
  </si>
  <si>
    <t>NSP170R-MWFQKD07</t>
  </si>
  <si>
    <t>NSP170R-MWFQKD08</t>
  </si>
  <si>
    <t>NSP170R-MWFQKDD0</t>
  </si>
  <si>
    <t>NSP170R-MWFQKDD2</t>
  </si>
  <si>
    <t>NSP170R-MWFQKD00</t>
  </si>
  <si>
    <t>NSP170R-MWFQKD01</t>
  </si>
  <si>
    <t>NSP170R-MWFQKD02</t>
  </si>
  <si>
    <t>NSP170R-MWFQKD03</t>
  </si>
  <si>
    <t>NSP170R-MWYDKD17</t>
  </si>
  <si>
    <t>NSP170R-MWYDKD</t>
  </si>
  <si>
    <t>SIENTA 1.5E CVT</t>
  </si>
  <si>
    <t>NSP170R-MWYDKDF7</t>
  </si>
  <si>
    <t>NSP170R-MWYDKD07</t>
  </si>
  <si>
    <t>NSP170R-MWYDKDD0</t>
  </si>
  <si>
    <t>NSP170R-MWYDKD00</t>
  </si>
  <si>
    <t>NSP170R-MWYDKD01</t>
  </si>
  <si>
    <t>NSP170R-MWYDKDE0</t>
  </si>
  <si>
    <t>NSP170R-MWYNKDI7</t>
  </si>
  <si>
    <t>NSP170R-MWYNKD</t>
  </si>
  <si>
    <t>SIENTA 1.5G CVT</t>
  </si>
  <si>
    <t>NSP170R-MWYNKDH7</t>
  </si>
  <si>
    <t>NSP170R-MWYNKD17</t>
  </si>
  <si>
    <t>NSP170R-MWYNKDF7</t>
  </si>
  <si>
    <t>NSP170R-MWYNKDE0</t>
  </si>
  <si>
    <t>NSP170R-MWYNKD07</t>
  </si>
  <si>
    <t>NSP170R-MWYNKDD0</t>
  </si>
  <si>
    <t>NSP170R-MWYNKD00</t>
  </si>
  <si>
    <t>NSP170R-MWYNKD01</t>
  </si>
  <si>
    <t>NSP170R-MWYQKDI7</t>
  </si>
  <si>
    <t>NSP170R-MWYQKD</t>
  </si>
  <si>
    <t>SIENTA 1.5V CVT</t>
  </si>
  <si>
    <t>NSP170R-MWYQKDI8</t>
  </si>
  <si>
    <t>SIENTA 1.5V CVT WELCAB DISABILITY</t>
  </si>
  <si>
    <t>NSP170R-MWYQKDH7</t>
  </si>
  <si>
    <t>NSP170R-MWYQKD17</t>
  </si>
  <si>
    <t>NSP170R-MWYQKD18</t>
  </si>
  <si>
    <t>NSP170R-MWYQKDF7</t>
  </si>
  <si>
    <t>NSP170R-MWYQKDF8</t>
  </si>
  <si>
    <t>NSP170R-MWYQKDE0</t>
  </si>
  <si>
    <t>NSP170R-MWYQKD07</t>
  </si>
  <si>
    <t>NSP170R-MWYQKD08</t>
  </si>
  <si>
    <t>NSP170R-MWYQKDD0</t>
  </si>
  <si>
    <t>NSP170R-MWYQKDD2</t>
  </si>
  <si>
    <t>NSP170R-MWYQKD00</t>
  </si>
  <si>
    <t>NSP170R-MWYQKD01</t>
  </si>
  <si>
    <t>NSP170R-MWYQKD02</t>
  </si>
  <si>
    <t>NSP170R-MWYQKD03</t>
  </si>
  <si>
    <t>NSP170R-MWYQKDE2</t>
  </si>
  <si>
    <t>NSP170R-MWYUKDI7</t>
  </si>
  <si>
    <t>NSP170R-MWYUKD</t>
  </si>
  <si>
    <t>SIENTA 1.5Q CVT</t>
  </si>
  <si>
    <t>NSP170R-MWYUKDH7</t>
  </si>
  <si>
    <t>NSP170R-MWYUKD17</t>
  </si>
  <si>
    <t>NSP170R-MWYUKDF7</t>
  </si>
  <si>
    <t>NSP170R-MWYUKDE5</t>
  </si>
  <si>
    <t>E5</t>
  </si>
  <si>
    <t>NSP170R-MWYUKDE4</t>
  </si>
  <si>
    <t>E4</t>
  </si>
  <si>
    <t>NSP170R-MWYUKD04</t>
  </si>
  <si>
    <t>NSP170R-MWYUKD05</t>
  </si>
  <si>
    <t>NSP170R-MWYUKD06</t>
  </si>
  <si>
    <t>NSP170R-MWYUKD07</t>
  </si>
  <si>
    <t>NSP170R-MWYUKD08</t>
  </si>
  <si>
    <t>NSP170R-MWYUKDD0</t>
  </si>
  <si>
    <t>NSP170R-MWYUKDD2</t>
  </si>
  <si>
    <t>NSP170R-MWYUKD00</t>
  </si>
  <si>
    <t>NSP170R-MWYUKD01</t>
  </si>
  <si>
    <t>NSP170R-MWYUKD02</t>
  </si>
  <si>
    <t>NSP170R-MWYUKD03</t>
  </si>
  <si>
    <t>NYC200R-DHXHBD00</t>
  </si>
  <si>
    <t>NYC200R-DHXHBD</t>
  </si>
  <si>
    <t>YARIS CROSS HYBRID</t>
  </si>
  <si>
    <t>YARIS CROSS HYBRID 1.5S HV CVT TSS</t>
  </si>
  <si>
    <t>NYC200R-DHXMBD</t>
  </si>
  <si>
    <t>NYC200R-DHXHBDEA</t>
  </si>
  <si>
    <t>NYC200R-DHXHBD11</t>
  </si>
  <si>
    <t>NYC200R-DHXHBDEB</t>
  </si>
  <si>
    <t>NYC200R-DHXHBDEF</t>
  </si>
  <si>
    <t>NYC200R-DHXHBDK1</t>
  </si>
  <si>
    <t>K1</t>
  </si>
  <si>
    <t>NYC200R-DHXHBDK3</t>
  </si>
  <si>
    <t>NYC200R-DHXHBD01</t>
  </si>
  <si>
    <t>NYC200R-DHXHBD04</t>
  </si>
  <si>
    <t>NYC200R-DHXHBD05</t>
  </si>
  <si>
    <t>NYC200R-DHXHBD02</t>
  </si>
  <si>
    <t>NYC200R-DHXHBD03</t>
  </si>
  <si>
    <t>NYC200R-DHXHBD06</t>
  </si>
  <si>
    <t>NYC200R-DHXHBDCD</t>
  </si>
  <si>
    <t>YARIS CROSS HYBRID 1.5S HV CVT TSS TCO</t>
  </si>
  <si>
    <t>NYC200R-DHXHBDAB</t>
  </si>
  <si>
    <t>NYC200R-DHXHBD07</t>
  </si>
  <si>
    <t>RMV12-AGDQS00</t>
  </si>
  <si>
    <t>RMV12-AGDQS</t>
  </si>
  <si>
    <t>RMV1</t>
  </si>
  <si>
    <t>RZF81R-GRPNE00</t>
  </si>
  <si>
    <t>RZF81R-GRPNE</t>
  </si>
  <si>
    <t>KIJANG MINIBUS SUPER AUTOMATIC</t>
  </si>
  <si>
    <t>TGN10R-TRMDKD10</t>
  </si>
  <si>
    <t>TGN10R-TRMDKD</t>
  </si>
  <si>
    <t>HILUX PICK UP 2.0L M/T</t>
  </si>
  <si>
    <t>TGN10R-TRMDKD20</t>
  </si>
  <si>
    <t>TGN10R-TRMDKD70</t>
  </si>
  <si>
    <t>TGN10R-TRMDKD00</t>
  </si>
  <si>
    <t>TGN10R-TRMDKD30</t>
  </si>
  <si>
    <t>TGN10R-TRMRKD300</t>
  </si>
  <si>
    <t>TGN10R-TRMRKD3</t>
  </si>
  <si>
    <t>HILUX PICK UP 2.0 C/C M/T</t>
  </si>
  <si>
    <t>TGN10R-TRMRKD310</t>
  </si>
  <si>
    <t>TGN10R-TRMRKD320</t>
  </si>
  <si>
    <t>TGN10R-TRMRKD360</t>
  </si>
  <si>
    <t>TGN110R-BTMLKD00</t>
  </si>
  <si>
    <t>TGN110R-BTMLKD</t>
  </si>
  <si>
    <t>HILUX PICK UP 2.0 M/T</t>
  </si>
  <si>
    <t>TGN110R-BTMLKD10</t>
  </si>
  <si>
    <t>TGN110R-BTMLKD11</t>
  </si>
  <si>
    <t>TGN110R-BTMLKD12</t>
  </si>
  <si>
    <t>TGN110R-BTMXKD00</t>
  </si>
  <si>
    <t>TGN110R-BTMXKD</t>
  </si>
  <si>
    <t>TGN110R-BTMXKD50</t>
  </si>
  <si>
    <t>TGN110R-BTMXKDF0</t>
  </si>
  <si>
    <t>TGN110R-BTMXKD10</t>
  </si>
  <si>
    <t>TGN110R-BTMXKD60</t>
  </si>
  <si>
    <t>TGN140R-MDMHKD01</t>
  </si>
  <si>
    <t>TGN140R-MDMHKD</t>
  </si>
  <si>
    <t>INNOVA 2.0Q M/T</t>
  </si>
  <si>
    <t>TGN140R-MDMHKD12</t>
  </si>
  <si>
    <t>INNOVA VENTURER 2.0 M/T</t>
  </si>
  <si>
    <t>TGN140R-MDMHKD10</t>
  </si>
  <si>
    <t>TGN140R-MDMHKDD0</t>
  </si>
  <si>
    <t>TGN140R-MDMHKD20</t>
  </si>
  <si>
    <t>TGN140R-MDMHKD22</t>
  </si>
  <si>
    <t>TGN140R-MDMHKD00</t>
  </si>
  <si>
    <t>TGN140R-MDMHKDC0</t>
  </si>
  <si>
    <t>TGN140R-MDMHKD02</t>
  </si>
  <si>
    <t>TGN140R-MDMHKD42</t>
  </si>
  <si>
    <t>42</t>
  </si>
  <si>
    <t>INNOVA 2.0V M/T</t>
  </si>
  <si>
    <t>TGN140R-MDMHKD43</t>
  </si>
  <si>
    <t>43</t>
  </si>
  <si>
    <t>TGN140R-MDMHKD32</t>
  </si>
  <si>
    <t>TGN140R-MDMHKDH2</t>
  </si>
  <si>
    <t>TGN140R-MDMHKDH0</t>
  </si>
  <si>
    <t>TGN140R-MDMHKDF0</t>
  </si>
  <si>
    <t>TGN140R-MDMHKDF2</t>
  </si>
  <si>
    <t>TGN140R-MDMHKD52</t>
  </si>
  <si>
    <t>52</t>
  </si>
  <si>
    <t>TGN140R-MDMHKD53</t>
  </si>
  <si>
    <t>53</t>
  </si>
  <si>
    <t>TGN140R-MDMHKD54</t>
  </si>
  <si>
    <t>54</t>
  </si>
  <si>
    <t>TGN140R-MDMHKDI3</t>
  </si>
  <si>
    <t>I3</t>
  </si>
  <si>
    <t>TGN140R-MDMHKDI4</t>
  </si>
  <si>
    <t>I4</t>
  </si>
  <si>
    <t>TGN140R-MDMHKDI2</t>
  </si>
  <si>
    <t>I2</t>
  </si>
  <si>
    <t>TGN140R-MDMHKDE0</t>
  </si>
  <si>
    <t>TGN140R-MDMHKDE2</t>
  </si>
  <si>
    <t>TGN140R-MDMHKDCA</t>
  </si>
  <si>
    <t>TGN140R-MDMHKDDA</t>
  </si>
  <si>
    <t>TGN140R-MDMMKD10</t>
  </si>
  <si>
    <t>TGN140R-MDMMKD</t>
  </si>
  <si>
    <t>TGN140R-MDMMKDD0</t>
  </si>
  <si>
    <t>TGN140R-MDMMKDD1</t>
  </si>
  <si>
    <t>TGN140R-MDMMKD11</t>
  </si>
  <si>
    <t>TGN140R-MDMMKD13</t>
  </si>
  <si>
    <t>TGN140R-MDMMKD14</t>
  </si>
  <si>
    <t>TGN140R-MDMMKD23</t>
  </si>
  <si>
    <t>TGN140R-MDMMKD24</t>
  </si>
  <si>
    <t>TGN140R-MDMMKD00</t>
  </si>
  <si>
    <t>TGN140R-MDMMKDC0</t>
  </si>
  <si>
    <t>TGN140R-MDMMKD01</t>
  </si>
  <si>
    <t>TGN140R-MDMMKDH3</t>
  </si>
  <si>
    <t>TGN140R-MDMMKDE0</t>
  </si>
  <si>
    <t>TGN140R-MDMMKDF3</t>
  </si>
  <si>
    <t>TGN140R-MDMMKDF4</t>
  </si>
  <si>
    <t>TGN140R-MDMSKD10</t>
  </si>
  <si>
    <t>TGN140R-MDMSKD</t>
  </si>
  <si>
    <t>INNOVA 2.0G M/T</t>
  </si>
  <si>
    <t>TGN140R-MDMSKDD0</t>
  </si>
  <si>
    <t>TGN140R-MDMSKDD1</t>
  </si>
  <si>
    <t>TGN140R-MDMSKD11</t>
  </si>
  <si>
    <t>TGN140R-MDMSKD20</t>
  </si>
  <si>
    <t>TGN140R-MDMSKD21</t>
  </si>
  <si>
    <t>TGN140R-MDMSKD00</t>
  </si>
  <si>
    <t>TGN140R-MDMSKDC0</t>
  </si>
  <si>
    <t>TGN140R-MDMSKD01</t>
  </si>
  <si>
    <t>TGN140R-MDMSKD30</t>
  </si>
  <si>
    <t>TGN140R-MDMSKD31</t>
  </si>
  <si>
    <t>TGN140R-MDMSKDH0</t>
  </si>
  <si>
    <t>TGN140R-MDMSKDE0</t>
  </si>
  <si>
    <t>TGN140R-MDMSKDF0</t>
  </si>
  <si>
    <t>TGN140R-MDMSKDF1</t>
  </si>
  <si>
    <t>TGN140R-MDMSKD40</t>
  </si>
  <si>
    <t>TGN140R-MDMSKD41</t>
  </si>
  <si>
    <t>TGN140R-MDMSKD42</t>
  </si>
  <si>
    <t>TGN140R-MDMSKDI0</t>
  </si>
  <si>
    <t>TGN140R-MDMSKDI1</t>
  </si>
  <si>
    <t>TGN140R-MDMSKDI2</t>
  </si>
  <si>
    <t>TGN140R-MDMSKD22</t>
  </si>
  <si>
    <t>TGN140R-MDMSKD32</t>
  </si>
  <si>
    <t>TGN140R-MDMSKDAJ</t>
  </si>
  <si>
    <t>TGN140R-MDMSKDBJ</t>
  </si>
  <si>
    <t>TGN140R-MDMSKDE1</t>
  </si>
  <si>
    <t>TGN140R-MDMSKDCA</t>
  </si>
  <si>
    <t>TGN140R-MDMSKDDA</t>
  </si>
  <si>
    <t>TGN140R-MDTHKD01</t>
  </si>
  <si>
    <t>TGN140R-MDTHKD</t>
  </si>
  <si>
    <t>INNOVA 2.0Q A/T</t>
  </si>
  <si>
    <t>TGN140R-MDTHKD12</t>
  </si>
  <si>
    <t>INNOVA VENTURER 2.0 A/T</t>
  </si>
  <si>
    <t>TGN140R-MDTHKD10</t>
  </si>
  <si>
    <t>TGN140R-MDTHKDD0</t>
  </si>
  <si>
    <t>TGN140R-MDTHKD20</t>
  </si>
  <si>
    <t>TGN140R-MDTHKD22</t>
  </si>
  <si>
    <t>TGN140R-MDTHKD00</t>
  </si>
  <si>
    <t>TGN140R-MDTHKDC0</t>
  </si>
  <si>
    <t>TGN140R-MDTHKD02</t>
  </si>
  <si>
    <t>TGN140R-MDTHKD42</t>
  </si>
  <si>
    <t>INNOVA 2.0V A/T</t>
  </si>
  <si>
    <t>TGN140R-MDTHKD43</t>
  </si>
  <si>
    <t>TGN140R-MDTHKD32</t>
  </si>
  <si>
    <t>TGN140R-MDTHKDH0</t>
  </si>
  <si>
    <t>TGN140R-MDTHKDE2</t>
  </si>
  <si>
    <t>TGN140R-MDTHKDF0</t>
  </si>
  <si>
    <t>TGN140R-MDTHKDF2</t>
  </si>
  <si>
    <t>TGN140R-MDTHKD52</t>
  </si>
  <si>
    <t>TGN140R-MDTHKD53</t>
  </si>
  <si>
    <t>TGN140R-MDTHKD54</t>
  </si>
  <si>
    <t>TGN140R-MDTHKD55</t>
  </si>
  <si>
    <t>55</t>
  </si>
  <si>
    <t>TGN140R-MDTHKDI3</t>
  </si>
  <si>
    <t>TGN140R-MDTHKDI4</t>
  </si>
  <si>
    <t>TGN140R-MDTHKDI2</t>
  </si>
  <si>
    <t>TGN140R-MDTHKDH2</t>
  </si>
  <si>
    <t>TGN140R-MDTHKDE0</t>
  </si>
  <si>
    <t>TGN140R-MDTHKDCA</t>
  </si>
  <si>
    <t>TGN140R-MDTHKDDA</t>
  </si>
  <si>
    <t>TGN140R-MDTMKD10</t>
  </si>
  <si>
    <t>TGN140R-MDTMKD</t>
  </si>
  <si>
    <t>TGN140R-MDTMKDD0</t>
  </si>
  <si>
    <t>TGN140R-MDTMKDD1</t>
  </si>
  <si>
    <t>TGN140R-MDTMKD11</t>
  </si>
  <si>
    <t>TGN140R-MDTMKD13</t>
  </si>
  <si>
    <t>TGN140R-MDTMKD14</t>
  </si>
  <si>
    <t>TGN140R-MDTMKD23</t>
  </si>
  <si>
    <t>TGN140R-MDTMKD24</t>
  </si>
  <si>
    <t>TGN140R-MDTMKD00</t>
  </si>
  <si>
    <t>TGN140R-MDTMKDC0</t>
  </si>
  <si>
    <t>TGN140R-MDTMKD01</t>
  </si>
  <si>
    <t>TGN140R-MDTMKDH3</t>
  </si>
  <si>
    <t>TGN140R-MDTMKDE0</t>
  </si>
  <si>
    <t>TGN140R-MDTMKDF3</t>
  </si>
  <si>
    <t>TGN140R-MDTMKDF4</t>
  </si>
  <si>
    <t>TGN140R-MDTMKDE1</t>
  </si>
  <si>
    <t>TGN140R-MDTSKD10</t>
  </si>
  <si>
    <t>TGN140R-MDTSKD</t>
  </si>
  <si>
    <t>INNOVA 2.0G A/T</t>
  </si>
  <si>
    <t>TGN140R-MDTSKDD0</t>
  </si>
  <si>
    <t>TGN140R-MDTSKDD1</t>
  </si>
  <si>
    <t>TGN140R-MDTSKD11</t>
  </si>
  <si>
    <t>TGN140R-MDTSKD20</t>
  </si>
  <si>
    <t>TGN140R-MDTSKD21</t>
  </si>
  <si>
    <t>TGN140R-MDTSKD00</t>
  </si>
  <si>
    <t>TGN140R-MDTSKDC0</t>
  </si>
  <si>
    <t>TGN140R-MDTSKD01</t>
  </si>
  <si>
    <t>TGN140R-MDTSKD30</t>
  </si>
  <si>
    <t>TGN140R-MDTSKD31</t>
  </si>
  <si>
    <t>TGN140R-MDTSKDH0</t>
  </si>
  <si>
    <t>TGN140R-MDTSKDE0</t>
  </si>
  <si>
    <t>TGN140R-MDTSKDF0</t>
  </si>
  <si>
    <t>TGN140R-MDTSKDF1</t>
  </si>
  <si>
    <t>TGN140R-MDTSKD40</t>
  </si>
  <si>
    <t>TGN140R-MDTSKD41</t>
  </si>
  <si>
    <t>TGN140R-MDTSKD42</t>
  </si>
  <si>
    <t>TGN140R-MDTSKDI0</t>
  </si>
  <si>
    <t>TGN140R-MDTSKDI1</t>
  </si>
  <si>
    <t>TGN140R-MDTSKDI2</t>
  </si>
  <si>
    <t>TGN140R-MDTSKD22</t>
  </si>
  <si>
    <t>TGN140R-MDTSKD32</t>
  </si>
  <si>
    <t>TGN140R-MDTSKDE1</t>
  </si>
  <si>
    <t>TGN140R-MDTSKDCA</t>
  </si>
  <si>
    <t>TGN140R-MDTSKDDA</t>
  </si>
  <si>
    <t>TGN142R-MDMSYD10</t>
  </si>
  <si>
    <t>TGN142R-MDMSYD</t>
  </si>
  <si>
    <t>TGN166L-SDTLKVG2</t>
  </si>
  <si>
    <t>TGN166L-SDTLKV</t>
  </si>
  <si>
    <t>FORTUNER 2.7G A/T</t>
  </si>
  <si>
    <t>TGN166R-SDTHKD00</t>
  </si>
  <si>
    <t>TGN166R-SDTHKD</t>
  </si>
  <si>
    <t>FORTUNER 2.7 SRZ 4X2 A/T</t>
  </si>
  <si>
    <t>45</t>
  </si>
  <si>
    <t>TGN166R-SDTHKD44</t>
  </si>
  <si>
    <t>TGN166R-SDTHKD41</t>
  </si>
  <si>
    <t>TGN166R-SDTHKD42</t>
  </si>
  <si>
    <t>TGN166R-SDTHKDI0</t>
  </si>
  <si>
    <t>TGN166R-SDTHKDI1</t>
  </si>
  <si>
    <t>TGN166R-SDTHKD43</t>
  </si>
  <si>
    <t>TGN166R-SDTHKD01</t>
  </si>
  <si>
    <t>TGN166R-SDTHKD46</t>
  </si>
  <si>
    <t>TGN166R-SDTHKD11</t>
  </si>
  <si>
    <t>TGN166R-SDTHKD21</t>
  </si>
  <si>
    <t>TGN166R-SDTHKD31</t>
  </si>
  <si>
    <t>TGN166R-SDTHXD21</t>
  </si>
  <si>
    <t>TGN166R-SDTHXD</t>
  </si>
  <si>
    <t>TGN166R-SDTMKD00</t>
  </si>
  <si>
    <t>TGN166R-SDTMKD</t>
  </si>
  <si>
    <t>TGN166R-SDTMKDD0</t>
  </si>
  <si>
    <t>TGN166R-SDTMKD10</t>
  </si>
  <si>
    <t>TGN166R-SDTMKD21</t>
  </si>
  <si>
    <t>TGN166R-SDTMKD11</t>
  </si>
  <si>
    <t>TGN166R-SDTMKD30</t>
  </si>
  <si>
    <t>TGN166R-SDTMKD20</t>
  </si>
  <si>
    <t>TGN166R-SDTMKD31</t>
  </si>
  <si>
    <t>TGN166R-SDTMKDE0</t>
  </si>
  <si>
    <t>TGN166R-SDTMKDE1</t>
  </si>
  <si>
    <t>TGN166R-SDTMKD32</t>
  </si>
  <si>
    <t>TGN166R-SDTMKDF1</t>
  </si>
  <si>
    <t>TGN166R-SDTMKDF0</t>
  </si>
  <si>
    <t>TGN166R-SDTMKDH0</t>
  </si>
  <si>
    <t>TGN166R-SDTMKDH2</t>
  </si>
  <si>
    <t>TGN40R-GKMDKD01</t>
  </si>
  <si>
    <t>TGN40R-GKMDKD</t>
  </si>
  <si>
    <t>INNOVA G</t>
  </si>
  <si>
    <t>TGN40R-GKMDKD21</t>
  </si>
  <si>
    <t>TGN40R-GKMDKD22</t>
  </si>
  <si>
    <t>TGN40R-GKMDKDP1</t>
  </si>
  <si>
    <t>TGN40R-GKMDKDP3</t>
  </si>
  <si>
    <t>P3</t>
  </si>
  <si>
    <t>TGN40R-GKMDKDT1</t>
  </si>
  <si>
    <t>TGN40R-GKMDKDT3</t>
  </si>
  <si>
    <t>TGN40R-GKMDKDU1</t>
  </si>
  <si>
    <t>TGN40R-GKMDKDU3</t>
  </si>
  <si>
    <t>U3</t>
  </si>
  <si>
    <t>TGN40R-GKMDKDW1</t>
  </si>
  <si>
    <t>TGN40R-GKMDKDW4</t>
  </si>
  <si>
    <t>W4</t>
  </si>
  <si>
    <t>TGN40R-GKMDKD24</t>
  </si>
  <si>
    <t>TGN40R-GKMDKD31</t>
  </si>
  <si>
    <t>TGN40R-GKMDKD33</t>
  </si>
  <si>
    <t>TGN40R-GKMDKD41</t>
  </si>
  <si>
    <t>TGN40R-GKMDKD43</t>
  </si>
  <si>
    <t>TGN40R-GKMDKD51</t>
  </si>
  <si>
    <t>TGN40R-GKMDKD53</t>
  </si>
  <si>
    <t>TGN40R-GKMDKDA1</t>
  </si>
  <si>
    <t>TGN40R-GKMDKDA3</t>
  </si>
  <si>
    <t>A3</t>
  </si>
  <si>
    <t>TGN40R-GKMDKDG1</t>
  </si>
  <si>
    <t>INNOVA 1 TR - G M/T - Capt Seat/Luxury</t>
  </si>
  <si>
    <t>TGN40R-GKMDKD11</t>
  </si>
  <si>
    <t>INNOVA 1 TR - G M/T</t>
  </si>
  <si>
    <t>TGN40R-GKMJKD01</t>
  </si>
  <si>
    <t>TGN40R-GKMJKD</t>
  </si>
  <si>
    <t>INNOVA J</t>
  </si>
  <si>
    <t>TGN40R-GKMJKD11</t>
  </si>
  <si>
    <t>TGN40R-GKMJKDP0</t>
  </si>
  <si>
    <t>TGN40R-GKMJKDP1</t>
  </si>
  <si>
    <t>TGN40R-GKMJKDT0</t>
  </si>
  <si>
    <t>TGN40R-GKMJKDT1</t>
  </si>
  <si>
    <t>TGN40R-GKMJKDU0</t>
  </si>
  <si>
    <t>TGN40R-GKMJKDU1</t>
  </si>
  <si>
    <t>TGN40R-GKMJKDW0</t>
  </si>
  <si>
    <t>TGN40R-GKMJKD00</t>
  </si>
  <si>
    <t>TGN40R-GKMJKD10</t>
  </si>
  <si>
    <t>TGN40R-GKMJKD20</t>
  </si>
  <si>
    <t>TGN40R-GKMJKD30</t>
  </si>
  <si>
    <t>TGN40R-GKMJKD31</t>
  </si>
  <si>
    <t>TGN40R-GKMJKD21</t>
  </si>
  <si>
    <t>TGN40R-GKMJKDA0</t>
  </si>
  <si>
    <t>TGN40R-GKMJKDA1</t>
  </si>
  <si>
    <t>TGN40R-GKMNKD00</t>
  </si>
  <si>
    <t>TGN40R-GKMNKD</t>
  </si>
  <si>
    <t>INNOVA V</t>
  </si>
  <si>
    <t>TGN40R-GKMNKD20</t>
  </si>
  <si>
    <t>TGN40R-GKMNKDP0</t>
  </si>
  <si>
    <t>TGN40R-GKMNKDP1</t>
  </si>
  <si>
    <t>TGN40R-GKMNKDT0</t>
  </si>
  <si>
    <t>TGN40R-GKMNKDT1</t>
  </si>
  <si>
    <t>TGN40R-GKMNKDU0</t>
  </si>
  <si>
    <t>TGN40R-GKMNKDU1</t>
  </si>
  <si>
    <t>TGN40R-GKMNKDV1</t>
  </si>
  <si>
    <t>V1</t>
  </si>
  <si>
    <t>INNOVA V LUXURY</t>
  </si>
  <si>
    <t>TGN40R-GKMNKDW0</t>
  </si>
  <si>
    <t>TGN40R-GKMNKDW4</t>
  </si>
  <si>
    <t>TGN40R-GKMNKD23</t>
  </si>
  <si>
    <t>TGN40R-GKMNKD24</t>
  </si>
  <si>
    <t>TGN40R-GKMNKD30</t>
  </si>
  <si>
    <t>TGN40R-GKMNKD31</t>
  </si>
  <si>
    <t>TGN40R-GKMNKD40</t>
  </si>
  <si>
    <t>TGN40R-GKMNKD41</t>
  </si>
  <si>
    <t>TGN40R-GKMNKD50</t>
  </si>
  <si>
    <t>TGN40R-GKMNKD51</t>
  </si>
  <si>
    <t>TGN40R-GKMNKDA0</t>
  </si>
  <si>
    <t>TGN40R-GKMNKDA1</t>
  </si>
  <si>
    <t>TGN40R-GKMRKD10</t>
  </si>
  <si>
    <t>TGN40R-GKMRKD</t>
  </si>
  <si>
    <t>INNOVA E</t>
  </si>
  <si>
    <t>TGN40R-GKMRKDT0</t>
  </si>
  <si>
    <t>TGN40R-GKMRKDU0</t>
  </si>
  <si>
    <t>TGN40R-GKMRKDW0</t>
  </si>
  <si>
    <t>TGN40R-GKMRKD20</t>
  </si>
  <si>
    <t>TGN40R-GKMRKD30</t>
  </si>
  <si>
    <t>TGN40R-GKMRKD40</t>
  </si>
  <si>
    <t>TGN40R-GKMRKDP0</t>
  </si>
  <si>
    <t>TGN40R-GKMRKD50</t>
  </si>
  <si>
    <t>TGN40R-GKMRKDA0</t>
  </si>
  <si>
    <t>TGN40R-GKPDKD21</t>
  </si>
  <si>
    <t>TGN40R-GKPDKD</t>
  </si>
  <si>
    <t>INNOVA G AT</t>
  </si>
  <si>
    <t>TGN40R-GKPDKD22</t>
  </si>
  <si>
    <t>TGN40R-GKPDKD32</t>
  </si>
  <si>
    <t>TGN40R-GKPDKDG1</t>
  </si>
  <si>
    <t>INNOVA G CRUISER AT</t>
  </si>
  <si>
    <t>TGN40R-GKPDKDP1</t>
  </si>
  <si>
    <t>TGN40R-GKPDKDP3</t>
  </si>
  <si>
    <t>TGN40R-GKPDKDT1</t>
  </si>
  <si>
    <t>TGN40R-GKPDKDT3</t>
  </si>
  <si>
    <t>TGN40R-GKPDKDU1</t>
  </si>
  <si>
    <t>TGN40R-GKPDKDU3</t>
  </si>
  <si>
    <t>TGN40R-GKPDKDW1</t>
  </si>
  <si>
    <t>TGN40R-GKPDKDW4</t>
  </si>
  <si>
    <t>TGN40R-GKPDKD23</t>
  </si>
  <si>
    <t>TGN40R-GKPDKD24</t>
  </si>
  <si>
    <t>TGN40R-GKPDKD31</t>
  </si>
  <si>
    <t>TGN40R-GKPDKD33</t>
  </si>
  <si>
    <t>TGN40R-GKPDKD41</t>
  </si>
  <si>
    <t>TGN40R-GKPDKD43</t>
  </si>
  <si>
    <t>TGN40R-GKPDKD51</t>
  </si>
  <si>
    <t>TGN40R-GKPDKD53</t>
  </si>
  <si>
    <t>TGN40R-GKPDKDA1</t>
  </si>
  <si>
    <t>TGN40R-GKPDKDA3</t>
  </si>
  <si>
    <t>TGN40R-GKPNKD00</t>
  </si>
  <si>
    <t>TGN40R-GKPNKD</t>
  </si>
  <si>
    <t>INNOVA V AUTOMATIC</t>
  </si>
  <si>
    <t>TGN40R-GKPNKDP1</t>
  </si>
  <si>
    <t>INNOVA V AT</t>
  </si>
  <si>
    <t>TGN40R-GKPNKDT0</t>
  </si>
  <si>
    <t>TGN40R-GKPNKDT1</t>
  </si>
  <si>
    <t>TGN40R-GKPNKDU0</t>
  </si>
  <si>
    <t>TGN40R-GKPNKDU1</t>
  </si>
  <si>
    <t>TGN40R-GKPNKDW0</t>
  </si>
  <si>
    <t>TGN40R-GKPNKDW4</t>
  </si>
  <si>
    <t>TGN40R-GKPNKD20</t>
  </si>
  <si>
    <t>TGN40R-GKPNKD23</t>
  </si>
  <si>
    <t>TGN40R-GKPNKD24</t>
  </si>
  <si>
    <t>TGN40R-GKPNKD30</t>
  </si>
  <si>
    <t>TGN40R-GKPNKD31</t>
  </si>
  <si>
    <t>TGN40R-GKPNKD40</t>
  </si>
  <si>
    <t>TGN40R-GKPNKD41</t>
  </si>
  <si>
    <t>TGN40R-GKPNKDP0</t>
  </si>
  <si>
    <t>TGN40R-GKPNKD50</t>
  </si>
  <si>
    <t>TGN40R-GKPNKD51</t>
  </si>
  <si>
    <t>TGN40R-GKPNKDA0</t>
  </si>
  <si>
    <t>TGN40R-GKPNKDA1</t>
  </si>
  <si>
    <t>TGN40R-GKPNKD10</t>
  </si>
  <si>
    <t>INNOVA 1 TR - V A/T</t>
  </si>
  <si>
    <t>TGN40R-GKPRKDP0</t>
  </si>
  <si>
    <t>TGN40R-GKPRKD</t>
  </si>
  <si>
    <t>INNOVA E AT</t>
  </si>
  <si>
    <t>TGN40R-GKPRKDP1</t>
  </si>
  <si>
    <t>TGN40R-GKPRKDT0</t>
  </si>
  <si>
    <t>TGN40R-GKPRKDU0</t>
  </si>
  <si>
    <t>TGN40R-GKPRKDW0</t>
  </si>
  <si>
    <t>TGN40R-GKPRKD00</t>
  </si>
  <si>
    <t>TGN40R-GKPRKD10</t>
  </si>
  <si>
    <t>TGN40R-GKPRKD20</t>
  </si>
  <si>
    <t>TGN40R-GKPRKD30</t>
  </si>
  <si>
    <t>TGN40R-GKPRKDA0</t>
  </si>
  <si>
    <t>TGN51R-EKPSKD00</t>
  </si>
  <si>
    <t>TGN51R-EKPSKD</t>
  </si>
  <si>
    <t>FORTUNER 2.7V A/T</t>
  </si>
  <si>
    <t>TGN51R-EKPSKDP0</t>
  </si>
  <si>
    <t>TGN51R-EKPSKDT0</t>
  </si>
  <si>
    <t>TGN51R-EKPSKDU0</t>
  </si>
  <si>
    <t>TGN51R-EKPSKDW0</t>
  </si>
  <si>
    <t>TGN51R-EKPSKD20</t>
  </si>
  <si>
    <t>TGN51R-EKPSKD30</t>
  </si>
  <si>
    <t>TGN51R-EKPSKD40</t>
  </si>
  <si>
    <t>TGN51R-EKPSKD50</t>
  </si>
  <si>
    <t>TGN51R-EKPSKD60</t>
  </si>
  <si>
    <t>TGN51R-EKPSKDA0</t>
  </si>
  <si>
    <t>TGN51R-NKPSKD00</t>
  </si>
  <si>
    <t>TGN51R-NKPSKD</t>
  </si>
  <si>
    <t>TGN61R-EKPSKDP0</t>
  </si>
  <si>
    <t>TGN61R-EKPSKD</t>
  </si>
  <si>
    <t>FORTUNER 2.7G LUX A/T</t>
  </si>
  <si>
    <t>TGN61R-EKPSKDP1</t>
  </si>
  <si>
    <t>TGN61R-EKPSKDT3</t>
  </si>
  <si>
    <t>TGN61R-EKPSKDW1</t>
  </si>
  <si>
    <t>TGN61R-EKPSKDZ1</t>
  </si>
  <si>
    <t>TGN61R-EKPSKD21</t>
  </si>
  <si>
    <t>TGN61R-EKPSKD31</t>
  </si>
  <si>
    <t>TGN61R-EKPSKD41</t>
  </si>
  <si>
    <t>TGN61R-EKPSKD42</t>
  </si>
  <si>
    <t>TGN61R-EKPSKDU1</t>
  </si>
  <si>
    <t>TGN61R-EKPSKDU2</t>
  </si>
  <si>
    <t>U2</t>
  </si>
  <si>
    <t>TGN61R-EKPSKD43</t>
  </si>
  <si>
    <t>TGN61R-EKPSKDT1</t>
  </si>
  <si>
    <t>TGN61R-EKPSKD50</t>
  </si>
  <si>
    <t>TGN61R-EKPSKD51</t>
  </si>
  <si>
    <t>TGN61R-EKPSKD60</t>
  </si>
  <si>
    <t>TGN61R-EKPSKD61</t>
  </si>
  <si>
    <t>TGN61R-EKPSKDA1</t>
  </si>
  <si>
    <t>TGN61R-EKPSKDA0</t>
  </si>
  <si>
    <t>TR213R-KDPNKT00</t>
  </si>
  <si>
    <t>TR213R-KDPNKT</t>
  </si>
  <si>
    <t>HI ACE VENTURY 2.7V A/T</t>
  </si>
  <si>
    <t>UWG60-AEXGH00</t>
  </si>
  <si>
    <t>UWG60-AEXGH</t>
  </si>
  <si>
    <t>CENTURY</t>
  </si>
  <si>
    <t>CENTURY 5.0 HV 4X2 CVT</t>
  </si>
  <si>
    <t>VDJ200R-GNTEZ60</t>
  </si>
  <si>
    <t>VDJ200R-GNTEZ</t>
  </si>
  <si>
    <t>LAND CRUISER 200 STD A/T</t>
  </si>
  <si>
    <t>VDJ200R-GNTEZ50</t>
  </si>
  <si>
    <t>VDJ200R-GNTEZLM</t>
  </si>
  <si>
    <t>LM</t>
  </si>
  <si>
    <t>LAND CRUISER 200 FULL SPEC A/T</t>
  </si>
  <si>
    <t>VDJ200R-GNTEZ00</t>
  </si>
  <si>
    <t>VDJ200R-GNTEZ01</t>
  </si>
  <si>
    <t>VDJ200R-GNTEZ11</t>
  </si>
  <si>
    <t>VDJ200R-GNTEZ10</t>
  </si>
  <si>
    <t>VDJ200R-GNTEZ20</t>
  </si>
  <si>
    <t>VDJ200R-GNTEZ21</t>
  </si>
  <si>
    <t>VDJ200R-GNTEZ30</t>
  </si>
  <si>
    <t>VDJ200R-GNTEZ40</t>
  </si>
  <si>
    <t>VDJ200R-GNTEZ62</t>
  </si>
  <si>
    <t>VDJ200R-GNTEZ63</t>
  </si>
  <si>
    <t>VDJ200R-GNTVZ61</t>
  </si>
  <si>
    <t>VDJ200R-GNTVZ</t>
  </si>
  <si>
    <t>LAND CRUISER 200 VX-R 4X4 A/T</t>
  </si>
  <si>
    <t>VDJ200R-GNTVZ51</t>
  </si>
  <si>
    <t>VDJ200R-GNTVZ31</t>
  </si>
  <si>
    <t>VDJ200R-GNTVZ41</t>
  </si>
  <si>
    <t>VDJ200R-GNTVZ62</t>
  </si>
  <si>
    <t>VDJ200R-GNTVZ63</t>
  </si>
  <si>
    <t>VDJ76R-RKMNYQ30</t>
  </si>
  <si>
    <t>VDJ76R-RKMNYQ</t>
  </si>
  <si>
    <t>LAND CRUISER 70 4.5 WAGON 4x4 M/T</t>
  </si>
  <si>
    <t>VDJ76R-RKMNYQ00</t>
  </si>
  <si>
    <t>LAND CRUISER 70 4.5 WAGON</t>
  </si>
  <si>
    <t>VDJ76R-RKMNYQ10</t>
  </si>
  <si>
    <t>VDJ76R-RKMNYQ20</t>
  </si>
  <si>
    <t>LAND CRUISER 70 4.5 WAGON 4X4 M/T</t>
  </si>
  <si>
    <t>VDJ76R-RKMNYQ40</t>
  </si>
  <si>
    <t>VDJ78R-RJMRYQ00</t>
  </si>
  <si>
    <t>VDJ78R-RJMRYQ</t>
  </si>
  <si>
    <t>LAND CRUISER 70 4.5 TROOP CARR</t>
  </si>
  <si>
    <t>VDJ78R-RJMRYQ10</t>
  </si>
  <si>
    <t>VDJ78R-RJMRYQ11</t>
  </si>
  <si>
    <t>LAND CRUISER 70 4.5 TROOP</t>
  </si>
  <si>
    <t>VDJ78R-RJMRYQ20</t>
  </si>
  <si>
    <t>LAND CRUISER 70 4.5 TROOP CARRIER 4X4 M/T</t>
  </si>
  <si>
    <t>VDJ78R-RJMRYQ30</t>
  </si>
  <si>
    <t>VDJ79R-DKMRYQ300</t>
  </si>
  <si>
    <t>VDJ79R-DKMRYQ3</t>
  </si>
  <si>
    <t>LAND CRUISER 70 4.5 D-C/C (4x4) M/T</t>
  </si>
  <si>
    <t>VDJ79R-TJMRYQ330</t>
  </si>
  <si>
    <t>VDJ79R-TJMRYQ3</t>
  </si>
  <si>
    <t>LAND CRUISER 70 4.5 C/C 4x4 M/T</t>
  </si>
  <si>
    <t>VDJ79R-TJMRYQ300</t>
  </si>
  <si>
    <t>LAND CRUISER 70 4.5 C/C 4X4</t>
  </si>
  <si>
    <t>VDJ79R-TJMRYQ310</t>
  </si>
  <si>
    <t>VDJ79R-TJMRYQ320</t>
  </si>
  <si>
    <t>VDJ79R-TJMRYQ340</t>
  </si>
  <si>
    <t>W100RE-LBDFJ00</t>
  </si>
  <si>
    <t>W100RE-LBDFJ</t>
  </si>
  <si>
    <t>NEW AVANZA 1.3E CVT</t>
  </si>
  <si>
    <t>W100RE-LBDFJAB</t>
  </si>
  <si>
    <t>W100RE-LBDFJBB</t>
  </si>
  <si>
    <t>W100RE-LBDFJCB</t>
  </si>
  <si>
    <t>W100RE-LBDFJFA</t>
  </si>
  <si>
    <t>W100RE-LBDFJJ0</t>
  </si>
  <si>
    <t>W100RE-LMDFJ00</t>
  </si>
  <si>
    <t>W100RE-LMDFJAB</t>
  </si>
  <si>
    <t>W100RE-LMDFJCB</t>
  </si>
  <si>
    <t>W100RE-LMDFJDA</t>
  </si>
  <si>
    <t>W100RE-LMDFJFA</t>
  </si>
  <si>
    <t>W100RE-LMDFJBB</t>
  </si>
  <si>
    <t>W100RE-LMDFJJ0</t>
  </si>
  <si>
    <t>W100RE-LMDFJ01</t>
  </si>
  <si>
    <t>TRANSMOVER 1.3 M/T</t>
  </si>
  <si>
    <t>W100RE-LMDFJK0</t>
  </si>
  <si>
    <t>W101RE-LBMFJ00</t>
  </si>
  <si>
    <t>NEW AVANZA 1.5G CVT</t>
  </si>
  <si>
    <t>W101RE-LBMFJGA</t>
  </si>
  <si>
    <t>W101RE-LBMFJ01</t>
  </si>
  <si>
    <t>NEW AVANZA 1.5G CVT TSS</t>
  </si>
  <si>
    <t>W101RE-LBMFJBA</t>
  </si>
  <si>
    <t>W101RE-LBMFJCA</t>
  </si>
  <si>
    <t>W101RE-LBMFJBB</t>
  </si>
  <si>
    <t>W101RE-LBMFJAA</t>
  </si>
  <si>
    <t>W101RE-LBMFJBC</t>
  </si>
  <si>
    <t>W101RE-LBMFJCB</t>
  </si>
  <si>
    <t>W101RE-LBMFJDA</t>
  </si>
  <si>
    <t>W101RE-LBMFJEA</t>
  </si>
  <si>
    <t>W101RE-LBMFJAB</t>
  </si>
  <si>
    <t>W101RE-LBMFJBD</t>
  </si>
  <si>
    <t>W101RE-LBMFJCC</t>
  </si>
  <si>
    <t>W101RE-LBMFJJ0</t>
  </si>
  <si>
    <t>W101RE-LBMFJJ5</t>
  </si>
  <si>
    <t>J5</t>
  </si>
  <si>
    <t>W101RE-LBMFJK0</t>
  </si>
  <si>
    <t>W101RE-LBSFJ00</t>
  </si>
  <si>
    <t>W101RE-LBSFJ</t>
  </si>
  <si>
    <t>VELOZ NEW</t>
  </si>
  <si>
    <t>NEW AVANZA VELOZ 1.5 CVT</t>
  </si>
  <si>
    <t>W101RE-LBSFJ11</t>
  </si>
  <si>
    <t>W101RE-LBSFJ01</t>
  </si>
  <si>
    <t>W101RE-LBSFJAA</t>
  </si>
  <si>
    <t>W101RE-LBSFJBA</t>
  </si>
  <si>
    <t>W101RE-LBSFJCA</t>
  </si>
  <si>
    <t>W101RE-LBSFJDA</t>
  </si>
  <si>
    <t>W101RE-LBSFJAB</t>
  </si>
  <si>
    <t>W101RE-LBSFJBB</t>
  </si>
  <si>
    <t>W101RE-LBSFJCB</t>
  </si>
  <si>
    <t>W101RE-LBSFJDB</t>
  </si>
  <si>
    <t>W101RE-LBSFJAC</t>
  </si>
  <si>
    <t>W101RE-LBSFJBC</t>
  </si>
  <si>
    <t>W101RE-LBSFJAD</t>
  </si>
  <si>
    <t>W101RE-LBSFJBD</t>
  </si>
  <si>
    <t>W101RE-LBSFJJ0</t>
  </si>
  <si>
    <t>W101RE-LBSFJJ1</t>
  </si>
  <si>
    <t>W101RE-LBVFJ00</t>
  </si>
  <si>
    <t>W101RE-LBVFJ</t>
  </si>
  <si>
    <t>NEW AVANZA VELOZ 1.5Q CVT</t>
  </si>
  <si>
    <t>W101RE-LBVFJED</t>
  </si>
  <si>
    <t>W101RE-LBVFJEB</t>
  </si>
  <si>
    <t>W101RE-LBVFJ11</t>
  </si>
  <si>
    <t>W101RE-LBVFJEA</t>
  </si>
  <si>
    <t>W101RE-LBVFJ01</t>
  </si>
  <si>
    <t>NEW AVANZA VELOZ 1.5Q CVT TSS</t>
  </si>
  <si>
    <t>W101RE-LBVFJ02</t>
  </si>
  <si>
    <t>W101RE-LBVFJ03</t>
  </si>
  <si>
    <t>W101RE-LBVFJBC</t>
  </si>
  <si>
    <t>W101RE-LBVFJBA</t>
  </si>
  <si>
    <t>W101RE-LBVFJBB</t>
  </si>
  <si>
    <t>W101RE-LBVFJBD</t>
  </si>
  <si>
    <t>W101RE-LBVFJAA</t>
  </si>
  <si>
    <t>W101RE-LBVFJBE</t>
  </si>
  <si>
    <t>W101RE-LBVFJDA</t>
  </si>
  <si>
    <t>W101RE-LBVFJAB</t>
  </si>
  <si>
    <t>W101RE-LBVFJBF</t>
  </si>
  <si>
    <t>W101RE-LBVFJDB</t>
  </si>
  <si>
    <t>W101RE-LBVFJAC</t>
  </si>
  <si>
    <t>W101RE-LBVFJBG</t>
  </si>
  <si>
    <t>W101RE-LBVFJDC</t>
  </si>
  <si>
    <t>W101RE-LBVFJAD</t>
  </si>
  <si>
    <t>W101RE-LBVFJBH</t>
  </si>
  <si>
    <t>W101RE-LBVFJDD</t>
  </si>
  <si>
    <t>W101RE-LBVFJAE</t>
  </si>
  <si>
    <t>W101RE-LBVFJBI</t>
  </si>
  <si>
    <t>W101RE-LBVFJAF</t>
  </si>
  <si>
    <t>W101RE-LBVFJBJ</t>
  </si>
  <si>
    <t>W101RE-LBVFJAG</t>
  </si>
  <si>
    <t>W101RE-LBVFJBK</t>
  </si>
  <si>
    <t>W101RE-LBVFJAH</t>
  </si>
  <si>
    <t>W101RE-LBVFJBL</t>
  </si>
  <si>
    <t>W101RE-LBVFJJ0</t>
  </si>
  <si>
    <t>W101RE-LBVFJJ1</t>
  </si>
  <si>
    <t>W101RE-LBVFJJ2</t>
  </si>
  <si>
    <t>J2</t>
  </si>
  <si>
    <t>W101RE-LBVFJJ3</t>
  </si>
  <si>
    <t>J3</t>
  </si>
  <si>
    <t>W101RE-LBVFJCA</t>
  </si>
  <si>
    <t>W101RE-LBVFJCB</t>
  </si>
  <si>
    <t>W101RE-LBVFJK2</t>
  </si>
  <si>
    <t>K2</t>
  </si>
  <si>
    <t>W101RE-LBVFJK0</t>
  </si>
  <si>
    <t>W101RE-LMMFJ00</t>
  </si>
  <si>
    <t>W101RE-LMMFJBA</t>
  </si>
  <si>
    <t>W101RE-LMMFJCA</t>
  </si>
  <si>
    <t>W101RE-LMMFJAA</t>
  </si>
  <si>
    <t>W101RE-LMMFJBB</t>
  </si>
  <si>
    <t>W101RE-LMMFJCB</t>
  </si>
  <si>
    <t>W101RE-LMMFJDA</t>
  </si>
  <si>
    <t>W101RE-LMMFJEA</t>
  </si>
  <si>
    <t>W101RE-LMMFJAB</t>
  </si>
  <si>
    <t>W101RE-LMMFJBC</t>
  </si>
  <si>
    <t>W101RE-LMMFJCC</t>
  </si>
  <si>
    <t>W101RE-LMMFJJ0</t>
  </si>
  <si>
    <t>W101RE-LMMFJK0</t>
  </si>
  <si>
    <t>W101RE-LMSFJ00</t>
  </si>
  <si>
    <t>W101RE-LMSFJ</t>
  </si>
  <si>
    <t>W101RE-LMSFJEB</t>
  </si>
  <si>
    <t>W101RE-LMSFJ02</t>
  </si>
  <si>
    <t>W101RE-LMSFJ01</t>
  </si>
  <si>
    <t>W101RE-LMSFJBA</t>
  </si>
  <si>
    <t>W101RE-LMSFJCA</t>
  </si>
  <si>
    <t>W101RE-LMSFJBB</t>
  </si>
  <si>
    <t>W101RE-LMSFJCB</t>
  </si>
  <si>
    <t>W101RE-LMSFJAA</t>
  </si>
  <si>
    <t>W101RE-LMSFJBC</t>
  </si>
  <si>
    <t>W101RE-LMSFJCC</t>
  </si>
  <si>
    <t>W101RE-LMSFJDA</t>
  </si>
  <si>
    <t>W101RE-LMSFJAB</t>
  </si>
  <si>
    <t>W101RE-LMSFJBD</t>
  </si>
  <si>
    <t>W101RE-LMSFJCD</t>
  </si>
  <si>
    <t>W101RE-LMSFJDB</t>
  </si>
  <si>
    <t>W101RE-LMSFJAC</t>
  </si>
  <si>
    <t>W101RE-LMSFJBE</t>
  </si>
  <si>
    <t>W101RE-LMSFJAD</t>
  </si>
  <si>
    <t>W101RE-LMSFJBF</t>
  </si>
  <si>
    <t>W101RE-LMSFJJ0</t>
  </si>
  <si>
    <t>W101RE-LMSFJJ1</t>
  </si>
  <si>
    <t>WU302R-TKMLAD300</t>
  </si>
  <si>
    <t>WU302R-TKMLAD3</t>
  </si>
  <si>
    <t>NEW DYNA 110ST</t>
  </si>
  <si>
    <t>WU302R-TKMLHD300</t>
  </si>
  <si>
    <t>WU302R-TKMLHD3</t>
  </si>
  <si>
    <t>DYNA 110 ST</t>
  </si>
  <si>
    <t>WU302R-TKMLHD301</t>
  </si>
  <si>
    <t>WU302R-TKMLHD30J</t>
  </si>
  <si>
    <t>0J</t>
  </si>
  <si>
    <t>DYNA 110 ST BUS CHASSIS</t>
  </si>
  <si>
    <t>WU302R-TKMLHD30K</t>
  </si>
  <si>
    <t>0K</t>
  </si>
  <si>
    <t>DYNA 110 ST BUS CHASSIS LONG</t>
  </si>
  <si>
    <t>WU302R-TKMLHD30I</t>
  </si>
  <si>
    <t>0I</t>
  </si>
  <si>
    <t>DYNA 110 ST LONG</t>
  </si>
  <si>
    <t>WU302R-TKMLHD310</t>
  </si>
  <si>
    <t>DYNA 110 ST 4X2 M/T</t>
  </si>
  <si>
    <t>WU302R-TKMLHD320</t>
  </si>
  <si>
    <t>WU302R-TRMLHD810</t>
  </si>
  <si>
    <t>WU302R-TRMLHD8</t>
  </si>
  <si>
    <t>DYNA 110 ST BUS 4X2 M/T</t>
  </si>
  <si>
    <t>WU302R-TRMLHD820</t>
  </si>
  <si>
    <t>WU340R-TKMRSD300</t>
  </si>
  <si>
    <t>WU340R-TKMRSD3</t>
  </si>
  <si>
    <t>DYNA LONG 4000</t>
  </si>
  <si>
    <t>WU342R-TAMTJD300</t>
  </si>
  <si>
    <t>WU342R-TAMTJD3</t>
  </si>
  <si>
    <t>DYNA 130 HT EKSPEDISI 4X2 M/T</t>
  </si>
  <si>
    <t>WU342R-TAMTJD310</t>
  </si>
  <si>
    <t>WU342R-TKMLHD810</t>
  </si>
  <si>
    <t>WU342R-TKMLHD8</t>
  </si>
  <si>
    <t>DYNA 110 ST LONG 4X2 M/T</t>
  </si>
  <si>
    <t>WU342R-TKMLHD820</t>
  </si>
  <si>
    <t>WU342R-TKMQBD300</t>
  </si>
  <si>
    <t>WU342R-TKMQBD3</t>
  </si>
  <si>
    <t>NEW DYNA 130LT</t>
  </si>
  <si>
    <t>WU342R-TKMQHD300</t>
  </si>
  <si>
    <t>WU342R-TKMQHD3</t>
  </si>
  <si>
    <t>DYNA 110 FT</t>
  </si>
  <si>
    <t>WU342R-TKMQHD301</t>
  </si>
  <si>
    <t>WU342R-TKMQHD30M</t>
  </si>
  <si>
    <t>0M</t>
  </si>
  <si>
    <t>DYNA 110 FT BUS CHASSIS</t>
  </si>
  <si>
    <t>WU342R-TKMQHD310</t>
  </si>
  <si>
    <t>DYNA 110 FT 4X2 M/T</t>
  </si>
  <si>
    <t>WU342R-TKMQHD320</t>
  </si>
  <si>
    <t>WU342R-TKMRBD300</t>
  </si>
  <si>
    <t>WU342R-TKMRBD3</t>
  </si>
  <si>
    <t>NEW DYNA 130HT</t>
  </si>
  <si>
    <t>WU342R-TKMRHD300</t>
  </si>
  <si>
    <t>WU342R-TKMRHD3</t>
  </si>
  <si>
    <t>DYNA 110 ET</t>
  </si>
  <si>
    <t>WU342R-TKMRHD301</t>
  </si>
  <si>
    <t>WU342R-TKMRHD30B</t>
  </si>
  <si>
    <t>0B</t>
  </si>
  <si>
    <t>WU342R-TKMRHD30A</t>
  </si>
  <si>
    <t>0A</t>
  </si>
  <si>
    <t>WU342R-TKMRHD310</t>
  </si>
  <si>
    <t>DYNA 110 ET 4X2 M/T</t>
  </si>
  <si>
    <t>WU342R-TKMRHD320</t>
  </si>
  <si>
    <t>WU342R-TKMRJD300</t>
  </si>
  <si>
    <t>WU342R-TKMRJD3</t>
  </si>
  <si>
    <t>DYNA 130 XT</t>
  </si>
  <si>
    <t>WU342R-TKMRJD301</t>
  </si>
  <si>
    <t>WU342R-TKMRJD30P</t>
  </si>
  <si>
    <t>0P</t>
  </si>
  <si>
    <t>DYNA 130 XT LONG</t>
  </si>
  <si>
    <t>WU342R-TKMRJD310</t>
  </si>
  <si>
    <t>DYNA 130 XT 4X2 M/T</t>
  </si>
  <si>
    <t>WU342R-TKMRJD320</t>
  </si>
  <si>
    <t>WU342R-TKMTJD300</t>
  </si>
  <si>
    <t>WU342R-TKMTJD3</t>
  </si>
  <si>
    <t>DYNA 130 HT</t>
  </si>
  <si>
    <t>WU342R-TKMTJD301</t>
  </si>
  <si>
    <t>WU342R-TKMTJD302</t>
  </si>
  <si>
    <t>WU342R-TKMTJD303</t>
  </si>
  <si>
    <t>WU342R-TKMTJD30A</t>
  </si>
  <si>
    <t>WU342R-TKMTJD30E</t>
  </si>
  <si>
    <t>0E</t>
  </si>
  <si>
    <t>WU342R-TKMTJD30F</t>
  </si>
  <si>
    <t>0F</t>
  </si>
  <si>
    <t>WU342R-TKMTJD30B</t>
  </si>
  <si>
    <t>WU342R-TKMTJD306</t>
  </si>
  <si>
    <t>WU342R-TKMTJD304</t>
  </si>
  <si>
    <t>WU342R-TKMTJD312</t>
  </si>
  <si>
    <t>WU342R-TKMTJD31E</t>
  </si>
  <si>
    <t>1E</t>
  </si>
  <si>
    <t>WU342R-TKMTJD310</t>
  </si>
  <si>
    <t>WU342R-TKMTJD311</t>
  </si>
  <si>
    <t>WU342R-TKMTJD31A</t>
  </si>
  <si>
    <t>WU342R-TKMTJD31B</t>
  </si>
  <si>
    <t>1B</t>
  </si>
  <si>
    <t>WU342R-TKMTJD313</t>
  </si>
  <si>
    <t>WU342R-TKMTJD31F</t>
  </si>
  <si>
    <t>1F</t>
  </si>
  <si>
    <t>WU342R-TKMTJD320</t>
  </si>
  <si>
    <t>DYNA 130 HT 4X2 M/T</t>
  </si>
  <si>
    <t>WU342R-TKMTJD321</t>
  </si>
  <si>
    <t>DYNA 130 HT HI-GEAR 4X2 M/T</t>
  </si>
  <si>
    <t>WU342R-TKMTJD322</t>
  </si>
  <si>
    <t>DYNA 130 HT EXTREME HI-GEAR 4X2 M/T</t>
  </si>
  <si>
    <t>WU342R-TKMTJD323</t>
  </si>
  <si>
    <t>DYNA 130 HT OFF ROAD HI-GEAR 4X2 M/T</t>
  </si>
  <si>
    <t>WU342R-TKMTJD32A</t>
  </si>
  <si>
    <t>2A</t>
  </si>
  <si>
    <t>WU342R-TKMTJD32B</t>
  </si>
  <si>
    <t>2B</t>
  </si>
  <si>
    <t>WU342R-TKMTJD330</t>
  </si>
  <si>
    <t>WU342R-TKMTJD331</t>
  </si>
  <si>
    <t>WU342R-TKMTJD332</t>
  </si>
  <si>
    <t>WU342R-TKMTJD333</t>
  </si>
  <si>
    <t>WU342R-TKMTJD33A</t>
  </si>
  <si>
    <t>3A</t>
  </si>
  <si>
    <t>WU342R-TKMTJD33B</t>
  </si>
  <si>
    <t>3B</t>
  </si>
  <si>
    <t>WU342R-TRMLHD811</t>
  </si>
  <si>
    <t>WU342R-TRMLHD8</t>
  </si>
  <si>
    <t>DYNA 110 ST BUS LONG 4X2 M/T</t>
  </si>
  <si>
    <t>WU342R-TRMLHD821</t>
  </si>
  <si>
    <t>WU352R-TAMTJD800</t>
  </si>
  <si>
    <t>WU352R-TAMTJD8</t>
  </si>
  <si>
    <t>DYNA 130 HT LONG EKSPEDISI 4X2 M/T</t>
  </si>
  <si>
    <t>WU352R-TAMTJD801</t>
  </si>
  <si>
    <t>DYNA 130 HT LONG EKSPEDISI HI-GEAR 4X2 M/T</t>
  </si>
  <si>
    <t>WU352R-TAMTJD810</t>
  </si>
  <si>
    <t>WU352R-TAMTJD811</t>
  </si>
  <si>
    <t>WU352R-TKMQHD810</t>
  </si>
  <si>
    <t>WU352R-TKMQHD8</t>
  </si>
  <si>
    <t>DYNA 110 FT LONG 4X2 M/T</t>
  </si>
  <si>
    <t>WU352R-TKMQHD820</t>
  </si>
  <si>
    <t>WU352R-TKMRJD810</t>
  </si>
  <si>
    <t>WU352R-TKMRJD8</t>
  </si>
  <si>
    <t>DYNA 130 XT LONG 4X2 M/T</t>
  </si>
  <si>
    <t>WU352R-TKMRJD811</t>
  </si>
  <si>
    <t>DYNA 130 XT LONG HI-GEAR 4X2 M/T</t>
  </si>
  <si>
    <t>WU352R-TKMRJD812</t>
  </si>
  <si>
    <t>DYNA 130 XT BUS LONG 4X2 M/T</t>
  </si>
  <si>
    <t>WU352R-TKMRJD820</t>
  </si>
  <si>
    <t>WU352R-TKMRJD821</t>
  </si>
  <si>
    <t>WU352R-TKMRJD822</t>
  </si>
  <si>
    <t>XEAM10R-MWDHSW03</t>
  </si>
  <si>
    <t>XEAM10R-MWDHSW</t>
  </si>
  <si>
    <t>BZ4X</t>
  </si>
  <si>
    <t>BZ4X A/T</t>
  </si>
  <si>
    <t>XEAM11R-DWDHQW</t>
  </si>
  <si>
    <t>XEAM10R-MWDHSWB2</t>
  </si>
  <si>
    <t>B2</t>
  </si>
  <si>
    <t>XEAM10R-MWDHSWA3</t>
  </si>
  <si>
    <t>XEAM10R-MWDHSW02</t>
  </si>
  <si>
    <t>XEAM10R-MWDHSWB1</t>
  </si>
  <si>
    <t>B1</t>
  </si>
  <si>
    <t>XEAM10R-MWDHSW01</t>
  </si>
  <si>
    <t>XEAM10R-MWDHSW00</t>
  </si>
  <si>
    <t>XEAM10R-MWDHSW12</t>
  </si>
  <si>
    <t>XEAM10R-MWDHSW13</t>
  </si>
  <si>
    <t>XZU309R-TKMLAD300</t>
  </si>
  <si>
    <t>XZU309R-TKMLAD3</t>
  </si>
  <si>
    <t>DYNA 115 ST 4X2 5M/T</t>
  </si>
  <si>
    <t>XZU349R-TKFTBD300</t>
  </si>
  <si>
    <t>XZU349R-TKFTBD3</t>
  </si>
  <si>
    <t>DYNA 136 HT HI-GEAR 4X2 6M/T</t>
  </si>
  <si>
    <t>XZU349R-TKFTBD301</t>
  </si>
  <si>
    <t>XZU349R-TKFTBD30A</t>
  </si>
  <si>
    <t>ZAD-TAK3000</t>
  </si>
  <si>
    <t>ZAD-TAK30</t>
  </si>
  <si>
    <t>COMS</t>
  </si>
  <si>
    <t>COMS EV</t>
  </si>
  <si>
    <t>ZGX11R-CGXEGD51</t>
  </si>
  <si>
    <t>ZGX11R-CGXEGD</t>
  </si>
  <si>
    <t>C-HR 1.8 A/T</t>
  </si>
  <si>
    <t>ZGX11R-CHXEGD00</t>
  </si>
  <si>
    <t>ZGX11R-CHXEGD</t>
  </si>
  <si>
    <t>ZGX11R-CHXEGD50</t>
  </si>
  <si>
    <t>ZGX11R-CHXEGD01</t>
  </si>
  <si>
    <t>ZGX11R-CHXEGD51</t>
  </si>
  <si>
    <t>ZGX11R-CHXEGD14</t>
  </si>
  <si>
    <t>ZGX11R-CHXEGD64</t>
  </si>
  <si>
    <t>64</t>
  </si>
  <si>
    <t>ZGX11R-CHXEGD12</t>
  </si>
  <si>
    <t>ZGX11R-CHXEGD62</t>
  </si>
  <si>
    <t>ZGX11R-CHXEGD13</t>
  </si>
  <si>
    <t>ZGX11R-CHXEGD63</t>
  </si>
  <si>
    <t>ZGX11R-CHXEGD10</t>
  </si>
  <si>
    <t>ZGX11R-CHXEGD11</t>
  </si>
  <si>
    <t>ZGX11R-CHXEGD60</t>
  </si>
  <si>
    <t>ZGX11R-CHXEGD61</t>
  </si>
  <si>
    <t>ZN6-AKE700</t>
  </si>
  <si>
    <t>ZN6-AKE7</t>
  </si>
  <si>
    <t>FT86</t>
  </si>
  <si>
    <t>86 2.0L A/T</t>
  </si>
  <si>
    <t>ZN6-AKE701</t>
  </si>
  <si>
    <t>ZN6-AKE702</t>
  </si>
  <si>
    <t>ZN6-AKE704</t>
  </si>
  <si>
    <t>ZN6-AKE705</t>
  </si>
  <si>
    <t>ZN6-AKE703</t>
  </si>
  <si>
    <t>ZN6-AKE801</t>
  </si>
  <si>
    <t>ZN6-AKE8</t>
  </si>
  <si>
    <t>86 2.0L M/T</t>
  </si>
  <si>
    <t>ZN6-AKE800</t>
  </si>
  <si>
    <t>ZN6-BKE700</t>
  </si>
  <si>
    <t>ZN6-BKE7</t>
  </si>
  <si>
    <t>ZN6-BKE701</t>
  </si>
  <si>
    <t>ZN6-BKE703</t>
  </si>
  <si>
    <t>ZN6-BKE704</t>
  </si>
  <si>
    <t>ZN6-BKE705</t>
  </si>
  <si>
    <t>ZN6-BKE702</t>
  </si>
  <si>
    <t>ZN6-BKE800</t>
  </si>
  <si>
    <t>ZN6-BKE8</t>
  </si>
  <si>
    <t>ZN6-BKE801</t>
  </si>
  <si>
    <t>ZN6-CKE701</t>
  </si>
  <si>
    <t>ZN6-CKE7</t>
  </si>
  <si>
    <t>ZN6-CKE704</t>
  </si>
  <si>
    <t>ZN6-CKE705</t>
  </si>
  <si>
    <t>ZN6-CKE700</t>
  </si>
  <si>
    <t>ZN6-CKE702</t>
  </si>
  <si>
    <t>ZN6-CKE703</t>
  </si>
  <si>
    <t>ZN6-CKE801</t>
  </si>
  <si>
    <t>ZN6-CKE8</t>
  </si>
  <si>
    <t>ZN6-CKE800</t>
  </si>
  <si>
    <t>ZN6-DKE700</t>
  </si>
  <si>
    <t>ZN6-DKE7</t>
  </si>
  <si>
    <t>ZN6-DKE702</t>
  </si>
  <si>
    <t>ZN6-DKE703</t>
  </si>
  <si>
    <t>ZN6-DKE701</t>
  </si>
  <si>
    <t>ZN6-DKE704</t>
  </si>
  <si>
    <t>ZN6-DKE705</t>
  </si>
  <si>
    <t>ZN6-DKE800</t>
  </si>
  <si>
    <t>ZN6-DKE8</t>
  </si>
  <si>
    <t>ZN6-DKE801</t>
  </si>
  <si>
    <t>ZN6-EKE700</t>
  </si>
  <si>
    <t>ZN6-EKE7</t>
  </si>
  <si>
    <t>ZN6-EKE701</t>
  </si>
  <si>
    <t>ZN6-EKE702</t>
  </si>
  <si>
    <t>ZN6-EKE703</t>
  </si>
  <si>
    <t>ZN6-EKE800</t>
  </si>
  <si>
    <t>ZN6-EKE8</t>
  </si>
  <si>
    <t>ZN6-EKE801</t>
  </si>
  <si>
    <t>ZN6-FKE700</t>
  </si>
  <si>
    <t>ZN6-FKE7</t>
  </si>
  <si>
    <t>ZN6-FKE702</t>
  </si>
  <si>
    <t>ZN6-FKE701</t>
  </si>
  <si>
    <t>ZN6-FKE703</t>
  </si>
  <si>
    <t>ZN6-FKE800</t>
  </si>
  <si>
    <t>ZN6-FKE8</t>
  </si>
  <si>
    <t>ZN6-FKE801</t>
  </si>
  <si>
    <t>ZN6-GKE700</t>
  </si>
  <si>
    <t>ZN6-GKE7</t>
  </si>
  <si>
    <t>ZN6-GKE702</t>
  </si>
  <si>
    <t>ZN6-GKE701</t>
  </si>
  <si>
    <t>ZN6-GKE703</t>
  </si>
  <si>
    <t>ZN6-GKE800</t>
  </si>
  <si>
    <t>ZN6-GKE8</t>
  </si>
  <si>
    <t>ZN6-GKE801</t>
  </si>
  <si>
    <t>ZN6-HKE700</t>
  </si>
  <si>
    <t>ZN6-HKE7</t>
  </si>
  <si>
    <t>ZN6-HKE701</t>
  </si>
  <si>
    <t>ZN6-HKE702</t>
  </si>
  <si>
    <t>ZN6-HKE703</t>
  </si>
  <si>
    <t>ZN6-HKE800</t>
  </si>
  <si>
    <t>ZN6-HKE8</t>
  </si>
  <si>
    <t>ZN6-HKE801</t>
  </si>
  <si>
    <t>ZN8-BKE800</t>
  </si>
  <si>
    <t>ZN8-BKE8</t>
  </si>
  <si>
    <t>Toyota GR 86 2.4L M/T</t>
  </si>
  <si>
    <t>ZN8-EKE7</t>
  </si>
  <si>
    <t>ZN8-BKE801</t>
  </si>
  <si>
    <t>ZN8-BKE8AA</t>
  </si>
  <si>
    <t>GR86</t>
  </si>
  <si>
    <t>ZN8-BKE8BA</t>
  </si>
  <si>
    <t>ZN8-BKE8CA</t>
  </si>
  <si>
    <t>ZN8-BKE8DA</t>
  </si>
  <si>
    <t>ZN8-BKE8AB</t>
  </si>
  <si>
    <t>ZN8-BKE8BB</t>
  </si>
  <si>
    <t>ZN8-BKE8CB</t>
  </si>
  <si>
    <t>ZN8-CKE701</t>
  </si>
  <si>
    <t>ZN8-CKE7</t>
  </si>
  <si>
    <t>ZN8-BKE8DB</t>
  </si>
  <si>
    <t>ZN8-BKF700</t>
  </si>
  <si>
    <t>ZN8-BKF7</t>
  </si>
  <si>
    <t>Toyota GR 86 2.4L A/T</t>
  </si>
  <si>
    <t>ZN8-BKF701</t>
  </si>
  <si>
    <t>ZN8-BKF7AA</t>
  </si>
  <si>
    <t>ZN8-BKF7BA</t>
  </si>
  <si>
    <t>ZN8-BKF7CA</t>
  </si>
  <si>
    <t>ZN8-BKF7DA</t>
  </si>
  <si>
    <t>ZN8-BKF7AB</t>
  </si>
  <si>
    <t>ZN8-BKF7CB</t>
  </si>
  <si>
    <t>ZN8-BKF7DB</t>
  </si>
  <si>
    <t>ZN8-BKF7BB</t>
  </si>
  <si>
    <t>ZN8-CKE700</t>
  </si>
  <si>
    <t>ZN8-BKL700</t>
  </si>
  <si>
    <t>ZN8-BKL7</t>
  </si>
  <si>
    <t>ZN8-BKL7AA</t>
  </si>
  <si>
    <t>ZN8-BKL7BA</t>
  </si>
  <si>
    <t>ZN8-BKL7CA</t>
  </si>
  <si>
    <t>ZN8-BKL7DA</t>
  </si>
  <si>
    <t>ZN8-DKE701</t>
  </si>
  <si>
    <t>ZN8-DKE7</t>
  </si>
  <si>
    <t>ZN8-DKE8</t>
  </si>
  <si>
    <t>ZN8-DKE700</t>
  </si>
  <si>
    <t>ZRE142R-GEFDKD00</t>
  </si>
  <si>
    <t>ZRE142R-GEFDKD</t>
  </si>
  <si>
    <t>COROLLA ALTIS 1.8 M/T</t>
  </si>
  <si>
    <t>ZRE142R-GEFDKD50</t>
  </si>
  <si>
    <t>ZRE142R-GEXGKD00</t>
  </si>
  <si>
    <t>ZRE142R-GEXGKD</t>
  </si>
  <si>
    <t>COROLLA ALTIS 1.8 A/T</t>
  </si>
  <si>
    <t>ZRE142R-GEXGKD50</t>
  </si>
  <si>
    <t>ZRE143R-GEPVKD00</t>
  </si>
  <si>
    <t>ZRE143R-GEPVKD</t>
  </si>
  <si>
    <t>COROLLA ALTIS 2.0V A/T</t>
  </si>
  <si>
    <t>ZRE143R-GEPVKD50</t>
  </si>
  <si>
    <t>ZRE143R-GEXVKD00</t>
  </si>
  <si>
    <t>ZRE143R-GEXVKD</t>
  </si>
  <si>
    <t>COROLLA ALTIS 2.0 A/T</t>
  </si>
  <si>
    <t>ZRE143R-GEXVKD50</t>
  </si>
  <si>
    <t>ZRE171R-GEXEMT00</t>
  </si>
  <si>
    <t>ZRE171R-GEXEMT</t>
  </si>
  <si>
    <t>COROLLA ALTIS 1.6 A/T</t>
  </si>
  <si>
    <t>ZRE172R-GEFNKD00</t>
  </si>
  <si>
    <t>ZRE172R-GEFNKD</t>
  </si>
  <si>
    <t>COROLLA ALTIS 1.8G M/T</t>
  </si>
  <si>
    <t>ZRE172R-GEFNKD50</t>
  </si>
  <si>
    <t>ZRE172R-GEFNKD10</t>
  </si>
  <si>
    <t>ZRE172R-GEFNKD60</t>
  </si>
  <si>
    <t>ZRE172R-GEFNKD20</t>
  </si>
  <si>
    <t>ZRE172R-GEFNKD70</t>
  </si>
  <si>
    <t>ZRE172R-GEXGKD00</t>
  </si>
  <si>
    <t>ZRE172R-GEXGKD</t>
  </si>
  <si>
    <t>COROLLA ALTIS 1.8V A/T</t>
  </si>
  <si>
    <t>ZRE172R-GEXGKD50</t>
  </si>
  <si>
    <t>ZRE172R-GEXGKD10</t>
  </si>
  <si>
    <t>ZRE172R-GEXGKD60</t>
  </si>
  <si>
    <t>ZRE172R-GEXGKD20</t>
  </si>
  <si>
    <t>ZRE172R-GEXGKD70</t>
  </si>
  <si>
    <t>ZRE211R-GEXGKD70</t>
  </si>
  <si>
    <t>ZRE211R-GEXGKD</t>
  </si>
  <si>
    <t>COROLLA ALTIS 1.8G A/T</t>
  </si>
  <si>
    <t>ZRE211R-GEXGKD00</t>
  </si>
  <si>
    <t>ZRE211R-GEXGKD01</t>
  </si>
  <si>
    <t>ZRE211R-GEXGKD71</t>
  </si>
  <si>
    <t>ZRE211R-GEXGKD05</t>
  </si>
  <si>
    <t>ZRE211R-GEXGKD75</t>
  </si>
  <si>
    <t>75</t>
  </si>
  <si>
    <t>ZRE211R-GEXGKD72</t>
  </si>
  <si>
    <t>ZRE211R-GEXGKD02</t>
  </si>
  <si>
    <t>ZRE211R-GEXGKD03</t>
  </si>
  <si>
    <t>ZRE211R-GEXGKD74</t>
  </si>
  <si>
    <t>74</t>
  </si>
  <si>
    <t>ZRE211R-GEXGKD04</t>
  </si>
  <si>
    <t>ZRE211R-GEXGKD73</t>
  </si>
  <si>
    <t>ZRE211R-GEXGKD14</t>
  </si>
  <si>
    <t>ZRE211R-GEXGKD84</t>
  </si>
  <si>
    <t>84</t>
  </si>
  <si>
    <t>ZRE211R-GEXGKD15</t>
  </si>
  <si>
    <t>ZRE211R-GEXGKD24</t>
  </si>
  <si>
    <t>ZRE211R-GEXGKD94</t>
  </si>
  <si>
    <t>94</t>
  </si>
  <si>
    <t>ZRE211R-GEXGKD25</t>
  </si>
  <si>
    <t>ZRR70R-APXEPD00</t>
  </si>
  <si>
    <t>ZRR70R-APXEPD</t>
  </si>
  <si>
    <t>NAV1 2.0G A/T</t>
  </si>
  <si>
    <t>ZRR70R-APXEPD01</t>
  </si>
  <si>
    <t>ZRR70R-APXEPD02</t>
  </si>
  <si>
    <t>ZRR70R-APXEPD03</t>
  </si>
  <si>
    <t>ZRR70R-APXEPD04</t>
  </si>
  <si>
    <t>NAV1 2.0V A/T</t>
  </si>
  <si>
    <t>ZRR70R-APXEPD05</t>
  </si>
  <si>
    <t>ZRR70R-APXEPD06</t>
  </si>
  <si>
    <t>ZRR70R-APXEPD07</t>
  </si>
  <si>
    <t>ZRR70R-APXEPD14</t>
  </si>
  <si>
    <t>ZRR70R-APXEPD15</t>
  </si>
  <si>
    <t>ZRR70R-APXEPD17</t>
  </si>
  <si>
    <t>ZRR70R-APXEPD13</t>
  </si>
  <si>
    <t>ZRR70R-APXEPD10</t>
  </si>
  <si>
    <t>ZRR70R-APXEPD11</t>
  </si>
  <si>
    <t>ZRR70R-APXEPD18</t>
  </si>
  <si>
    <t>ZRR70R-APXEPD19</t>
  </si>
  <si>
    <t>ZRR70R-APXEPD1A</t>
  </si>
  <si>
    <t>ZRR70R-APXEPDG1</t>
  </si>
  <si>
    <t>ZRR70R-APXEPDVL</t>
  </si>
  <si>
    <t>VL</t>
  </si>
  <si>
    <t>NAV1 2.0V LIMITED A/T</t>
  </si>
  <si>
    <t>ZRR70R-APXEPDVW</t>
  </si>
  <si>
    <t>VW</t>
  </si>
  <si>
    <t>NAV1 2.0V A/T WELCAB</t>
  </si>
  <si>
    <t>ZRR70R-APXEPD08</t>
  </si>
  <si>
    <t>ZRR80R-BPXSP00</t>
  </si>
  <si>
    <t>ZRR80R-BPXSP</t>
  </si>
  <si>
    <t>VOXY 2.0 A/T</t>
  </si>
  <si>
    <t>ZRR80R-BPXSP10</t>
  </si>
  <si>
    <t>ZRR80R-BPXSP11</t>
  </si>
  <si>
    <t>ZRR80R-BPXSP12</t>
  </si>
  <si>
    <t>ZSA42R-ANXGKQ00</t>
  </si>
  <si>
    <t>ZSA42R-ANXGKQ</t>
  </si>
  <si>
    <t>RAV4 2.0 CVT</t>
  </si>
  <si>
    <t>ZSG10R-DHXEKD00</t>
  </si>
  <si>
    <t>ZSG10R-DHXEKD</t>
  </si>
  <si>
    <t>COROLLA CROSS 1.8 A/T</t>
  </si>
  <si>
    <t>ZSG10R-DHXEKD50</t>
  </si>
  <si>
    <t>ZSG10R-DHXEKD02</t>
  </si>
  <si>
    <t>ZSG10R-DHXEKD52</t>
  </si>
  <si>
    <t>ZSG10R-DHXEKD01</t>
  </si>
  <si>
    <t>ZSG10R-DHXEKD51</t>
  </si>
  <si>
    <t>ZSU60W-ANXGP00</t>
  </si>
  <si>
    <t>ZSU60W-ANXGP</t>
  </si>
  <si>
    <t>ZVG10R-DHXGBD01</t>
  </si>
  <si>
    <t>ZVG10R-DHXGBD</t>
  </si>
  <si>
    <t>COROLLA CROSS 1.8 HYBRID A/T</t>
  </si>
  <si>
    <t>ZVG10R-DHXGBD31</t>
  </si>
  <si>
    <t>ZVG10R-DHXGBD32</t>
  </si>
  <si>
    <t>ZVG10R-DHXGBD41</t>
  </si>
  <si>
    <t>ZVG10R-DHXGBD42</t>
  </si>
  <si>
    <t>ZVG10R-DHXGBD51</t>
  </si>
  <si>
    <t>ZVG10R-DHXGBD02</t>
  </si>
  <si>
    <t>ZVG10R-DHXGBD52</t>
  </si>
  <si>
    <t>ZVG10R-DHXGBD00</t>
  </si>
  <si>
    <t>ZVG10R-DHXGBD50</t>
  </si>
  <si>
    <t>ZVG10R-DHXGBD11</t>
  </si>
  <si>
    <t>ZVG10R-DHXGBD61</t>
  </si>
  <si>
    <t>ZVG10R-DHXGBD12</t>
  </si>
  <si>
    <t>ZVG10R-DHXGBD62</t>
  </si>
  <si>
    <t>ZVG10R-DHXGBD21</t>
  </si>
  <si>
    <t>COROLLA CROSS 1.8 HYBRID GR-S A/T</t>
  </si>
  <si>
    <t>ZVG10R-DHXGBD22</t>
  </si>
  <si>
    <t>ZVG10R-DHXGBD23</t>
  </si>
  <si>
    <t>ZVG10R-DHXGBD73</t>
  </si>
  <si>
    <t>ZVG10R-DHXGBD71</t>
  </si>
  <si>
    <t>ZVG10R-DHXGBD72</t>
  </si>
  <si>
    <t>ZVG10R-DHXGBDAA</t>
  </si>
  <si>
    <t>ZVG10R-DHXGBDAB</t>
  </si>
  <si>
    <t>ZVW30R-AHXEBW10</t>
  </si>
  <si>
    <t>ZVW30R-AHXEBW</t>
  </si>
  <si>
    <t>PRIUS 1.8 A/T HYBRID</t>
  </si>
  <si>
    <t>ZVW30R-AHXEBW00</t>
  </si>
  <si>
    <t>ZVW50R-AHXEBW00</t>
  </si>
  <si>
    <t>ZVW50R-AHXEBW</t>
  </si>
  <si>
    <t>ZVW50R-AHXEBW01</t>
  </si>
  <si>
    <t>ZVW52R-AHXEBW02</t>
  </si>
  <si>
    <t>ZVW52R-AHXEBW</t>
  </si>
  <si>
    <t>PRIUS 1.8 PHV A/T</t>
  </si>
  <si>
    <t>ZVW52R-AHXEBW01</t>
  </si>
  <si>
    <t>ZVW60R-AHXEB00</t>
  </si>
  <si>
    <t>ZVW60R-AHXEB</t>
  </si>
  <si>
    <t>ZWE211R-GEXGKD01</t>
  </si>
  <si>
    <t>ZWE211R-GEXGKD</t>
  </si>
  <si>
    <t>ZWE211R-GEXGKD00</t>
  </si>
  <si>
    <t>ZWE211R-GEXGKD71</t>
  </si>
  <si>
    <t>ZWE211R-GEXGKD70</t>
  </si>
  <si>
    <t>ZWE211R-GEXVBD03</t>
  </si>
  <si>
    <t>ZWE211R-GEXVBD</t>
  </si>
  <si>
    <t>COROLLA ALTIS 1.8L HYBRID A/T</t>
  </si>
  <si>
    <t>ZWE211R-GEXVBD27</t>
  </si>
  <si>
    <t>ZWE211R-GEXVBD73</t>
  </si>
  <si>
    <t>ZWE211R-GEXVBD02</t>
  </si>
  <si>
    <t>ZWE211R-GEXVBD72</t>
  </si>
  <si>
    <t>ZWE211R-GEXVBD00</t>
  </si>
  <si>
    <t>ZWE211R-GEXVBD70</t>
  </si>
  <si>
    <t>ZWE211R-GEXVBD13</t>
  </si>
  <si>
    <t>ZWE211R-GEXVBD12</t>
  </si>
  <si>
    <t>ZWE211R-GEXVBD82</t>
  </si>
  <si>
    <t>ZWE211R-GEXVBD23</t>
  </si>
  <si>
    <t>ZWE211R-GEXVBD22</t>
  </si>
  <si>
    <t>ZWE211R-GEXXBD</t>
  </si>
  <si>
    <t>ZWE211R-GEXVBD26</t>
  </si>
  <si>
    <t>ZWE211R-GEXVBD92</t>
  </si>
  <si>
    <t>92</t>
  </si>
  <si>
    <t>ZYX10R-CHXEBT00</t>
  </si>
  <si>
    <t>ZYX10R-CHXEBT</t>
  </si>
  <si>
    <t>C-HR 1.8 HV A/T</t>
  </si>
  <si>
    <t>ZYX10R-CHXEBT50</t>
  </si>
  <si>
    <t>ZYX10R-CHXEBT01</t>
  </si>
  <si>
    <t>ZYX10R-CHXEBT51</t>
  </si>
  <si>
    <t>ZYX10R-CHXGBT61</t>
  </si>
  <si>
    <t>ZYX10R-CHXGBT</t>
  </si>
  <si>
    <t>ZYX10R-CHXGBT12</t>
  </si>
  <si>
    <t>ZYX10R-CHXGBT13</t>
  </si>
  <si>
    <t>ZYX10R-CHXGBT62</t>
  </si>
  <si>
    <t>ZYX10R-CHXGBT63</t>
  </si>
  <si>
    <t>ZYX10R-CHXGBT60</t>
  </si>
  <si>
    <t>ZYX10R-CHXGBT11</t>
  </si>
  <si>
    <t>ZYX10R-CHXGBT10</t>
  </si>
  <si>
    <t>ZYX10R-CHXGBT15</t>
  </si>
  <si>
    <t>ZYX10R-CHXGBT65</t>
  </si>
  <si>
    <t>65</t>
  </si>
  <si>
    <t>ZYX10R-CHXGBT14</t>
  </si>
  <si>
    <t>ZYX10R-CHXGBT64</t>
  </si>
  <si>
    <t>ZYX10R-CHXGBT16</t>
  </si>
  <si>
    <t>ZYX10R-CHXGBT66</t>
  </si>
  <si>
    <t>66</t>
  </si>
  <si>
    <t>ZYX10R-CHXGBT51</t>
  </si>
  <si>
    <t>ZYX10R-CHXGBT50</t>
  </si>
  <si>
    <t>ZYX10R-CHXGBT01</t>
  </si>
  <si>
    <t>ZYX10R-CHXGBT00</t>
  </si>
  <si>
    <t>ZZE142R-GEMDKD00</t>
  </si>
  <si>
    <t>ZZE142R-GEMDKD</t>
  </si>
  <si>
    <t>COROLLA ALTIS 1.8J M/T</t>
  </si>
  <si>
    <t>ZZE142R-GEPGKD00</t>
  </si>
  <si>
    <t>ZZE142R-GEPGKD</t>
  </si>
  <si>
    <t>ZZE142R-GEPVKD00</t>
  </si>
  <si>
    <t>ZZE142R-GEPVKD</t>
  </si>
  <si>
    <t>GUN125R-DTFSXD30</t>
  </si>
  <si>
    <t>W100RE-LBDFJK0</t>
  </si>
  <si>
    <t>A250RA-GBVVJ31</t>
  </si>
  <si>
    <t>GDH321R-EDFDYD11</t>
  </si>
  <si>
    <t>WA</t>
  </si>
  <si>
    <t>AAHH40R-PFXLB70</t>
  </si>
  <si>
    <t>MAGA10R-BRXLBD01</t>
  </si>
  <si>
    <t>FD</t>
  </si>
  <si>
    <t>MAGA10R-BRXLBD11</t>
  </si>
  <si>
    <t>F800RE-GMGFJ40</t>
  </si>
  <si>
    <t>F800RE-GMGFJBD</t>
  </si>
  <si>
    <t>F800RE-GQGFJ40</t>
  </si>
  <si>
    <t>A250RA-GBVVJK3</t>
  </si>
  <si>
    <t>NYC200R-DHXHBDK7</t>
  </si>
  <si>
    <t>K7</t>
  </si>
  <si>
    <t>B401RA-GMZFJEA</t>
  </si>
  <si>
    <t>F800RE-GMMFJ30</t>
  </si>
  <si>
    <t>F800RE-GMMFJBA</t>
  </si>
  <si>
    <t>F800RE-GQMFJ30</t>
  </si>
  <si>
    <t>MAGH10R-BPXHBDBC</t>
  </si>
  <si>
    <t>MAGH10R-BPXHBDFC</t>
  </si>
  <si>
    <t>MAGH10R-BPXHBD11</t>
  </si>
  <si>
    <t>MAGH10R-BPXHBDGB</t>
  </si>
  <si>
    <t>MAGH10R-BPXHBDFG</t>
  </si>
  <si>
    <t>FG</t>
  </si>
  <si>
    <t>MAGH10R-BPXHBDFE</t>
  </si>
  <si>
    <t>FE</t>
  </si>
  <si>
    <t>MAGH10R-BPXHBDFD</t>
  </si>
  <si>
    <t>W101RE-LMSFJK0</t>
  </si>
  <si>
    <t>W101RE-LMSFJ11</t>
  </si>
  <si>
    <t>A250RA-GBVVJK1</t>
  </si>
  <si>
    <t>W101RE-LBVFJK3</t>
  </si>
  <si>
    <t>NYC200R-DHXHBDK2</t>
  </si>
  <si>
    <t>A250RA-GBXVJK0</t>
  </si>
  <si>
    <t>A250RA-GBXVJ11</t>
  </si>
  <si>
    <t>W101RE-LBSFJK1</t>
  </si>
  <si>
    <t>W101RE-LBSFJ02</t>
  </si>
  <si>
    <t>NYC200R-DHXHBDK5</t>
  </si>
  <si>
    <t>K5</t>
  </si>
  <si>
    <t>NGC200R-DHXMKDK0</t>
  </si>
  <si>
    <t>GUN110R-ATTHXD00</t>
  </si>
  <si>
    <t>GUN110R-ATTHXD</t>
  </si>
  <si>
    <t>HILUX PICK UP 2.4 DSL HIGH A/T</t>
  </si>
  <si>
    <t>GUN110R-ATTHXD10</t>
  </si>
  <si>
    <t>GUN110R-ATTHXD02</t>
  </si>
  <si>
    <t>GUN110R-ATTHXD300</t>
  </si>
  <si>
    <t>GUN110R-ATTHXD3</t>
  </si>
  <si>
    <t>HILUX CAB-CHASSIS PU 2.4 DSL HIGH A/T</t>
  </si>
  <si>
    <t>GUN110R-ATTHXD311</t>
  </si>
  <si>
    <t>GUN110R-ATTHXD302</t>
  </si>
  <si>
    <t>GUN110R-ATTHXD301</t>
  </si>
  <si>
    <t>HILUX CAB-CHASSIS MB 2.4 DSL HIGH A/T</t>
  </si>
  <si>
    <t>GUN112R-ATMHXD00</t>
  </si>
  <si>
    <t>GUN112R-ATMHXD</t>
  </si>
  <si>
    <t>HILUX PICK UP 2.4 DSL HIGH M/T</t>
  </si>
  <si>
    <t>GUN112R-ATMHXD10</t>
  </si>
  <si>
    <t>GUN112R-ATMHXD02</t>
  </si>
  <si>
    <t>GUN112R-ATMSXD10</t>
  </si>
  <si>
    <t>GUN112R-ATMSXD</t>
  </si>
  <si>
    <t>HILUX PICK UP 2.4 DSL STANDARD M/T</t>
  </si>
  <si>
    <t>GUN112R-ATMSXD11</t>
  </si>
  <si>
    <t>GUN112R-ATMSXD00</t>
  </si>
  <si>
    <t>GUN112R-ATMSXD02</t>
  </si>
  <si>
    <t>GUN112R-ATMSXD01</t>
  </si>
  <si>
    <t>HILUX PICK UP 2.4 DSL STANDARD M/T 3WAY</t>
  </si>
  <si>
    <t>GUN112R-ATMSXD300</t>
  </si>
  <si>
    <t>GUN112R-ATMSXD3</t>
  </si>
  <si>
    <t>HILUX CAB-CHASSIS PU 2.4 DSL STANDARD M/T</t>
  </si>
  <si>
    <t>GUN112R-ATMSXD3A1</t>
  </si>
  <si>
    <t>GUN112R-ATMSXD3B1</t>
  </si>
  <si>
    <t>GUN112R-ATMSXD301</t>
  </si>
  <si>
    <t>HILUX CAB-CHASSIS MB 2.4 DSL STANDARD M/T</t>
  </si>
  <si>
    <t>GUN112R-ATMSXD3C3</t>
  </si>
  <si>
    <t>TGN110R-ATMHKD00</t>
  </si>
  <si>
    <t>TGN110R-ATMHKD</t>
  </si>
  <si>
    <t>HILUX PICK UP 2.0 HIGH M/T</t>
  </si>
  <si>
    <t>TGN110R-ATMHKDC3</t>
  </si>
  <si>
    <t>TGN110R-ATMHKD10</t>
  </si>
  <si>
    <t>TGN110R-ATMHKD02</t>
  </si>
  <si>
    <t>TGN110R-ATMHKDIA</t>
  </si>
  <si>
    <t>IA</t>
  </si>
  <si>
    <t>TGN110R-ATMHKDC4</t>
  </si>
  <si>
    <t>TGN110R-ATMSKD00</t>
  </si>
  <si>
    <t>TGN110R-ATMSKD</t>
  </si>
  <si>
    <t>HILUX PICK UP 2.0 STANDARD M/T</t>
  </si>
  <si>
    <t>TGN110R-ATMSKD10</t>
  </si>
  <si>
    <t>TGN110R-ATMSKD11</t>
  </si>
  <si>
    <t>TGN110R-ATMSKD02</t>
  </si>
  <si>
    <t>TGN110R-ATMSKD01</t>
  </si>
  <si>
    <t>HILUX PICK UP 2.0 STANDARD M/T 3WAY</t>
  </si>
  <si>
    <t>TGN110R-ATMSKD300</t>
  </si>
  <si>
    <t>TGN110R-ATMSKD3</t>
  </si>
  <si>
    <t>HILUX CAB-CHASSIS PU 2.0 STANDARD M/T</t>
  </si>
  <si>
    <t>TGN110R-ATMSKD311</t>
  </si>
  <si>
    <t>TGN110R-ATMSKD3A2</t>
  </si>
  <si>
    <t>A2</t>
  </si>
  <si>
    <t>TGN110R-ATMSKD301</t>
  </si>
  <si>
    <t>HILUX CAB-CHASSIS MB 2.0 STANDARD M/T</t>
  </si>
  <si>
    <t>TGN110R-ATMSKD3C5</t>
  </si>
  <si>
    <t>C5</t>
  </si>
  <si>
    <t>TGN110R-ATMSKD3C7</t>
  </si>
  <si>
    <t>C7</t>
  </si>
  <si>
    <t>TGN110R-ATMSKD3C8</t>
  </si>
  <si>
    <t>C8</t>
  </si>
  <si>
    <t>TGN110R-ATMLKD300</t>
  </si>
  <si>
    <t>TGN110R-ATMLKD3</t>
  </si>
  <si>
    <t>HILUX CAB-CHASSIS PU 2.0 ENTRY M/T</t>
  </si>
  <si>
    <t>TGN110R-ATMLKD301</t>
  </si>
  <si>
    <t>HILUX CAB-CHASSIS MB 2.0 ENTRY M/T</t>
  </si>
  <si>
    <t>GUN112R-ATMSXDGB</t>
  </si>
  <si>
    <t>VELOZ 1.5 V HYBRID  CVT-PREMIUM COLOR</t>
  </si>
  <si>
    <t>VELOZ 1.5 Q HYBRID  CVT TSS MODELLISTA-PREMIUM COLOR</t>
  </si>
  <si>
    <t>VELOZ 1.5 Q HYBRID  CVT-PREMIUM COLOR</t>
  </si>
  <si>
    <t>VELOZ 1.5 Q HYBRID  CVT TSS MODELLISTA-NON PREMIUM COLOR</t>
  </si>
  <si>
    <t>VELOZ 1.5 Q HYBRID  CVT MODELLISTA-PREMIUM COLOR</t>
  </si>
  <si>
    <t>VELOZ 1.5 Q HYBRID  CVT MODELLISTA-NON PREMIUM COLOR</t>
  </si>
  <si>
    <t>VELOZ 1.5 Q HYBRID  CVT-NON PREMIUM COLOR</t>
  </si>
  <si>
    <t>VELOZ 1.5 V HYBRID  CVT-NON PREMIUM COLOR</t>
  </si>
  <si>
    <t>AVANZA 1.5 G M/T</t>
  </si>
  <si>
    <t>NYC100R-TEXHB</t>
  </si>
  <si>
    <t>VIOS 1.5 HYBRID CVT-TWO TONE-PREMIUM COLOR</t>
  </si>
  <si>
    <t>GUN226R-BTFXXD</t>
  </si>
  <si>
    <t>HILUX 2.8 DSL PICK UP 4X4 M/T</t>
  </si>
  <si>
    <t>GUN226R-DTTHXD</t>
  </si>
  <si>
    <t>HILUX 2.8V DOUBLE CABIN 4X4 A/T</t>
  </si>
  <si>
    <t>GUN226R-DTFMXD</t>
  </si>
  <si>
    <t>HILUX 2.8G DOUBLE CABIN 4X4 M/T</t>
  </si>
  <si>
    <t>GUN226R-DTFLXD</t>
  </si>
  <si>
    <t>FORTUNER 2.4 G 4X2 A/T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</si>
</sst>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dd/mm/yyyy;@"/>
    <numFmt numFmtId="179" formatCode="0.00E+000"/>
    <numFmt numFmtId="180" formatCode="_(* #,##0_);_(* \(#,##0\);_(* &quot;-&quot;??_);_(@_)"/>
    <numFmt numFmtId="181" formatCode="0.0%"/>
    <numFmt numFmtId="182" formatCode="\+#,##0;[Red]\-#,##0"/>
  </numFmts>
  <fonts count="85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name val="Calibri"/>
      <charset val="134"/>
      <scheme val="minor"/>
    </font>
    <font>
      <sz val="11"/>
      <color indexed="59"/>
      <name val="Calibri"/>
      <charset val="134"/>
    </font>
    <font>
      <sz val="11"/>
      <color theme="1"/>
      <name val="Century Gothic"/>
      <charset val="134"/>
    </font>
    <font>
      <b/>
      <sz val="11"/>
      <color theme="1"/>
      <name val="Century Gothic"/>
      <charset val="134"/>
    </font>
    <font>
      <sz val="11"/>
      <color rgb="FFFF0000"/>
      <name val="Century Gothic"/>
      <charset val="134"/>
    </font>
    <font>
      <sz val="11"/>
      <color theme="0"/>
      <name val="Century Gothic"/>
      <charset val="134"/>
    </font>
    <font>
      <sz val="11"/>
      <color theme="1"/>
      <name val="Century Gothic"/>
      <charset val="134"/>
    </font>
    <font>
      <sz val="11"/>
      <name val="Century Gothic"/>
      <charset val="134"/>
    </font>
    <font>
      <b/>
      <sz val="11"/>
      <color theme="1"/>
      <name val="Calibri"/>
      <charset val="134"/>
      <scheme val="minor"/>
    </font>
    <font>
      <sz val="12"/>
      <color theme="1"/>
      <name val="Century Gothic"/>
      <charset val="134"/>
    </font>
    <font>
      <sz val="10"/>
      <color theme="1"/>
      <name val="Century Gothic"/>
      <charset val="134"/>
    </font>
    <font>
      <b/>
      <sz val="16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name val="Calibri"/>
      <charset val="134"/>
    </font>
    <font>
      <sz val="11"/>
      <name val="Calibri"/>
      <charset val="134"/>
    </font>
    <font>
      <sz val="11"/>
      <color indexed="8"/>
      <name val="Calibri"/>
      <charset val="0"/>
    </font>
    <font>
      <sz val="11"/>
      <color indexed="8"/>
      <name val="Calibri"/>
      <charset val="134"/>
      <scheme val="minor"/>
    </font>
    <font>
      <sz val="11"/>
      <name val="Calibri"/>
      <charset val="0"/>
    </font>
    <font>
      <sz val="11"/>
      <color rgb="FF000000"/>
      <name val="Calibri"/>
      <charset val="134"/>
    </font>
    <font>
      <sz val="10"/>
      <name val="Calibri"/>
      <charset val="134"/>
    </font>
    <font>
      <sz val="11"/>
      <color theme="1"/>
      <name val="Calibri"/>
      <charset val="134"/>
    </font>
    <font>
      <sz val="11"/>
      <name val="Calibri"/>
      <charset val="134"/>
      <scheme val="minor"/>
    </font>
    <font>
      <sz val="11"/>
      <color rgb="FF000000"/>
      <name val="Calibri"/>
      <charset val="134"/>
    </font>
    <font>
      <sz val="11"/>
      <color indexed="8"/>
      <name val="Calibri"/>
      <charset val="134"/>
    </font>
    <font>
      <i/>
      <sz val="10"/>
      <color theme="1"/>
      <name val="Century Gothic"/>
      <charset val="134"/>
    </font>
    <font>
      <sz val="11"/>
      <color theme="0"/>
      <name val="Calibri"/>
      <charset val="134"/>
      <scheme val="minor"/>
    </font>
    <font>
      <b/>
      <sz val="10"/>
      <color theme="1"/>
      <name val="Century Gothic"/>
      <charset val="134"/>
    </font>
    <font>
      <b/>
      <sz val="10"/>
      <name val="Century Gothic"/>
      <charset val="134"/>
    </font>
    <font>
      <b/>
      <sz val="10"/>
      <color theme="0"/>
      <name val="Century Gothic"/>
      <charset val="134"/>
    </font>
    <font>
      <sz val="11"/>
      <name val="Century Gothic"/>
      <charset val="134"/>
    </font>
    <font>
      <b/>
      <sz val="11"/>
      <name val="Century Gothic"/>
      <charset val="134"/>
    </font>
    <font>
      <sz val="10"/>
      <name val="Century Gothic"/>
      <charset val="134"/>
    </font>
    <font>
      <b/>
      <sz val="11"/>
      <color theme="1"/>
      <name val="Calibri"/>
      <charset val="134"/>
      <scheme val="minor"/>
    </font>
    <font>
      <b/>
      <sz val="22"/>
      <color theme="1"/>
      <name val="Century Gothic"/>
      <charset val="134"/>
    </font>
    <font>
      <b/>
      <sz val="14"/>
      <color theme="1"/>
      <name val="Century Gothic"/>
      <charset val="134"/>
    </font>
    <font>
      <b/>
      <u/>
      <sz val="11"/>
      <color theme="1"/>
      <name val="Century Gothic"/>
      <charset val="134"/>
    </font>
    <font>
      <sz val="11"/>
      <color rgb="FFFF0000"/>
      <name val="HGPｺﾞｼｯｸE"/>
      <charset val="128"/>
    </font>
    <font>
      <sz val="8"/>
      <color theme="1"/>
      <name val="Century Gothic"/>
      <charset val="134"/>
    </font>
    <font>
      <b/>
      <i/>
      <sz val="10"/>
      <color theme="1"/>
      <name val="Century Gothic"/>
      <charset val="134"/>
    </font>
    <font>
      <b/>
      <sz val="16"/>
      <name val="Century Gothic"/>
      <charset val="134"/>
    </font>
    <font>
      <sz val="10"/>
      <color theme="1"/>
      <name val="ＭＳ Ｐゴシック"/>
      <charset val="128"/>
    </font>
    <font>
      <sz val="11"/>
      <color theme="0" tint="-0.349986266670736"/>
      <name val="Century Gothic"/>
      <charset val="134"/>
    </font>
    <font>
      <sz val="9"/>
      <color theme="1"/>
      <name val="Century Gothic"/>
      <charset val="134"/>
    </font>
    <font>
      <b/>
      <u/>
      <sz val="14"/>
      <color theme="1"/>
      <name val="Century Gothic"/>
      <charset val="134"/>
    </font>
    <font>
      <b/>
      <sz val="9"/>
      <color theme="1"/>
      <name val="Century Gothic"/>
      <charset val="134"/>
    </font>
    <font>
      <b/>
      <sz val="16"/>
      <color theme="1"/>
      <name val="Century Gothic"/>
      <charset val="134"/>
    </font>
    <font>
      <sz val="8"/>
      <color theme="0"/>
      <name val="Century Gothic"/>
      <charset val="134"/>
    </font>
    <font>
      <sz val="12"/>
      <color theme="1"/>
      <name val="ＭＳ Ｐゴシック"/>
      <charset val="128"/>
    </font>
    <font>
      <b/>
      <sz val="16"/>
      <name val="Century Gothic"/>
      <charset val="134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</font>
    <font>
      <sz val="11"/>
      <name val="Calibri"/>
      <charset val="1"/>
    </font>
    <font>
      <b/>
      <u/>
      <sz val="10"/>
      <color theme="1"/>
      <name val="Century Gothic"/>
      <charset val="134"/>
    </font>
    <font>
      <b/>
      <sz val="9"/>
      <name val="Tahoma"/>
      <charset val="134"/>
    </font>
    <font>
      <sz val="9"/>
      <name val="Tahoma"/>
      <charset val="134"/>
    </font>
  </fonts>
  <fills count="8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AEABAB"/>
        <bgColor rgb="FFAEABAB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34"/>
      </patternFill>
    </fill>
    <fill>
      <patternFill patternType="solid">
        <fgColor theme="0"/>
        <bgColor theme="4" tint="0.799981688894314"/>
      </patternFill>
    </fill>
    <fill>
      <patternFill patternType="solid">
        <fgColor rgb="FFFFFF00"/>
        <bgColor theme="4" tint="0.79998168889431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399914548173467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9" tint="0.399914548173467"/>
        <bgColor indexed="64"/>
      </patternFill>
    </fill>
    <fill>
      <patternFill patternType="solid">
        <fgColor theme="7"/>
        <bgColor theme="7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rgb="FFFF0000"/>
      </right>
      <top style="thin">
        <color auto="1"/>
      </top>
      <bottom style="thin">
        <color auto="1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/>
      <diagonal/>
    </border>
    <border>
      <left style="thin">
        <color auto="1"/>
      </left>
      <right style="medium">
        <color rgb="FF0070C0"/>
      </right>
      <top style="thin">
        <color auto="1"/>
      </top>
      <bottom/>
      <diagonal/>
    </border>
    <border>
      <left style="medium">
        <color rgb="FF0070C0"/>
      </left>
      <right style="thin">
        <color auto="1"/>
      </right>
      <top style="thin">
        <color auto="1"/>
      </top>
      <bottom/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 style="thin">
        <color auto="1"/>
      </left>
      <right style="medium">
        <color rgb="FF0070C0"/>
      </right>
      <top/>
      <bottom/>
      <diagonal/>
    </border>
    <border>
      <left style="medium">
        <color rgb="FF0070C0"/>
      </left>
      <right style="thin">
        <color auto="1"/>
      </right>
      <top/>
      <bottom/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thin">
        <color auto="1"/>
      </left>
      <right style="medium">
        <color rgb="FF0070C0"/>
      </right>
      <top/>
      <bottom style="thin">
        <color auto="1"/>
      </bottom>
      <diagonal/>
    </border>
    <border>
      <left style="medium">
        <color rgb="FF0070C0"/>
      </left>
      <right style="medium">
        <color rgb="FF0070C0"/>
      </right>
      <top/>
      <bottom style="thin">
        <color auto="1"/>
      </bottom>
      <diagonal/>
    </border>
    <border>
      <left style="medium">
        <color rgb="FF0070C0"/>
      </left>
      <right style="thin">
        <color auto="1"/>
      </right>
      <top/>
      <bottom style="thin">
        <color auto="1"/>
      </bottom>
      <diagonal/>
    </border>
    <border>
      <left style="medium">
        <color rgb="FF0070C0"/>
      </left>
      <right style="medium">
        <color rgb="FF0070C0"/>
      </right>
      <top style="thin">
        <color auto="1"/>
      </top>
      <bottom style="medium">
        <color rgb="FF0070C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/>
      <top style="medium">
        <color rgb="FFFF0000"/>
      </top>
      <bottom style="thin">
        <color auto="1"/>
      </bottom>
      <diagonal/>
    </border>
    <border>
      <left/>
      <right/>
      <top style="medium">
        <color rgb="FFFF0000"/>
      </top>
      <bottom style="thin">
        <color auto="1"/>
      </bottom>
      <diagonal/>
    </border>
    <border>
      <left/>
      <right style="medium">
        <color rgb="FFFF0000"/>
      </right>
      <top style="medium">
        <color rgb="FFFF0000"/>
      </top>
      <bottom style="thin">
        <color auto="1"/>
      </bottom>
      <diagonal/>
    </border>
    <border>
      <left style="medium">
        <color rgb="FFFF0000"/>
      </left>
      <right/>
      <top style="medium">
        <color rgb="FF0070C0"/>
      </top>
      <bottom style="thin">
        <color theme="1"/>
      </bottom>
      <diagonal/>
    </border>
    <border>
      <left/>
      <right style="medium">
        <color rgb="FF0070C0"/>
      </right>
      <top style="medium">
        <color rgb="FF0070C0"/>
      </top>
      <bottom style="thin">
        <color theme="1"/>
      </bottom>
      <diagonal/>
    </border>
    <border>
      <left style="medium">
        <color rgb="FFFF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rgb="FFFF0000"/>
      </right>
      <top/>
      <bottom style="thin">
        <color auto="1"/>
      </bottom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70C0"/>
      </right>
      <top style="thin">
        <color auto="1"/>
      </top>
      <bottom style="thin">
        <color auto="1"/>
      </bottom>
      <diagonal/>
    </border>
    <border>
      <left style="medium">
        <color rgb="FFFF0000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medium">
        <color rgb="FFFF0000"/>
      </right>
      <top style="thin">
        <color auto="1"/>
      </top>
      <bottom style="medium">
        <color rgb="FFFF0000"/>
      </bottom>
      <diagonal/>
    </border>
    <border>
      <left style="medium">
        <color rgb="FFFF0000"/>
      </left>
      <right style="thin">
        <color auto="1"/>
      </right>
      <top style="thin">
        <color auto="1"/>
      </top>
      <bottom style="medium">
        <color rgb="FF0070C0"/>
      </bottom>
      <diagonal/>
    </border>
    <border>
      <left style="thin">
        <color auto="1"/>
      </left>
      <right style="medium">
        <color rgb="FF0070C0"/>
      </right>
      <top style="thin">
        <color auto="1"/>
      </top>
      <bottom style="medium">
        <color rgb="FF007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7">
    <xf numFmtId="0" fontId="0" fillId="0" borderId="0"/>
    <xf numFmtId="176" fontId="2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0" fillId="49" borderId="63" applyNumberFormat="0" applyFont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64" applyNumberFormat="0" applyFill="0" applyAlignment="0" applyProtection="0">
      <alignment vertical="center"/>
    </xf>
    <xf numFmtId="0" fontId="67" fillId="0" borderId="64" applyNumberFormat="0" applyFill="0" applyAlignment="0" applyProtection="0">
      <alignment vertical="center"/>
    </xf>
    <xf numFmtId="0" fontId="68" fillId="0" borderId="65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50" borderId="66" applyNumberFormat="0" applyAlignment="0" applyProtection="0">
      <alignment vertical="center"/>
    </xf>
    <xf numFmtId="0" fontId="70" fillId="51" borderId="67" applyNumberFormat="0" applyAlignment="0" applyProtection="0">
      <alignment vertical="center"/>
    </xf>
    <xf numFmtId="0" fontId="71" fillId="51" borderId="66" applyNumberFormat="0" applyAlignment="0" applyProtection="0">
      <alignment vertical="center"/>
    </xf>
    <xf numFmtId="0" fontId="72" fillId="52" borderId="68" applyNumberFormat="0" applyAlignment="0" applyProtection="0">
      <alignment vertical="center"/>
    </xf>
    <xf numFmtId="0" fontId="73" fillId="0" borderId="69" applyNumberFormat="0" applyFill="0" applyAlignment="0" applyProtection="0">
      <alignment vertical="center"/>
    </xf>
    <xf numFmtId="0" fontId="74" fillId="0" borderId="70" applyNumberFormat="0" applyFill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76" fillId="54" borderId="0" applyNumberFormat="0" applyBorder="0" applyAlignment="0" applyProtection="0">
      <alignment vertical="center"/>
    </xf>
    <xf numFmtId="0" fontId="77" fillId="55" borderId="0" applyNumberFormat="0" applyBorder="0" applyAlignment="0" applyProtection="0">
      <alignment vertical="center"/>
    </xf>
    <xf numFmtId="0" fontId="78" fillId="56" borderId="0" applyNumberFormat="0" applyBorder="0" applyAlignment="0" applyProtection="0">
      <alignment vertical="center"/>
    </xf>
    <xf numFmtId="0" fontId="79" fillId="57" borderId="0" applyNumberFormat="0" applyBorder="0" applyAlignment="0" applyProtection="0">
      <alignment vertical="center"/>
    </xf>
    <xf numFmtId="0" fontId="79" fillId="58" borderId="0" applyNumberFormat="0" applyBorder="0" applyAlignment="0" applyProtection="0">
      <alignment vertical="center"/>
    </xf>
    <xf numFmtId="0" fontId="78" fillId="59" borderId="0" applyNumberFormat="0" applyBorder="0" applyAlignment="0" applyProtection="0">
      <alignment vertical="center"/>
    </xf>
    <xf numFmtId="0" fontId="78" fillId="60" borderId="0" applyNumberFormat="0" applyBorder="0" applyAlignment="0" applyProtection="0">
      <alignment vertical="center"/>
    </xf>
    <xf numFmtId="0" fontId="79" fillId="61" borderId="0" applyNumberFormat="0" applyBorder="0" applyAlignment="0" applyProtection="0">
      <alignment vertical="center"/>
    </xf>
    <xf numFmtId="0" fontId="79" fillId="62" borderId="0" applyNumberFormat="0" applyBorder="0" applyAlignment="0" applyProtection="0">
      <alignment vertical="center"/>
    </xf>
    <xf numFmtId="0" fontId="78" fillId="63" borderId="0" applyNumberFormat="0" applyBorder="0" applyAlignment="0" applyProtection="0">
      <alignment vertical="center"/>
    </xf>
    <xf numFmtId="0" fontId="78" fillId="64" borderId="0" applyNumberFormat="0" applyBorder="0" applyAlignment="0" applyProtection="0">
      <alignment vertical="center"/>
    </xf>
    <xf numFmtId="0" fontId="79" fillId="65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78" fillId="67" borderId="0" applyNumberFormat="0" applyBorder="0" applyAlignment="0" applyProtection="0">
      <alignment vertical="center"/>
    </xf>
    <xf numFmtId="0" fontId="78" fillId="68" borderId="0" applyNumberFormat="0" applyBorder="0" applyAlignment="0" applyProtection="0">
      <alignment vertical="center"/>
    </xf>
    <xf numFmtId="0" fontId="79" fillId="69" borderId="0" applyNumberFormat="0" applyBorder="0" applyAlignment="0" applyProtection="0">
      <alignment vertical="center"/>
    </xf>
    <xf numFmtId="0" fontId="79" fillId="70" borderId="0" applyNumberFormat="0" applyBorder="0" applyAlignment="0" applyProtection="0">
      <alignment vertical="center"/>
    </xf>
    <xf numFmtId="0" fontId="78" fillId="71" borderId="0" applyNumberFormat="0" applyBorder="0" applyAlignment="0" applyProtection="0">
      <alignment vertical="center"/>
    </xf>
    <xf numFmtId="0" fontId="78" fillId="72" borderId="0" applyNumberFormat="0" applyBorder="0" applyAlignment="0" applyProtection="0">
      <alignment vertical="center"/>
    </xf>
    <xf numFmtId="0" fontId="79" fillId="73" borderId="0" applyNumberFormat="0" applyBorder="0" applyAlignment="0" applyProtection="0">
      <alignment vertical="center"/>
    </xf>
    <xf numFmtId="0" fontId="79" fillId="74" borderId="0" applyNumberFormat="0" applyBorder="0" applyAlignment="0" applyProtection="0">
      <alignment vertical="center"/>
    </xf>
    <xf numFmtId="0" fontId="78" fillId="75" borderId="0" applyNumberFormat="0" applyBorder="0" applyAlignment="0" applyProtection="0">
      <alignment vertical="center"/>
    </xf>
    <xf numFmtId="0" fontId="78" fillId="76" borderId="0" applyNumberFormat="0" applyBorder="0" applyAlignment="0" applyProtection="0">
      <alignment vertical="center"/>
    </xf>
    <xf numFmtId="0" fontId="79" fillId="77" borderId="0" applyNumberFormat="0" applyBorder="0" applyAlignment="0" applyProtection="0">
      <alignment vertical="center"/>
    </xf>
    <xf numFmtId="0" fontId="79" fillId="78" borderId="0" applyNumberFormat="0" applyBorder="0" applyAlignment="0" applyProtection="0">
      <alignment vertical="center"/>
    </xf>
    <xf numFmtId="0" fontId="78" fillId="79" borderId="0" applyNumberFormat="0" applyBorder="0" applyAlignment="0" applyProtection="0">
      <alignment vertical="center"/>
    </xf>
    <xf numFmtId="0" fontId="25" fillId="0" borderId="0">
      <alignment vertical="center"/>
    </xf>
    <xf numFmtId="0" fontId="3" fillId="0" borderId="0"/>
    <xf numFmtId="0" fontId="25" fillId="0" borderId="0">
      <alignment vertical="center"/>
    </xf>
    <xf numFmtId="0" fontId="80" fillId="0" borderId="0">
      <alignment vertical="center"/>
    </xf>
    <xf numFmtId="0" fontId="81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3" fillId="0" borderId="0"/>
    <xf numFmtId="0" fontId="3" fillId="0" borderId="0"/>
    <xf numFmtId="0" fontId="3" fillId="0" borderId="0"/>
    <xf numFmtId="0" fontId="2" fillId="0" borderId="0"/>
    <xf numFmtId="0" fontId="25" fillId="0" borderId="0">
      <alignment vertical="center"/>
    </xf>
    <xf numFmtId="0" fontId="3" fillId="0" borderId="0"/>
    <xf numFmtId="0" fontId="2" fillId="0" borderId="0"/>
    <xf numFmtId="0" fontId="3" fillId="0" borderId="0">
      <protection locked="0"/>
    </xf>
    <xf numFmtId="0" fontId="25" fillId="0" borderId="0">
      <alignment vertical="center"/>
    </xf>
    <xf numFmtId="0" fontId="25" fillId="0" borderId="0">
      <alignment vertical="center"/>
    </xf>
    <xf numFmtId="9" fontId="2" fillId="0" borderId="0" applyFont="0" applyFill="0" applyBorder="0" applyAlignment="0" applyProtection="0"/>
  </cellStyleXfs>
  <cellXfs count="61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left"/>
    </xf>
    <xf numFmtId="0" fontId="2" fillId="3" borderId="0" xfId="0" applyFont="1" applyFill="1"/>
    <xf numFmtId="49" fontId="3" fillId="0" borderId="0" xfId="61" applyNumberFormat="1" applyAlignment="1">
      <alignment vertical="center"/>
    </xf>
    <xf numFmtId="0" fontId="0" fillId="7" borderId="0" xfId="0" applyFill="1"/>
    <xf numFmtId="0" fontId="0" fillId="8" borderId="0" xfId="0" applyFill="1"/>
    <xf numFmtId="0" fontId="3" fillId="0" borderId="0" xfId="61" applyAlignment="1">
      <alignment vertical="center"/>
    </xf>
    <xf numFmtId="0" fontId="0" fillId="9" borderId="0" xfId="0" applyFill="1"/>
    <xf numFmtId="0" fontId="0" fillId="10" borderId="0" xfId="0" applyFill="1"/>
    <xf numFmtId="58" fontId="0" fillId="0" borderId="0" xfId="0" applyNumberFormat="1"/>
    <xf numFmtId="0" fontId="0" fillId="0" borderId="1" xfId="0" applyFill="1" applyBorder="1" applyAlignment="1">
      <alignment horizontal="left"/>
    </xf>
    <xf numFmtId="0" fontId="0" fillId="11" borderId="0" xfId="0" applyFill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2" xfId="0" applyBorder="1"/>
    <xf numFmtId="0" fontId="2" fillId="0" borderId="0" xfId="0" applyFont="1"/>
    <xf numFmtId="0" fontId="0" fillId="0" borderId="0" xfId="0" applyFill="1" applyBorder="1"/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/>
    <xf numFmtId="0" fontId="9" fillId="12" borderId="0" xfId="0" applyFont="1" applyFill="1" applyAlignment="1">
      <alignment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11" borderId="3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0" fillId="14" borderId="0" xfId="0" applyFill="1" applyAlignment="1">
      <alignment vertical="center"/>
    </xf>
    <xf numFmtId="0" fontId="6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  <xf numFmtId="9" fontId="8" fillId="0" borderId="0" xfId="3" applyFont="1" applyAlignment="1">
      <alignment vertical="center"/>
    </xf>
    <xf numFmtId="0" fontId="12" fillId="0" borderId="0" xfId="0" applyFont="1"/>
    <xf numFmtId="0" fontId="13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15" borderId="1" xfId="0" applyFont="1" applyFill="1" applyBorder="1" applyAlignment="1">
      <alignment vertical="center"/>
    </xf>
    <xf numFmtId="0" fontId="7" fillId="15" borderId="4" xfId="0" applyFont="1" applyFill="1" applyBorder="1" applyAlignment="1">
      <alignment horizontal="center" vertical="center"/>
    </xf>
    <xf numFmtId="0" fontId="7" fillId="16" borderId="5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6" fillId="13" borderId="0" xfId="0" applyFont="1" applyFill="1" applyAlignment="1">
      <alignment vertical="center"/>
    </xf>
    <xf numFmtId="0" fontId="6" fillId="17" borderId="0" xfId="0" applyFont="1" applyFill="1" applyAlignment="1">
      <alignment vertical="center"/>
    </xf>
    <xf numFmtId="3" fontId="6" fillId="13" borderId="0" xfId="0" applyNumberFormat="1" applyFont="1" applyFill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13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9" fontId="6" fillId="13" borderId="1" xfId="0" applyNumberFormat="1" applyFont="1" applyFill="1" applyBorder="1" applyAlignment="1">
      <alignment horizontal="center" vertical="center"/>
    </xf>
    <xf numFmtId="9" fontId="6" fillId="13" borderId="0" xfId="0" applyNumberFormat="1" applyFont="1" applyFill="1" applyAlignment="1">
      <alignment horizontal="center" vertical="center"/>
    </xf>
    <xf numFmtId="0" fontId="9" fillId="18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13" borderId="1" xfId="0" applyFont="1" applyFill="1" applyBorder="1" applyAlignment="1">
      <alignment horizontal="center" vertical="center"/>
    </xf>
    <xf numFmtId="0" fontId="7" fillId="13" borderId="6" xfId="0" applyFont="1" applyFill="1" applyBorder="1" applyAlignment="1">
      <alignment horizontal="center" vertical="center"/>
    </xf>
    <xf numFmtId="0" fontId="7" fillId="19" borderId="7" xfId="0" applyFont="1" applyFill="1" applyBorder="1" applyAlignment="1">
      <alignment horizontal="center" vertical="center"/>
    </xf>
    <xf numFmtId="0" fontId="7" fillId="19" borderId="6" xfId="0" applyFont="1" applyFill="1" applyBorder="1" applyAlignment="1">
      <alignment horizontal="center" vertical="center"/>
    </xf>
    <xf numFmtId="0" fontId="7" fillId="19" borderId="8" xfId="0" applyFont="1" applyFill="1" applyBorder="1" applyAlignment="1">
      <alignment horizontal="center" vertical="center"/>
    </xf>
    <xf numFmtId="0" fontId="7" fillId="13" borderId="0" xfId="0" applyFont="1" applyFill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7" fillId="19" borderId="10" xfId="0" applyFont="1" applyFill="1" applyBorder="1" applyAlignment="1">
      <alignment horizontal="center" vertical="center"/>
    </xf>
    <xf numFmtId="0" fontId="0" fillId="14" borderId="0" xfId="0" applyFill="1"/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14" fillId="0" borderId="1" xfId="0" applyFont="1" applyBorder="1" applyAlignment="1">
      <alignment horizontal="left" vertical="center" wrapText="1"/>
    </xf>
    <xf numFmtId="0" fontId="7" fillId="20" borderId="1" xfId="0" applyFont="1" applyFill="1" applyBorder="1" applyAlignment="1">
      <alignment vertical="center"/>
    </xf>
    <xf numFmtId="0" fontId="7" fillId="20" borderId="1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left" vertical="center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/>
    </xf>
    <xf numFmtId="0" fontId="6" fillId="10" borderId="1" xfId="0" applyFont="1" applyFill="1" applyBorder="1"/>
    <xf numFmtId="0" fontId="6" fillId="10" borderId="1" xfId="0" applyFont="1" applyFill="1" applyBorder="1" applyAlignment="1">
      <alignment horizontal="center"/>
    </xf>
    <xf numFmtId="0" fontId="6" fillId="4" borderId="1" xfId="0" applyFont="1" applyFill="1" applyBorder="1"/>
    <xf numFmtId="0" fontId="6" fillId="4" borderId="1" xfId="0" applyFont="1" applyFill="1" applyBorder="1" applyAlignment="1">
      <alignment horizontal="center"/>
    </xf>
    <xf numFmtId="0" fontId="6" fillId="6" borderId="1" xfId="0" applyFont="1" applyFill="1" applyBorder="1"/>
    <xf numFmtId="0" fontId="6" fillId="6" borderId="1" xfId="0" applyFont="1" applyFill="1" applyBorder="1" applyAlignment="1">
      <alignment horizontal="center"/>
    </xf>
    <xf numFmtId="0" fontId="15" fillId="13" borderId="0" xfId="0" applyFont="1" applyFill="1"/>
    <xf numFmtId="0" fontId="0" fillId="13" borderId="0" xfId="0" applyFill="1"/>
    <xf numFmtId="0" fontId="15" fillId="21" borderId="0" xfId="0" applyFont="1" applyFill="1"/>
    <xf numFmtId="0" fontId="0" fillId="21" borderId="0" xfId="0" applyFill="1"/>
    <xf numFmtId="0" fontId="15" fillId="22" borderId="0" xfId="0" applyFont="1" applyFill="1"/>
    <xf numFmtId="0" fontId="0" fillId="22" borderId="0" xfId="0" applyFill="1"/>
    <xf numFmtId="0" fontId="0" fillId="0" borderId="0" xfId="0" applyFill="1"/>
    <xf numFmtId="0" fontId="16" fillId="0" borderId="1" xfId="0" applyFont="1" applyBorder="1" applyAlignment="1">
      <alignment horizontal="center" vertical="center"/>
    </xf>
    <xf numFmtId="0" fontId="17" fillId="13" borderId="1" xfId="0" applyFont="1" applyFill="1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58" fontId="17" fillId="0" borderId="0" xfId="0" applyNumberFormat="1" applyFont="1" applyAlignment="1">
      <alignment horizontal="center" vertical="center"/>
    </xf>
    <xf numFmtId="0" fontId="16" fillId="23" borderId="0" xfId="0" applyFont="1" applyFill="1" applyAlignment="1">
      <alignment horizontal="center" vertical="center"/>
    </xf>
    <xf numFmtId="0" fontId="18" fillId="13" borderId="1" xfId="0" applyFont="1" applyFill="1" applyBorder="1" applyAlignment="1">
      <alignment horizontal="center" vertical="center"/>
    </xf>
    <xf numFmtId="0" fontId="15" fillId="23" borderId="9" xfId="0" applyFont="1" applyFill="1" applyBorder="1" applyAlignment="1">
      <alignment horizontal="center" vertical="center"/>
    </xf>
    <xf numFmtId="0" fontId="15" fillId="23" borderId="11" xfId="0" applyFont="1" applyFill="1" applyBorder="1" applyAlignment="1">
      <alignment horizontal="center" vertical="center"/>
    </xf>
    <xf numFmtId="0" fontId="15" fillId="23" borderId="12" xfId="0" applyFont="1" applyFill="1" applyBorder="1" applyAlignment="1">
      <alignment horizontal="center" vertical="center"/>
    </xf>
    <xf numFmtId="0" fontId="19" fillId="23" borderId="9" xfId="0" applyFont="1" applyFill="1" applyBorder="1" applyAlignment="1">
      <alignment horizontal="center" vertical="center"/>
    </xf>
    <xf numFmtId="0" fontId="19" fillId="23" borderId="12" xfId="0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horizontal="center" vertical="center"/>
    </xf>
    <xf numFmtId="0" fontId="15" fillId="23" borderId="9" xfId="0" applyFont="1" applyFill="1" applyBorder="1" applyAlignment="1">
      <alignment horizontal="left" vertical="center"/>
    </xf>
    <xf numFmtId="0" fontId="15" fillId="23" borderId="11" xfId="0" applyFont="1" applyFill="1" applyBorder="1" applyAlignment="1">
      <alignment horizontal="left" vertical="center"/>
    </xf>
    <xf numFmtId="0" fontId="21" fillId="23" borderId="9" xfId="0" applyFont="1" applyFill="1" applyBorder="1" applyAlignment="1">
      <alignment horizontal="center" vertical="center"/>
    </xf>
    <xf numFmtId="0" fontId="21" fillId="23" borderId="11" xfId="0" applyFont="1" applyFill="1" applyBorder="1" applyAlignment="1">
      <alignment horizontal="center" vertical="center"/>
    </xf>
    <xf numFmtId="0" fontId="21" fillId="23" borderId="12" xfId="0" applyFont="1" applyFill="1" applyBorder="1" applyAlignment="1">
      <alignment horizontal="center" vertical="center"/>
    </xf>
    <xf numFmtId="58" fontId="18" fillId="13" borderId="1" xfId="0" applyNumberFormat="1" applyFont="1" applyFill="1" applyBorder="1" applyAlignment="1">
      <alignment horizontal="center" vertical="center"/>
    </xf>
    <xf numFmtId="0" fontId="16" fillId="23" borderId="1" xfId="0" applyFont="1" applyFill="1" applyBorder="1" applyAlignment="1">
      <alignment vertical="center"/>
    </xf>
    <xf numFmtId="0" fontId="16" fillId="23" borderId="1" xfId="0" applyFont="1" applyFill="1" applyBorder="1" applyAlignment="1">
      <alignment horizontal="left" vertical="center"/>
    </xf>
    <xf numFmtId="0" fontId="16" fillId="13" borderId="1" xfId="0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23" fillId="13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3" xfId="0" applyFont="1" applyBorder="1" applyAlignment="1">
      <alignment vertical="center"/>
    </xf>
    <xf numFmtId="0" fontId="16" fillId="24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58" fontId="16" fillId="13" borderId="1" xfId="0" applyNumberFormat="1" applyFont="1" applyFill="1" applyBorder="1" applyAlignment="1">
      <alignment horizontal="center" vertical="center"/>
    </xf>
    <xf numFmtId="58" fontId="16" fillId="0" borderId="0" xfId="0" applyNumberFormat="1" applyFont="1" applyAlignment="1">
      <alignment horizontal="center" vertical="center"/>
    </xf>
    <xf numFmtId="58" fontId="24" fillId="13" borderId="1" xfId="0" applyNumberFormat="1" applyFont="1" applyFill="1" applyBorder="1" applyAlignment="1">
      <alignment horizontal="center" vertical="center"/>
    </xf>
    <xf numFmtId="0" fontId="17" fillId="0" borderId="13" xfId="0" applyFont="1" applyBorder="1" applyAlignment="1">
      <alignment vertical="center"/>
    </xf>
    <xf numFmtId="0" fontId="25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7" fillId="0" borderId="1" xfId="0" applyFont="1" applyFill="1" applyBorder="1" applyAlignment="1">
      <alignment horizontal="left"/>
    </xf>
    <xf numFmtId="58" fontId="27" fillId="0" borderId="1" xfId="0" applyNumberFormat="1" applyFont="1" applyFill="1" applyBorder="1" applyAlignment="1">
      <alignment horizontal="left"/>
    </xf>
    <xf numFmtId="178" fontId="27" fillId="0" borderId="1" xfId="0" applyNumberFormat="1" applyFont="1" applyFill="1" applyBorder="1" applyAlignment="1">
      <alignment horizontal="left"/>
    </xf>
    <xf numFmtId="0" fontId="27" fillId="13" borderId="1" xfId="0" applyFont="1" applyFill="1" applyBorder="1" applyAlignment="1">
      <alignment horizontal="left"/>
    </xf>
    <xf numFmtId="0" fontId="0" fillId="13" borderId="1" xfId="0" applyFill="1" applyBorder="1" applyAlignment="1">
      <alignment horizontal="left"/>
    </xf>
    <xf numFmtId="0" fontId="0" fillId="13" borderId="1" xfId="0" applyFont="1" applyFill="1" applyBorder="1" applyAlignment="1">
      <alignment horizontal="left"/>
    </xf>
    <xf numFmtId="9" fontId="25" fillId="13" borderId="1" xfId="0" applyNumberFormat="1" applyFont="1" applyFill="1" applyBorder="1" applyAlignment="1">
      <alignment horizontal="left"/>
    </xf>
    <xf numFmtId="0" fontId="0" fillId="25" borderId="1" xfId="0" applyFont="1" applyFill="1" applyBorder="1" applyAlignment="1">
      <alignment horizontal="left"/>
    </xf>
    <xf numFmtId="9" fontId="0" fillId="25" borderId="1" xfId="0" applyNumberFormat="1" applyFill="1" applyBorder="1" applyAlignment="1">
      <alignment horizontal="left"/>
    </xf>
    <xf numFmtId="9" fontId="25" fillId="13" borderId="1" xfId="0" applyNumberFormat="1" applyFont="1" applyFill="1" applyBorder="1" applyAlignment="1" applyProtection="1">
      <alignment horizontal="left"/>
    </xf>
    <xf numFmtId="0" fontId="28" fillId="13" borderId="1" xfId="0" applyFont="1" applyFill="1" applyBorder="1" applyAlignment="1">
      <alignment horizontal="left"/>
    </xf>
    <xf numFmtId="178" fontId="29" fillId="13" borderId="1" xfId="0" applyNumberFormat="1" applyFont="1" applyFill="1" applyBorder="1" applyAlignment="1">
      <alignment horizontal="left"/>
    </xf>
    <xf numFmtId="9" fontId="0" fillId="13" borderId="1" xfId="0" applyNumberFormat="1" applyFill="1" applyBorder="1" applyAlignment="1">
      <alignment horizontal="left"/>
    </xf>
    <xf numFmtId="0" fontId="25" fillId="25" borderId="1" xfId="0" applyNumberFormat="1" applyFont="1" applyFill="1" applyBorder="1" applyAlignment="1" applyProtection="1">
      <alignment horizontal="left"/>
    </xf>
    <xf numFmtId="9" fontId="0" fillId="25" borderId="1" xfId="0" applyNumberFormat="1" applyFont="1" applyFill="1" applyBorder="1" applyAlignment="1">
      <alignment horizontal="left"/>
    </xf>
    <xf numFmtId="9" fontId="0" fillId="25" borderId="1" xfId="0" applyNumberFormat="1" applyFont="1" applyFill="1" applyBorder="1" applyAlignment="1" applyProtection="1">
      <alignment horizontal="left"/>
    </xf>
    <xf numFmtId="9" fontId="25" fillId="25" borderId="1" xfId="0" applyNumberFormat="1" applyFont="1" applyFill="1" applyBorder="1" applyAlignment="1" applyProtection="1">
      <alignment horizontal="left"/>
    </xf>
    <xf numFmtId="0" fontId="25" fillId="13" borderId="1" xfId="0" applyNumberFormat="1" applyFont="1" applyFill="1" applyBorder="1" applyAlignment="1" applyProtection="1">
      <alignment horizontal="left"/>
    </xf>
    <xf numFmtId="9" fontId="0" fillId="13" borderId="1" xfId="0" applyNumberFormat="1" applyFont="1" applyFill="1" applyBorder="1" applyAlignment="1">
      <alignment horizontal="left"/>
    </xf>
    <xf numFmtId="9" fontId="30" fillId="17" borderId="1" xfId="0" applyNumberFormat="1" applyFont="1" applyFill="1" applyBorder="1" applyAlignment="1">
      <alignment horizontal="left"/>
    </xf>
    <xf numFmtId="0" fontId="0" fillId="24" borderId="1" xfId="0" applyFill="1" applyBorder="1"/>
    <xf numFmtId="0" fontId="0" fillId="24" borderId="1" xfId="0" applyFill="1" applyBorder="1" applyAlignment="1">
      <alignment horizontal="left"/>
    </xf>
    <xf numFmtId="58" fontId="31" fillId="26" borderId="1" xfId="0" applyNumberFormat="1" applyFont="1" applyFill="1" applyBorder="1" applyAlignment="1">
      <alignment horizontal="left"/>
    </xf>
    <xf numFmtId="49" fontId="26" fillId="27" borderId="1" xfId="0" applyNumberFormat="1" applyFont="1" applyFill="1" applyBorder="1" applyAlignment="1"/>
    <xf numFmtId="0" fontId="0" fillId="13" borderId="1" xfId="0" applyFill="1" applyBorder="1"/>
    <xf numFmtId="58" fontId="31" fillId="24" borderId="1" xfId="0" applyNumberFormat="1" applyFont="1" applyFill="1" applyBorder="1" applyAlignment="1">
      <alignment horizontal="left"/>
    </xf>
    <xf numFmtId="49" fontId="26" fillId="13" borderId="1" xfId="0" applyNumberFormat="1" applyFont="1" applyFill="1" applyBorder="1" applyAlignment="1"/>
    <xf numFmtId="0" fontId="27" fillId="24" borderId="1" xfId="0" applyFont="1" applyFill="1" applyBorder="1" applyAlignment="1">
      <alignment horizontal="left"/>
    </xf>
    <xf numFmtId="49" fontId="31" fillId="24" borderId="1" xfId="0" applyNumberFormat="1" applyFont="1" applyFill="1" applyBorder="1" applyAlignment="1"/>
    <xf numFmtId="0" fontId="32" fillId="24" borderId="1" xfId="0" applyFont="1" applyFill="1" applyBorder="1"/>
    <xf numFmtId="0" fontId="30" fillId="17" borderId="1" xfId="0" applyFont="1" applyFill="1" applyBorder="1" applyAlignment="1">
      <alignment horizontal="left"/>
    </xf>
    <xf numFmtId="9" fontId="33" fillId="17" borderId="1" xfId="6" applyNumberFormat="1" applyFont="1" applyFill="1" applyBorder="1" applyAlignment="1">
      <alignment horizontal="left"/>
    </xf>
    <xf numFmtId="58" fontId="0" fillId="0" borderId="1" xfId="0" applyNumberFormat="1" applyFill="1" applyBorder="1" applyAlignment="1">
      <alignment horizontal="left"/>
    </xf>
    <xf numFmtId="178" fontId="0" fillId="0" borderId="1" xfId="0" applyNumberFormat="1" applyFill="1" applyBorder="1" applyAlignment="1">
      <alignment horizontal="left"/>
    </xf>
    <xf numFmtId="178" fontId="0" fillId="28" borderId="1" xfId="0" applyNumberFormat="1" applyFill="1" applyBorder="1" applyAlignment="1">
      <alignment horizontal="left"/>
    </xf>
    <xf numFmtId="9" fontId="34" fillId="17" borderId="1" xfId="0" applyNumberFormat="1" applyFont="1" applyFill="1" applyBorder="1" applyAlignment="1">
      <alignment horizontal="left"/>
    </xf>
    <xf numFmtId="0" fontId="34" fillId="17" borderId="1" xfId="0" applyFont="1" applyFill="1" applyBorder="1" applyAlignment="1">
      <alignment horizontal="left"/>
    </xf>
    <xf numFmtId="9" fontId="26" fillId="13" borderId="1" xfId="0" applyNumberFormat="1" applyFont="1" applyFill="1" applyBorder="1" applyAlignment="1">
      <alignment horizontal="left"/>
    </xf>
    <xf numFmtId="10" fontId="0" fillId="25" borderId="1" xfId="0" applyNumberFormat="1" applyFill="1" applyBorder="1" applyAlignment="1">
      <alignment horizontal="left"/>
    </xf>
    <xf numFmtId="10" fontId="0" fillId="13" borderId="1" xfId="0" applyNumberFormat="1" applyFill="1" applyBorder="1" applyAlignment="1">
      <alignment horizontal="left"/>
    </xf>
    <xf numFmtId="9" fontId="26" fillId="25" borderId="1" xfId="0" applyNumberFormat="1" applyFont="1" applyFill="1" applyBorder="1" applyAlignment="1">
      <alignment horizontal="left"/>
    </xf>
    <xf numFmtId="9" fontId="26" fillId="25" borderId="1" xfId="6" applyNumberFormat="1" applyFont="1" applyFill="1" applyBorder="1" applyAlignment="1" applyProtection="1">
      <alignment horizontal="left"/>
    </xf>
    <xf numFmtId="0" fontId="35" fillId="0" borderId="1" xfId="0" applyFont="1" applyFill="1" applyBorder="1" applyAlignment="1">
      <alignment horizontal="left"/>
    </xf>
    <xf numFmtId="58" fontId="35" fillId="0" borderId="1" xfId="0" applyNumberFormat="1" applyFont="1" applyFill="1" applyBorder="1" applyAlignment="1">
      <alignment horizontal="left"/>
    </xf>
    <xf numFmtId="0" fontId="35" fillId="13" borderId="1" xfId="0" applyFont="1" applyFill="1" applyBorder="1" applyAlignment="1">
      <alignment horizontal="left"/>
    </xf>
    <xf numFmtId="0" fontId="26" fillId="13" borderId="1" xfId="0" applyNumberFormat="1" applyFont="1" applyFill="1" applyBorder="1" applyAlignment="1" applyProtection="1">
      <alignment horizontal="left"/>
    </xf>
    <xf numFmtId="0" fontId="0" fillId="13" borderId="1" xfId="0" applyFill="1" applyBorder="1" applyAlignment="1">
      <alignment horizontal="left" vertical="center"/>
    </xf>
    <xf numFmtId="11" fontId="0" fillId="13" borderId="1" xfId="0" applyNumberFormat="1" applyFont="1" applyFill="1" applyBorder="1" applyAlignment="1">
      <alignment horizontal="left"/>
    </xf>
    <xf numFmtId="9" fontId="25" fillId="25" borderId="1" xfId="0" applyNumberFormat="1" applyFont="1" applyFill="1" applyBorder="1" applyAlignment="1">
      <alignment horizontal="left"/>
    </xf>
    <xf numFmtId="0" fontId="0" fillId="25" borderId="1" xfId="0" applyNumberFormat="1" applyFont="1" applyFill="1" applyBorder="1" applyAlignment="1" applyProtection="1">
      <alignment horizontal="left"/>
    </xf>
    <xf numFmtId="0" fontId="4" fillId="0" borderId="1" xfId="0" applyFont="1" applyBorder="1"/>
    <xf numFmtId="58" fontId="17" fillId="0" borderId="1" xfId="0" applyNumberFormat="1" applyFont="1" applyBorder="1" applyAlignment="1">
      <alignment vertical="center"/>
    </xf>
    <xf numFmtId="0" fontId="0" fillId="13" borderId="1" xfId="0" applyNumberFormat="1" applyFont="1" applyFill="1" applyBorder="1" applyAlignment="1" applyProtection="1">
      <alignment horizontal="left"/>
    </xf>
    <xf numFmtId="0" fontId="3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 vertical="center"/>
    </xf>
    <xf numFmtId="11" fontId="0" fillId="13" borderId="1" xfId="0" applyNumberFormat="1" applyFill="1" applyBorder="1" applyAlignment="1">
      <alignment horizontal="left"/>
    </xf>
    <xf numFmtId="9" fontId="3" fillId="13" borderId="1" xfId="0" applyNumberFormat="1" applyFont="1" applyFill="1" applyBorder="1" applyAlignment="1">
      <alignment horizontal="left"/>
    </xf>
    <xf numFmtId="0" fontId="0" fillId="0" borderId="1" xfId="0" applyFill="1" applyBorder="1"/>
    <xf numFmtId="58" fontId="0" fillId="0" borderId="1" xfId="0" applyNumberFormat="1" applyFill="1" applyBorder="1"/>
    <xf numFmtId="58" fontId="0" fillId="0" borderId="1" xfId="0" applyNumberFormat="1" applyBorder="1"/>
    <xf numFmtId="178" fontId="0" fillId="0" borderId="1" xfId="0" applyNumberFormat="1" applyBorder="1" applyAlignment="1">
      <alignment horizontal="left"/>
    </xf>
    <xf numFmtId="0" fontId="3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/>
    </xf>
    <xf numFmtId="58" fontId="0" fillId="0" borderId="1" xfId="0" applyNumberFormat="1" applyBorder="1" applyAlignment="1">
      <alignment horizontal="left"/>
    </xf>
    <xf numFmtId="178" fontId="3" fillId="0" borderId="1" xfId="0" applyNumberFormat="1" applyFont="1" applyFill="1" applyBorder="1" applyAlignment="1">
      <alignment horizontal="left"/>
    </xf>
    <xf numFmtId="9" fontId="3" fillId="25" borderId="1" xfId="49" applyNumberFormat="1" applyFont="1" applyFill="1" applyBorder="1" applyAlignment="1">
      <alignment horizontal="left"/>
    </xf>
    <xf numFmtId="0" fontId="25" fillId="0" borderId="1" xfId="0" applyFont="1" applyFill="1" applyBorder="1" applyAlignment="1">
      <alignment horizontal="left"/>
    </xf>
    <xf numFmtId="9" fontId="3" fillId="25" borderId="1" xfId="0" applyNumberFormat="1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9" fontId="25" fillId="25" borderId="14" xfId="0" applyNumberFormat="1" applyFont="1" applyFill="1" applyBorder="1" applyAlignment="1">
      <alignment horizontal="left"/>
    </xf>
    <xf numFmtId="9" fontId="25" fillId="0" borderId="1" xfId="0" applyNumberFormat="1" applyFont="1" applyFill="1" applyBorder="1" applyAlignment="1">
      <alignment horizontal="left"/>
    </xf>
    <xf numFmtId="9" fontId="3" fillId="0" borderId="1" xfId="49" applyNumberFormat="1" applyFont="1" applyFill="1" applyBorder="1" applyAlignment="1">
      <alignment horizontal="left"/>
    </xf>
    <xf numFmtId="9" fontId="0" fillId="0" borderId="1" xfId="0" applyNumberFormat="1" applyFill="1" applyBorder="1" applyAlignment="1">
      <alignment horizontal="left"/>
    </xf>
    <xf numFmtId="179" fontId="0" fillId="0" borderId="1" xfId="0" applyNumberFormat="1" applyFill="1" applyBorder="1" applyAlignment="1">
      <alignment horizontal="left"/>
    </xf>
    <xf numFmtId="0" fontId="3" fillId="0" borderId="1" xfId="0" applyFont="1" applyFill="1" applyBorder="1" applyAlignment="1">
      <alignment horizontal="left" vertical="center"/>
    </xf>
    <xf numFmtId="9" fontId="3" fillId="0" borderId="1" xfId="0" applyNumberFormat="1" applyFont="1" applyFill="1" applyBorder="1" applyAlignment="1">
      <alignment horizontal="left"/>
    </xf>
    <xf numFmtId="0" fontId="3" fillId="0" borderId="1" xfId="0" applyFont="1" applyFill="1" applyBorder="1"/>
    <xf numFmtId="9" fontId="25" fillId="0" borderId="1" xfId="0" applyNumberFormat="1" applyFont="1" applyBorder="1" applyAlignment="1">
      <alignment horizontal="left"/>
    </xf>
    <xf numFmtId="9" fontId="3" fillId="0" borderId="1" xfId="49" applyNumberFormat="1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9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center"/>
    </xf>
    <xf numFmtId="179" fontId="0" fillId="0" borderId="1" xfId="0" applyNumberFormat="1" applyBorder="1" applyAlignment="1">
      <alignment horizontal="left"/>
    </xf>
    <xf numFmtId="178" fontId="0" fillId="5" borderId="1" xfId="0" applyNumberFormat="1" applyFill="1" applyBorder="1" applyAlignment="1">
      <alignment horizontal="left"/>
    </xf>
    <xf numFmtId="11" fontId="0" fillId="0" borderId="1" xfId="0" applyNumberFormat="1" applyBorder="1" applyAlignment="1">
      <alignment horizontal="left"/>
    </xf>
    <xf numFmtId="178" fontId="2" fillId="0" borderId="1" xfId="0" applyNumberFormat="1" applyFont="1" applyBorder="1" applyAlignment="1">
      <alignment horizontal="left"/>
    </xf>
    <xf numFmtId="0" fontId="2" fillId="0" borderId="0" xfId="59" applyAlignment="1">
      <alignment vertical="center"/>
    </xf>
    <xf numFmtId="0" fontId="2" fillId="0" borderId="0" xfId="59" applyAlignment="1">
      <alignment horizontal="left" vertical="center"/>
    </xf>
    <xf numFmtId="0" fontId="2" fillId="0" borderId="0" xfId="59" applyAlignment="1">
      <alignment horizontal="center" vertical="center"/>
    </xf>
    <xf numFmtId="0" fontId="2" fillId="0" borderId="0" xfId="59" applyAlignment="1">
      <alignment horizontal="center" vertical="center" wrapText="1"/>
    </xf>
    <xf numFmtId="0" fontId="36" fillId="24" borderId="0" xfId="59" applyFont="1" applyFill="1" applyAlignment="1">
      <alignment horizontal="left" vertical="center"/>
    </xf>
    <xf numFmtId="0" fontId="14" fillId="24" borderId="0" xfId="59" applyFont="1" applyFill="1" applyAlignment="1">
      <alignment vertical="center"/>
    </xf>
    <xf numFmtId="0" fontId="6" fillId="13" borderId="3" xfId="59" applyFont="1" applyFill="1" applyBorder="1" applyAlignment="1">
      <alignment horizontal="center" vertical="center"/>
    </xf>
    <xf numFmtId="0" fontId="7" fillId="13" borderId="7" xfId="59" applyFont="1" applyFill="1" applyBorder="1" applyAlignment="1">
      <alignment horizontal="center" vertical="center"/>
    </xf>
    <xf numFmtId="0" fontId="7" fillId="13" borderId="6" xfId="59" applyFont="1" applyFill="1" applyBorder="1" applyAlignment="1">
      <alignment horizontal="center" vertical="center"/>
    </xf>
    <xf numFmtId="0" fontId="7" fillId="13" borderId="8" xfId="59" applyFont="1" applyFill="1" applyBorder="1" applyAlignment="1">
      <alignment horizontal="center" vertical="center"/>
    </xf>
    <xf numFmtId="0" fontId="7" fillId="0" borderId="1" xfId="59" applyFont="1" applyBorder="1" applyAlignment="1">
      <alignment horizontal="center" vertical="center"/>
    </xf>
    <xf numFmtId="0" fontId="6" fillId="13" borderId="15" xfId="59" applyFont="1" applyFill="1" applyBorder="1" applyAlignment="1">
      <alignment horizontal="center" vertical="center"/>
    </xf>
    <xf numFmtId="0" fontId="7" fillId="13" borderId="16" xfId="59" applyFont="1" applyFill="1" applyBorder="1" applyAlignment="1">
      <alignment horizontal="center" vertical="center"/>
    </xf>
    <xf numFmtId="0" fontId="7" fillId="13" borderId="17" xfId="59" applyFont="1" applyFill="1" applyBorder="1" applyAlignment="1">
      <alignment horizontal="center" vertical="center"/>
    </xf>
    <xf numFmtId="0" fontId="7" fillId="13" borderId="18" xfId="59" applyFont="1" applyFill="1" applyBorder="1" applyAlignment="1">
      <alignment horizontal="center" vertical="center"/>
    </xf>
    <xf numFmtId="0" fontId="6" fillId="0" borderId="1" xfId="59" applyFont="1" applyBorder="1" applyAlignment="1">
      <alignment horizontal="center" vertical="center"/>
    </xf>
    <xf numFmtId="0" fontId="6" fillId="13" borderId="4" xfId="59" applyFont="1" applyFill="1" applyBorder="1" applyAlignment="1">
      <alignment horizontal="center" vertical="center"/>
    </xf>
    <xf numFmtId="0" fontId="6" fillId="9" borderId="1" xfId="59" applyFont="1" applyFill="1" applyBorder="1" applyAlignment="1">
      <alignment horizontal="center" vertical="center"/>
    </xf>
    <xf numFmtId="0" fontId="7" fillId="13" borderId="1" xfId="59" applyFont="1" applyFill="1" applyBorder="1" applyAlignment="1">
      <alignment horizontal="center" vertical="center" wrapText="1"/>
    </xf>
    <xf numFmtId="0" fontId="6" fillId="0" borderId="19" xfId="59" applyFont="1" applyBorder="1" applyAlignment="1">
      <alignment vertical="center"/>
    </xf>
    <xf numFmtId="0" fontId="6" fillId="0" borderId="19" xfId="59" applyFont="1" applyBorder="1" applyAlignment="1">
      <alignment horizontal="center" vertical="center"/>
    </xf>
    <xf numFmtId="0" fontId="6" fillId="0" borderId="3" xfId="59" applyFont="1" applyBorder="1" applyAlignment="1">
      <alignment horizontal="left" vertical="center" wrapText="1"/>
    </xf>
    <xf numFmtId="0" fontId="6" fillId="0" borderId="20" xfId="59" applyFont="1" applyBorder="1" applyAlignment="1">
      <alignment vertical="center"/>
    </xf>
    <xf numFmtId="0" fontId="6" fillId="0" borderId="21" xfId="59" applyFont="1" applyBorder="1" applyAlignment="1">
      <alignment horizontal="center" vertical="center"/>
    </xf>
    <xf numFmtId="0" fontId="6" fillId="0" borderId="15" xfId="59" applyFont="1" applyBorder="1" applyAlignment="1">
      <alignment horizontal="left" vertical="center" wrapText="1"/>
    </xf>
    <xf numFmtId="0" fontId="6" fillId="0" borderId="21" xfId="59" applyFont="1" applyBorder="1" applyAlignment="1">
      <alignment vertical="center"/>
    </xf>
    <xf numFmtId="0" fontId="6" fillId="0" borderId="22" xfId="59" applyFont="1" applyBorder="1" applyAlignment="1">
      <alignment vertical="center"/>
    </xf>
    <xf numFmtId="0" fontId="6" fillId="0" borderId="22" xfId="59" applyFont="1" applyBorder="1" applyAlignment="1">
      <alignment horizontal="center" vertical="center"/>
    </xf>
    <xf numFmtId="0" fontId="7" fillId="0" borderId="1" xfId="59" applyFont="1" applyBorder="1" applyAlignment="1">
      <alignment horizontal="left" vertical="center"/>
    </xf>
    <xf numFmtId="0" fontId="6" fillId="0" borderId="4" xfId="59" applyFont="1" applyBorder="1" applyAlignment="1">
      <alignment horizontal="left" vertical="center" wrapText="1"/>
    </xf>
    <xf numFmtId="0" fontId="37" fillId="12" borderId="0" xfId="59" applyFont="1" applyFill="1" applyAlignment="1">
      <alignment vertical="center"/>
    </xf>
    <xf numFmtId="0" fontId="38" fillId="13" borderId="3" xfId="59" applyFont="1" applyFill="1" applyBorder="1" applyAlignment="1">
      <alignment horizontal="center" vertical="center"/>
    </xf>
    <xf numFmtId="0" fontId="39" fillId="13" borderId="3" xfId="59" applyFont="1" applyFill="1" applyBorder="1" applyAlignment="1">
      <alignment horizontal="center" vertical="center" wrapText="1"/>
    </xf>
    <xf numFmtId="0" fontId="39" fillId="29" borderId="3" xfId="59" applyFont="1" applyFill="1" applyBorder="1" applyAlignment="1">
      <alignment horizontal="center" vertical="center" wrapText="1"/>
    </xf>
    <xf numFmtId="0" fontId="40" fillId="30" borderId="3" xfId="59" applyFont="1" applyFill="1" applyBorder="1" applyAlignment="1">
      <alignment horizontal="center" vertical="center" wrapText="1"/>
    </xf>
    <xf numFmtId="0" fontId="40" fillId="2" borderId="3" xfId="59" applyFont="1" applyFill="1" applyBorder="1" applyAlignment="1">
      <alignment horizontal="center" vertical="center" wrapText="1"/>
    </xf>
    <xf numFmtId="0" fontId="38" fillId="31" borderId="3" xfId="59" applyFont="1" applyFill="1" applyBorder="1" applyAlignment="1">
      <alignment horizontal="center" vertical="center" wrapText="1"/>
    </xf>
    <xf numFmtId="0" fontId="38" fillId="32" borderId="3" xfId="59" applyFont="1" applyFill="1" applyBorder="1" applyAlignment="1">
      <alignment horizontal="center" vertical="center" wrapText="1"/>
    </xf>
    <xf numFmtId="0" fontId="38" fillId="33" borderId="3" xfId="59" applyFont="1" applyFill="1" applyBorder="1" applyAlignment="1">
      <alignment horizontal="center" vertical="center" wrapText="1"/>
    </xf>
    <xf numFmtId="0" fontId="38" fillId="14" borderId="3" xfId="59" applyFont="1" applyFill="1" applyBorder="1" applyAlignment="1">
      <alignment horizontal="center" vertical="center" wrapText="1"/>
    </xf>
    <xf numFmtId="0" fontId="38" fillId="24" borderId="3" xfId="59" applyFont="1" applyFill="1" applyBorder="1" applyAlignment="1">
      <alignment horizontal="center" vertical="center" wrapText="1"/>
    </xf>
    <xf numFmtId="0" fontId="40" fillId="18" borderId="7" xfId="59" applyFont="1" applyFill="1" applyBorder="1" applyAlignment="1">
      <alignment horizontal="center" vertical="center" wrapText="1"/>
    </xf>
    <xf numFmtId="0" fontId="38" fillId="13" borderId="8" xfId="59" applyFont="1" applyFill="1" applyBorder="1" applyAlignment="1">
      <alignment horizontal="center" vertical="center" wrapText="1"/>
    </xf>
    <xf numFmtId="0" fontId="38" fillId="0" borderId="3" xfId="59" applyFont="1" applyBorder="1" applyAlignment="1">
      <alignment horizontal="center" vertical="center" wrapText="1"/>
    </xf>
    <xf numFmtId="0" fontId="38" fillId="24" borderId="1" xfId="59" applyFont="1" applyFill="1" applyBorder="1" applyAlignment="1">
      <alignment horizontal="center" vertical="center" wrapText="1"/>
    </xf>
    <xf numFmtId="0" fontId="38" fillId="13" borderId="7" xfId="59" applyFont="1" applyFill="1" applyBorder="1" applyAlignment="1">
      <alignment horizontal="center" vertical="center" wrapText="1"/>
    </xf>
    <xf numFmtId="0" fontId="38" fillId="13" borderId="6" xfId="59" applyFont="1" applyFill="1" applyBorder="1" applyAlignment="1">
      <alignment horizontal="center" vertical="center" wrapText="1"/>
    </xf>
    <xf numFmtId="0" fontId="38" fillId="13" borderId="1" xfId="59" applyFont="1" applyFill="1" applyBorder="1" applyAlignment="1">
      <alignment horizontal="center" vertical="center" wrapText="1"/>
    </xf>
    <xf numFmtId="0" fontId="38" fillId="13" borderId="4" xfId="59" applyFont="1" applyFill="1" applyBorder="1" applyAlignment="1">
      <alignment horizontal="center" vertical="center"/>
    </xf>
    <xf numFmtId="0" fontId="39" fillId="13" borderId="15" xfId="59" applyFont="1" applyFill="1" applyBorder="1" applyAlignment="1">
      <alignment horizontal="center" vertical="center" wrapText="1"/>
    </xf>
    <xf numFmtId="0" fontId="39" fillId="29" borderId="15" xfId="59" applyFont="1" applyFill="1" applyBorder="1" applyAlignment="1">
      <alignment horizontal="center" vertical="center" wrapText="1"/>
    </xf>
    <xf numFmtId="0" fontId="40" fillId="30" borderId="15" xfId="59" applyFont="1" applyFill="1" applyBorder="1" applyAlignment="1">
      <alignment horizontal="center" vertical="center" wrapText="1"/>
    </xf>
    <xf numFmtId="0" fontId="40" fillId="2" borderId="15" xfId="59" applyFont="1" applyFill="1" applyBorder="1" applyAlignment="1">
      <alignment horizontal="center" vertical="center" wrapText="1"/>
    </xf>
    <xf numFmtId="0" fontId="38" fillId="31" borderId="15" xfId="59" applyFont="1" applyFill="1" applyBorder="1" applyAlignment="1">
      <alignment horizontal="center" vertical="center" wrapText="1"/>
    </xf>
    <xf numFmtId="0" fontId="38" fillId="32" borderId="15" xfId="59" applyFont="1" applyFill="1" applyBorder="1" applyAlignment="1">
      <alignment horizontal="center" vertical="center" wrapText="1"/>
    </xf>
    <xf numFmtId="0" fontId="38" fillId="33" borderId="15" xfId="59" applyFont="1" applyFill="1" applyBorder="1" applyAlignment="1">
      <alignment horizontal="center" vertical="center" wrapText="1"/>
    </xf>
    <xf numFmtId="0" fontId="38" fillId="14" borderId="15" xfId="59" applyFont="1" applyFill="1" applyBorder="1" applyAlignment="1">
      <alignment horizontal="center" vertical="center" wrapText="1"/>
    </xf>
    <xf numFmtId="0" fontId="38" fillId="24" borderId="15" xfId="59" applyFont="1" applyFill="1" applyBorder="1" applyAlignment="1">
      <alignment horizontal="center" vertical="center" wrapText="1"/>
    </xf>
    <xf numFmtId="0" fontId="40" fillId="18" borderId="16" xfId="59" applyFont="1" applyFill="1" applyBorder="1" applyAlignment="1">
      <alignment horizontal="center" vertical="center" wrapText="1"/>
    </xf>
    <xf numFmtId="0" fontId="38" fillId="13" borderId="13" xfId="59" applyFont="1" applyFill="1" applyBorder="1" applyAlignment="1">
      <alignment horizontal="center" vertical="center" wrapText="1"/>
    </xf>
    <xf numFmtId="0" fontId="38" fillId="0" borderId="15" xfId="59" applyFont="1" applyBorder="1" applyAlignment="1">
      <alignment horizontal="center" vertical="center" wrapText="1"/>
    </xf>
    <xf numFmtId="0" fontId="38" fillId="13" borderId="15" xfId="59" applyFont="1" applyFill="1" applyBorder="1" applyAlignment="1">
      <alignment horizontal="center" vertical="center" wrapText="1"/>
    </xf>
    <xf numFmtId="0" fontId="38" fillId="12" borderId="3" xfId="59" applyFont="1" applyFill="1" applyBorder="1" applyAlignment="1">
      <alignment horizontal="center" vertical="center" wrapText="1"/>
    </xf>
    <xf numFmtId="0" fontId="38" fillId="13" borderId="3" xfId="59" applyFont="1" applyFill="1" applyBorder="1" applyAlignment="1">
      <alignment horizontal="center" vertical="center" wrapText="1"/>
    </xf>
    <xf numFmtId="0" fontId="38" fillId="13" borderId="16" xfId="59" applyFont="1" applyFill="1" applyBorder="1" applyAlignment="1">
      <alignment horizontal="center" vertical="center" wrapText="1"/>
    </xf>
    <xf numFmtId="0" fontId="38" fillId="13" borderId="0" xfId="59" applyFont="1" applyFill="1" applyAlignment="1">
      <alignment horizontal="center" vertical="center" wrapText="1"/>
    </xf>
    <xf numFmtId="9" fontId="0" fillId="0" borderId="0" xfId="3" applyFont="1" applyAlignment="1">
      <alignment horizontal="center" vertical="center"/>
    </xf>
    <xf numFmtId="3" fontId="6" fillId="0" borderId="19" xfId="1" applyNumberFormat="1" applyFont="1" applyBorder="1" applyAlignment="1">
      <alignment horizontal="center" vertical="center" wrapText="1"/>
    </xf>
    <xf numFmtId="3" fontId="41" fillId="0" borderId="19" xfId="59" applyNumberFormat="1" applyFont="1" applyBorder="1" applyAlignment="1">
      <alignment horizontal="center" vertical="center" wrapText="1"/>
    </xf>
    <xf numFmtId="3" fontId="6" fillId="0" borderId="19" xfId="59" applyNumberFormat="1" applyFont="1" applyBorder="1" applyAlignment="1">
      <alignment horizontal="center" vertical="center" wrapText="1"/>
    </xf>
    <xf numFmtId="3" fontId="6" fillId="0" borderId="19" xfId="59" applyNumberFormat="1" applyFont="1" applyBorder="1" applyAlignment="1">
      <alignment horizontal="center" vertical="center"/>
    </xf>
    <xf numFmtId="0" fontId="36" fillId="0" borderId="7" xfId="59" applyFont="1" applyBorder="1" applyAlignment="1">
      <alignment horizontal="center" vertical="center" wrapText="1"/>
    </xf>
    <xf numFmtId="0" fontId="36" fillId="0" borderId="6" xfId="59" applyFont="1" applyBorder="1" applyAlignment="1">
      <alignment horizontal="center" vertical="center" wrapText="1"/>
    </xf>
    <xf numFmtId="0" fontId="36" fillId="0" borderId="8" xfId="59" applyFont="1" applyBorder="1" applyAlignment="1">
      <alignment horizontal="center" vertical="center" wrapText="1"/>
    </xf>
    <xf numFmtId="180" fontId="14" fillId="0" borderId="19" xfId="1" applyNumberFormat="1" applyFont="1" applyBorder="1" applyAlignment="1">
      <alignment horizontal="center" vertical="center"/>
    </xf>
    <xf numFmtId="180" fontId="14" fillId="0" borderId="23" xfId="1" applyNumberFormat="1" applyFont="1" applyBorder="1" applyAlignment="1">
      <alignment horizontal="center" vertical="center"/>
    </xf>
    <xf numFmtId="180" fontId="14" fillId="0" borderId="24" xfId="1" applyNumberFormat="1" applyFont="1" applyBorder="1" applyAlignment="1">
      <alignment horizontal="center" vertical="center"/>
    </xf>
    <xf numFmtId="0" fontId="6" fillId="0" borderId="0" xfId="59" applyFont="1" applyAlignment="1">
      <alignment vertical="center"/>
    </xf>
    <xf numFmtId="3" fontId="2" fillId="0" borderId="0" xfId="59" applyNumberFormat="1" applyAlignment="1">
      <alignment vertical="center"/>
    </xf>
    <xf numFmtId="3" fontId="6" fillId="0" borderId="21" xfId="1" applyNumberFormat="1" applyFont="1" applyBorder="1" applyAlignment="1">
      <alignment horizontal="center" vertical="center" wrapText="1"/>
    </xf>
    <xf numFmtId="3" fontId="41" fillId="0" borderId="21" xfId="59" applyNumberFormat="1" applyFont="1" applyBorder="1" applyAlignment="1">
      <alignment horizontal="center" vertical="center" wrapText="1"/>
    </xf>
    <xf numFmtId="3" fontId="6" fillId="0" borderId="21" xfId="59" applyNumberFormat="1" applyFont="1" applyBorder="1" applyAlignment="1">
      <alignment horizontal="center" vertical="center" wrapText="1"/>
    </xf>
    <xf numFmtId="3" fontId="6" fillId="0" borderId="21" xfId="59" applyNumberFormat="1" applyFont="1" applyBorder="1" applyAlignment="1">
      <alignment horizontal="center" vertical="center"/>
    </xf>
    <xf numFmtId="0" fontId="36" fillId="0" borderId="16" xfId="59" applyFont="1" applyBorder="1" applyAlignment="1">
      <alignment horizontal="center" vertical="center" wrapText="1"/>
    </xf>
    <xf numFmtId="0" fontId="36" fillId="0" borderId="0" xfId="59" applyFont="1" applyAlignment="1">
      <alignment horizontal="center" vertical="center" wrapText="1"/>
    </xf>
    <xf numFmtId="0" fontId="36" fillId="0" borderId="13" xfId="59" applyFont="1" applyBorder="1" applyAlignment="1">
      <alignment horizontal="center" vertical="center" wrapText="1"/>
    </xf>
    <xf numFmtId="180" fontId="14" fillId="0" borderId="21" xfId="1" applyNumberFormat="1" applyFont="1" applyBorder="1" applyAlignment="1">
      <alignment horizontal="center" vertical="center"/>
    </xf>
    <xf numFmtId="180" fontId="14" fillId="0" borderId="25" xfId="1" applyNumberFormat="1" applyFont="1" applyBorder="1" applyAlignment="1">
      <alignment horizontal="center" vertical="center"/>
    </xf>
    <xf numFmtId="180" fontId="14" fillId="0" borderId="26" xfId="1" applyNumberFormat="1" applyFont="1" applyBorder="1" applyAlignment="1">
      <alignment horizontal="center" vertical="center"/>
    </xf>
    <xf numFmtId="3" fontId="6" fillId="0" borderId="20" xfId="1" applyNumberFormat="1" applyFont="1" applyBorder="1" applyAlignment="1">
      <alignment horizontal="center" vertical="center" wrapText="1"/>
    </xf>
    <xf numFmtId="3" fontId="41" fillId="0" borderId="20" xfId="59" applyNumberFormat="1" applyFont="1" applyBorder="1" applyAlignment="1">
      <alignment horizontal="center" vertical="center" wrapText="1"/>
    </xf>
    <xf numFmtId="3" fontId="6" fillId="0" borderId="20" xfId="59" applyNumberFormat="1" applyFont="1" applyBorder="1" applyAlignment="1">
      <alignment horizontal="center" vertical="center" wrapText="1"/>
    </xf>
    <xf numFmtId="3" fontId="6" fillId="0" borderId="20" xfId="59" applyNumberFormat="1" applyFont="1" applyBorder="1" applyAlignment="1">
      <alignment horizontal="center" vertical="center"/>
    </xf>
    <xf numFmtId="180" fontId="14" fillId="0" borderId="15" xfId="1" applyNumberFormat="1" applyFont="1" applyBorder="1" applyAlignment="1">
      <alignment horizontal="center" vertical="center"/>
    </xf>
    <xf numFmtId="180" fontId="14" fillId="0" borderId="0" xfId="1" applyNumberFormat="1" applyFont="1" applyBorder="1" applyAlignment="1">
      <alignment horizontal="center" vertical="center"/>
    </xf>
    <xf numFmtId="180" fontId="14" fillId="0" borderId="13" xfId="1" applyNumberFormat="1" applyFont="1" applyBorder="1" applyAlignment="1">
      <alignment horizontal="center" vertical="center"/>
    </xf>
    <xf numFmtId="0" fontId="6" fillId="0" borderId="27" xfId="59" applyFont="1" applyBorder="1" applyAlignment="1">
      <alignment vertical="center"/>
    </xf>
    <xf numFmtId="3" fontId="6" fillId="0" borderId="27" xfId="1" applyNumberFormat="1" applyFont="1" applyBorder="1" applyAlignment="1">
      <alignment horizontal="center" vertical="center" wrapText="1"/>
    </xf>
    <xf numFmtId="3" fontId="41" fillId="0" borderId="27" xfId="59" applyNumberFormat="1" applyFont="1" applyBorder="1" applyAlignment="1">
      <alignment horizontal="center" vertical="center" wrapText="1"/>
    </xf>
    <xf numFmtId="3" fontId="6" fillId="0" borderId="27" xfId="59" applyNumberFormat="1" applyFont="1" applyBorder="1" applyAlignment="1">
      <alignment horizontal="center" vertical="center" wrapText="1"/>
    </xf>
    <xf numFmtId="3" fontId="6" fillId="0" borderId="27" xfId="59" applyNumberFormat="1" applyFont="1" applyBorder="1" applyAlignment="1">
      <alignment horizontal="center" vertical="center"/>
    </xf>
    <xf numFmtId="180" fontId="14" fillId="0" borderId="21" xfId="1" applyNumberFormat="1" applyFont="1" applyBorder="1" applyAlignment="1">
      <alignment horizontal="center" vertical="center" wrapText="1"/>
    </xf>
    <xf numFmtId="180" fontId="14" fillId="0" borderId="25" xfId="1" applyNumberFormat="1" applyFont="1" applyBorder="1" applyAlignment="1">
      <alignment horizontal="center" vertical="center" wrapText="1"/>
    </xf>
    <xf numFmtId="180" fontId="14" fillId="0" borderId="26" xfId="1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3" fontId="6" fillId="0" borderId="21" xfId="1" applyNumberFormat="1" applyFont="1" applyFill="1" applyBorder="1" applyAlignment="1">
      <alignment horizontal="center" vertical="center" wrapText="1"/>
    </xf>
    <xf numFmtId="0" fontId="7" fillId="0" borderId="22" xfId="59" applyFont="1" applyBorder="1" applyAlignment="1">
      <alignment vertical="center"/>
    </xf>
    <xf numFmtId="3" fontId="42" fillId="0" borderId="22" xfId="1" applyNumberFormat="1" applyFont="1" applyBorder="1" applyAlignment="1">
      <alignment horizontal="center" vertical="center" wrapText="1"/>
    </xf>
    <xf numFmtId="3" fontId="7" fillId="0" borderId="22" xfId="59" applyNumberFormat="1" applyFont="1" applyBorder="1" applyAlignment="1">
      <alignment horizontal="center" vertical="center" wrapText="1"/>
    </xf>
    <xf numFmtId="3" fontId="42" fillId="0" borderId="22" xfId="59" applyNumberFormat="1" applyFont="1" applyBorder="1" applyAlignment="1">
      <alignment horizontal="center" vertical="center" wrapText="1"/>
    </xf>
    <xf numFmtId="3" fontId="7" fillId="0" borderId="22" xfId="59" applyNumberFormat="1" applyFont="1" applyBorder="1" applyAlignment="1">
      <alignment horizontal="center" vertical="center"/>
    </xf>
    <xf numFmtId="3" fontId="7" fillId="0" borderId="22" xfId="1" applyNumberFormat="1" applyFont="1" applyBorder="1" applyAlignment="1">
      <alignment horizontal="center" vertical="center" wrapText="1"/>
    </xf>
    <xf numFmtId="3" fontId="41" fillId="0" borderId="22" xfId="59" applyNumberFormat="1" applyFont="1" applyBorder="1" applyAlignment="1">
      <alignment horizontal="center" vertical="center"/>
    </xf>
    <xf numFmtId="3" fontId="6" fillId="0" borderId="22" xfId="59" applyNumberFormat="1" applyFont="1" applyBorder="1" applyAlignment="1">
      <alignment horizontal="center" vertical="center"/>
    </xf>
    <xf numFmtId="3" fontId="6" fillId="0" borderId="22" xfId="59" applyNumberFormat="1" applyFont="1" applyBorder="1" applyAlignment="1">
      <alignment horizontal="center" vertical="center" wrapText="1"/>
    </xf>
    <xf numFmtId="0" fontId="36" fillId="0" borderId="10" xfId="59" applyFont="1" applyBorder="1" applyAlignment="1">
      <alignment horizontal="center" vertical="center" wrapText="1"/>
    </xf>
    <xf numFmtId="0" fontId="36" fillId="0" borderId="17" xfId="59" applyFont="1" applyBorder="1" applyAlignment="1">
      <alignment horizontal="center" vertical="center" wrapText="1"/>
    </xf>
    <xf numFmtId="0" fontId="36" fillId="0" borderId="18" xfId="59" applyFont="1" applyBorder="1" applyAlignment="1">
      <alignment horizontal="center" vertical="center" wrapText="1"/>
    </xf>
    <xf numFmtId="180" fontId="14" fillId="0" borderId="22" xfId="1" applyNumberFormat="1" applyFont="1" applyBorder="1" applyAlignment="1">
      <alignment horizontal="center" vertical="center"/>
    </xf>
    <xf numFmtId="180" fontId="14" fillId="0" borderId="28" xfId="1" applyNumberFormat="1" applyFont="1" applyBorder="1" applyAlignment="1">
      <alignment horizontal="center" vertical="center"/>
    </xf>
    <xf numFmtId="180" fontId="14" fillId="0" borderId="29" xfId="1" applyNumberFormat="1" applyFont="1" applyBorder="1" applyAlignment="1">
      <alignment horizontal="center" vertical="center"/>
    </xf>
    <xf numFmtId="3" fontId="2" fillId="0" borderId="0" xfId="59" applyNumberFormat="1" applyAlignment="1">
      <alignment horizontal="center" vertical="center" wrapText="1"/>
    </xf>
    <xf numFmtId="3" fontId="2" fillId="0" borderId="0" xfId="59" applyNumberFormat="1" applyAlignment="1">
      <alignment horizontal="center" vertical="center"/>
    </xf>
    <xf numFmtId="0" fontId="14" fillId="0" borderId="21" xfId="59" applyFont="1" applyBorder="1" applyAlignment="1">
      <alignment vertical="center"/>
    </xf>
    <xf numFmtId="0" fontId="14" fillId="0" borderId="21" xfId="59" applyFont="1" applyBorder="1" applyAlignment="1">
      <alignment horizontal="center" vertical="center" wrapText="1"/>
    </xf>
    <xf numFmtId="0" fontId="43" fillId="0" borderId="21" xfId="59" applyFont="1" applyBorder="1" applyAlignment="1">
      <alignment horizontal="center" vertical="center" wrapText="1"/>
    </xf>
    <xf numFmtId="0" fontId="14" fillId="0" borderId="21" xfId="59" applyFont="1" applyBorder="1" applyAlignment="1">
      <alignment horizontal="center" vertical="center"/>
    </xf>
    <xf numFmtId="0" fontId="36" fillId="0" borderId="30" xfId="59" applyFont="1" applyBorder="1" applyAlignment="1">
      <alignment horizontal="left" vertical="center" wrapText="1"/>
    </xf>
    <xf numFmtId="0" fontId="36" fillId="0" borderId="25" xfId="59" applyFont="1" applyBorder="1" applyAlignment="1">
      <alignment horizontal="left" vertical="center" wrapText="1"/>
    </xf>
    <xf numFmtId="1" fontId="17" fillId="0" borderId="21" xfId="59" applyNumberFormat="1" applyFont="1" applyBorder="1" applyAlignment="1">
      <alignment horizontal="center" vertical="center"/>
    </xf>
    <xf numFmtId="1" fontId="17" fillId="0" borderId="25" xfId="59" applyNumberFormat="1" applyFont="1" applyBorder="1" applyAlignment="1">
      <alignment horizontal="center" vertical="center"/>
    </xf>
    <xf numFmtId="1" fontId="17" fillId="0" borderId="26" xfId="59" applyNumberFormat="1" applyFont="1" applyBorder="1" applyAlignment="1">
      <alignment horizontal="center" vertical="center"/>
    </xf>
    <xf numFmtId="16" fontId="0" fillId="13" borderId="1" xfId="0" applyNumberForma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44" fillId="13" borderId="1" xfId="0" applyFont="1" applyFill="1" applyBorder="1" applyAlignment="1">
      <alignment horizontal="center"/>
    </xf>
    <xf numFmtId="0" fontId="44" fillId="0" borderId="9" xfId="0" applyFont="1" applyBorder="1"/>
    <xf numFmtId="0" fontId="4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5" fillId="34" borderId="9" xfId="59" applyFont="1" applyFill="1" applyBorder="1" applyAlignment="1">
      <alignment vertical="center"/>
    </xf>
    <xf numFmtId="0" fontId="45" fillId="34" borderId="11" xfId="59" applyFont="1" applyFill="1" applyBorder="1" applyAlignment="1">
      <alignment vertical="center"/>
    </xf>
    <xf numFmtId="58" fontId="45" fillId="34" borderId="11" xfId="59" applyNumberFormat="1" applyFont="1" applyFill="1" applyBorder="1" applyAlignment="1">
      <alignment horizontal="left" vertical="center"/>
    </xf>
    <xf numFmtId="0" fontId="45" fillId="34" borderId="12" xfId="59" applyFont="1" applyFill="1" applyBorder="1" applyAlignment="1">
      <alignment vertical="center"/>
    </xf>
    <xf numFmtId="0" fontId="45" fillId="0" borderId="0" xfId="59" applyFont="1" applyAlignment="1">
      <alignment vertical="center"/>
    </xf>
    <xf numFmtId="0" fontId="6" fillId="0" borderId="7" xfId="59" applyFont="1" applyBorder="1" applyAlignment="1">
      <alignment vertical="center"/>
    </xf>
    <xf numFmtId="0" fontId="46" fillId="0" borderId="6" xfId="0" applyFont="1" applyBorder="1" applyAlignment="1">
      <alignment vertical="center"/>
    </xf>
    <xf numFmtId="0" fontId="6" fillId="0" borderId="6" xfId="59" applyFont="1" applyBorder="1" applyAlignment="1">
      <alignment vertical="center"/>
    </xf>
    <xf numFmtId="0" fontId="8" fillId="0" borderId="6" xfId="59" applyFont="1" applyBorder="1" applyAlignment="1">
      <alignment vertical="center"/>
    </xf>
    <xf numFmtId="0" fontId="47" fillId="0" borderId="6" xfId="59" applyFont="1" applyBorder="1" applyAlignment="1">
      <alignment vertical="center"/>
    </xf>
    <xf numFmtId="3" fontId="6" fillId="0" borderId="6" xfId="59" applyNumberFormat="1" applyFont="1" applyBorder="1" applyAlignment="1">
      <alignment vertical="center"/>
    </xf>
    <xf numFmtId="0" fontId="6" fillId="0" borderId="8" xfId="59" applyFont="1" applyBorder="1" applyAlignment="1">
      <alignment vertical="center"/>
    </xf>
    <xf numFmtId="0" fontId="6" fillId="0" borderId="1" xfId="59" applyFont="1" applyBorder="1" applyAlignment="1">
      <alignment vertical="center"/>
    </xf>
    <xf numFmtId="9" fontId="6" fillId="0" borderId="0" xfId="59" applyNumberFormat="1" applyFont="1" applyAlignment="1">
      <alignment vertical="center"/>
    </xf>
    <xf numFmtId="0" fontId="6" fillId="0" borderId="16" xfId="59" applyFont="1" applyBorder="1" applyAlignment="1">
      <alignment vertical="center"/>
    </xf>
    <xf numFmtId="0" fontId="46" fillId="0" borderId="0" xfId="0" applyFont="1" applyAlignment="1">
      <alignment vertical="center"/>
    </xf>
    <xf numFmtId="0" fontId="8" fillId="0" borderId="0" xfId="59" applyFont="1" applyAlignment="1">
      <alignment vertical="center"/>
    </xf>
    <xf numFmtId="3" fontId="6" fillId="0" borderId="0" xfId="59" applyNumberFormat="1" applyFont="1" applyAlignment="1">
      <alignment vertical="center"/>
    </xf>
    <xf numFmtId="0" fontId="47" fillId="0" borderId="17" xfId="59" applyFont="1" applyBorder="1" applyAlignment="1">
      <alignment vertical="center"/>
    </xf>
    <xf numFmtId="0" fontId="6" fillId="0" borderId="17" xfId="59" applyFont="1" applyBorder="1" applyAlignment="1">
      <alignment vertical="center"/>
    </xf>
    <xf numFmtId="0" fontId="6" fillId="0" borderId="13" xfId="59" applyFont="1" applyBorder="1" applyAlignment="1">
      <alignment vertical="center"/>
    </xf>
    <xf numFmtId="3" fontId="6" fillId="0" borderId="17" xfId="59" applyNumberFormat="1" applyFont="1" applyBorder="1" applyAlignment="1">
      <alignment horizontal="center" vertical="center"/>
    </xf>
    <xf numFmtId="3" fontId="8" fillId="0" borderId="0" xfId="59" applyNumberFormat="1" applyFont="1" applyAlignment="1">
      <alignment vertical="center"/>
    </xf>
    <xf numFmtId="1" fontId="8" fillId="0" borderId="0" xfId="59" applyNumberFormat="1" applyFont="1" applyAlignment="1">
      <alignment vertical="center"/>
    </xf>
    <xf numFmtId="3" fontId="6" fillId="35" borderId="1" xfId="59" applyNumberFormat="1" applyFont="1" applyFill="1" applyBorder="1" applyAlignment="1">
      <alignment horizontal="right" vertical="center"/>
    </xf>
    <xf numFmtId="3" fontId="6" fillId="0" borderId="0" xfId="59" applyNumberFormat="1" applyFont="1" applyAlignment="1">
      <alignment horizontal="center" vertical="center"/>
    </xf>
    <xf numFmtId="0" fontId="6" fillId="3" borderId="7" xfId="59" applyFont="1" applyFill="1" applyBorder="1" applyAlignment="1">
      <alignment horizontal="right" vertical="center"/>
    </xf>
    <xf numFmtId="0" fontId="6" fillId="3" borderId="12" xfId="59" applyFont="1" applyFill="1" applyBorder="1" applyAlignment="1">
      <alignment horizontal="right" vertical="center"/>
    </xf>
    <xf numFmtId="0" fontId="6" fillId="0" borderId="31" xfId="59" applyFont="1" applyBorder="1" applyAlignment="1">
      <alignment vertical="center"/>
    </xf>
    <xf numFmtId="0" fontId="6" fillId="0" borderId="32" xfId="59" applyFont="1" applyBorder="1" applyAlignment="1">
      <alignment vertical="center"/>
    </xf>
    <xf numFmtId="9" fontId="7" fillId="0" borderId="33" xfId="3" applyFont="1" applyBorder="1" applyAlignment="1">
      <alignment horizontal="center" vertical="center"/>
    </xf>
    <xf numFmtId="9" fontId="8" fillId="0" borderId="0" xfId="3" applyFont="1" applyBorder="1" applyAlignment="1">
      <alignment vertical="center"/>
    </xf>
    <xf numFmtId="1" fontId="6" fillId="0" borderId="0" xfId="59" applyNumberFormat="1" applyFont="1" applyAlignment="1">
      <alignment vertical="center"/>
    </xf>
    <xf numFmtId="3" fontId="6" fillId="35" borderId="19" xfId="59" applyNumberFormat="1" applyFont="1" applyFill="1" applyBorder="1" applyAlignment="1">
      <alignment horizontal="right" vertical="center"/>
    </xf>
    <xf numFmtId="9" fontId="6" fillId="24" borderId="0" xfId="3" applyFont="1" applyFill="1" applyBorder="1" applyAlignment="1">
      <alignment vertical="center"/>
    </xf>
    <xf numFmtId="3" fontId="9" fillId="0" borderId="0" xfId="59" applyNumberFormat="1" applyFont="1" applyAlignment="1">
      <alignment vertical="center"/>
    </xf>
    <xf numFmtId="0" fontId="8" fillId="0" borderId="13" xfId="59" applyFont="1" applyBorder="1" applyAlignment="1">
      <alignment vertical="center"/>
    </xf>
    <xf numFmtId="3" fontId="6" fillId="36" borderId="3" xfId="59" applyNumberFormat="1" applyFont="1" applyFill="1" applyBorder="1" applyAlignment="1">
      <alignment horizontal="center" vertical="center"/>
    </xf>
    <xf numFmtId="3" fontId="6" fillId="37" borderId="3" xfId="59" applyNumberFormat="1" applyFont="1" applyFill="1" applyBorder="1" applyAlignment="1">
      <alignment horizontal="center" vertical="center"/>
    </xf>
    <xf numFmtId="0" fontId="6" fillId="3" borderId="4" xfId="59" applyFont="1" applyFill="1" applyBorder="1" applyAlignment="1">
      <alignment horizontal="right" vertical="center"/>
    </xf>
    <xf numFmtId="0" fontId="6" fillId="38" borderId="1" xfId="59" applyFont="1" applyFill="1" applyBorder="1" applyAlignment="1">
      <alignment horizontal="right" vertical="center"/>
    </xf>
    <xf numFmtId="0" fontId="48" fillId="0" borderId="0" xfId="59" applyFont="1" applyAlignment="1">
      <alignment vertical="center"/>
    </xf>
    <xf numFmtId="3" fontId="6" fillId="0" borderId="22" xfId="59" applyNumberFormat="1" applyFont="1" applyBorder="1" applyAlignment="1">
      <alignment horizontal="right" vertical="center"/>
    </xf>
    <xf numFmtId="9" fontId="6" fillId="0" borderId="0" xfId="3" applyFont="1" applyBorder="1" applyAlignment="1">
      <alignment vertical="center"/>
    </xf>
    <xf numFmtId="3" fontId="41" fillId="0" borderId="0" xfId="59" applyNumberFormat="1" applyFont="1" applyAlignment="1">
      <alignment vertical="center"/>
    </xf>
    <xf numFmtId="3" fontId="6" fillId="0" borderId="1" xfId="59" applyNumberFormat="1" applyFont="1" applyBorder="1" applyAlignment="1">
      <alignment vertical="center"/>
    </xf>
    <xf numFmtId="3" fontId="6" fillId="36" borderId="15" xfId="59" applyNumberFormat="1" applyFont="1" applyFill="1" applyBorder="1" applyAlignment="1">
      <alignment horizontal="center" vertical="center"/>
    </xf>
    <xf numFmtId="3" fontId="6" fillId="37" borderId="15" xfId="59" applyNumberFormat="1" applyFont="1" applyFill="1" applyBorder="1" applyAlignment="1">
      <alignment horizontal="center" vertical="center"/>
    </xf>
    <xf numFmtId="0" fontId="6" fillId="4" borderId="7" xfId="59" applyFont="1" applyFill="1" applyBorder="1" applyAlignment="1">
      <alignment horizontal="right" vertical="center"/>
    </xf>
    <xf numFmtId="0" fontId="6" fillId="4" borderId="12" xfId="59" applyFont="1" applyFill="1" applyBorder="1" applyAlignment="1">
      <alignment horizontal="right" vertical="center"/>
    </xf>
    <xf numFmtId="0" fontId="6" fillId="39" borderId="1" xfId="59" applyFont="1" applyFill="1" applyBorder="1" applyAlignment="1">
      <alignment vertical="center"/>
    </xf>
    <xf numFmtId="3" fontId="6" fillId="39" borderId="1" xfId="59" applyNumberFormat="1" applyFont="1" applyFill="1" applyBorder="1" applyAlignment="1">
      <alignment horizontal="right" vertical="center"/>
    </xf>
    <xf numFmtId="9" fontId="38" fillId="0" borderId="0" xfId="66" applyFont="1" applyBorder="1" applyAlignment="1">
      <alignment vertical="center"/>
    </xf>
    <xf numFmtId="0" fontId="41" fillId="0" borderId="0" xfId="59" applyFont="1" applyAlignment="1">
      <alignment vertical="center"/>
    </xf>
    <xf numFmtId="0" fontId="6" fillId="4" borderId="4" xfId="59" applyFont="1" applyFill="1" applyBorder="1" applyAlignment="1">
      <alignment horizontal="right" vertical="center"/>
    </xf>
    <xf numFmtId="0" fontId="6" fillId="40" borderId="1" xfId="59" applyFont="1" applyFill="1" applyBorder="1" applyAlignment="1">
      <alignment horizontal="right" vertical="center"/>
    </xf>
    <xf numFmtId="181" fontId="6" fillId="0" borderId="0" xfId="3" applyNumberFormat="1" applyFont="1" applyBorder="1" applyAlignment="1">
      <alignment vertical="center"/>
    </xf>
    <xf numFmtId="181" fontId="6" fillId="0" borderId="0" xfId="3" applyNumberFormat="1" applyFont="1" applyFill="1" applyBorder="1" applyAlignment="1">
      <alignment vertical="center"/>
    </xf>
    <xf numFmtId="0" fontId="49" fillId="0" borderId="0" xfId="3" applyNumberFormat="1" applyFont="1" applyBorder="1" applyAlignment="1">
      <alignment vertical="center"/>
    </xf>
    <xf numFmtId="3" fontId="6" fillId="0" borderId="3" xfId="59" applyNumberFormat="1" applyFont="1" applyBorder="1" applyAlignment="1">
      <alignment horizontal="center" vertical="center"/>
    </xf>
    <xf numFmtId="0" fontId="6" fillId="0" borderId="1" xfId="59" applyFont="1" applyBorder="1" applyAlignment="1">
      <alignment vertical="center" wrapText="1"/>
    </xf>
    <xf numFmtId="3" fontId="6" fillId="23" borderId="1" xfId="59" applyNumberFormat="1" applyFont="1" applyFill="1" applyBorder="1" applyAlignment="1">
      <alignment horizontal="right" vertical="center"/>
    </xf>
    <xf numFmtId="0" fontId="6" fillId="13" borderId="7" xfId="59" applyFont="1" applyFill="1" applyBorder="1" applyAlignment="1">
      <alignment horizontal="right" vertical="center"/>
    </xf>
    <xf numFmtId="0" fontId="6" fillId="13" borderId="12" xfId="59" applyFont="1" applyFill="1" applyBorder="1" applyAlignment="1">
      <alignment vertical="center"/>
    </xf>
    <xf numFmtId="0" fontId="6" fillId="0" borderId="4" xfId="59" applyFont="1" applyBorder="1" applyAlignment="1">
      <alignment horizontal="right" vertical="center"/>
    </xf>
    <xf numFmtId="0" fontId="6" fillId="0" borderId="1" xfId="59" applyFont="1" applyBorder="1" applyAlignment="1">
      <alignment horizontal="right" vertical="center"/>
    </xf>
    <xf numFmtId="3" fontId="6" fillId="0" borderId="15" xfId="59" applyNumberFormat="1" applyFont="1" applyBorder="1" applyAlignment="1">
      <alignment horizontal="center" vertical="center"/>
    </xf>
    <xf numFmtId="9" fontId="6" fillId="0" borderId="1" xfId="3" applyFont="1" applyBorder="1" applyAlignment="1">
      <alignment horizontal="right" vertical="center"/>
    </xf>
    <xf numFmtId="0" fontId="6" fillId="13" borderId="4" xfId="59" applyFont="1" applyFill="1" applyBorder="1" applyAlignment="1">
      <alignment horizontal="right" vertical="center"/>
    </xf>
    <xf numFmtId="0" fontId="6" fillId="13" borderId="4" xfId="59" applyFont="1" applyFill="1" applyBorder="1" applyAlignment="1">
      <alignment vertical="center"/>
    </xf>
    <xf numFmtId="9" fontId="6" fillId="0" borderId="0" xfId="3" applyFont="1" applyBorder="1" applyAlignment="1">
      <alignment horizontal="right" vertical="center"/>
    </xf>
    <xf numFmtId="181" fontId="50" fillId="0" borderId="0" xfId="66" applyNumberFormat="1" applyFont="1" applyBorder="1" applyAlignment="1">
      <alignment vertical="center"/>
    </xf>
    <xf numFmtId="0" fontId="6" fillId="0" borderId="0" xfId="59" applyFont="1" applyAlignment="1">
      <alignment horizontal="center" vertical="center"/>
    </xf>
    <xf numFmtId="9" fontId="6" fillId="0" borderId="0" xfId="3" applyFont="1" applyBorder="1" applyAlignment="1">
      <alignment horizontal="left" vertical="center"/>
    </xf>
    <xf numFmtId="0" fontId="6" fillId="0" borderId="0" xfId="59" applyFont="1" applyAlignment="1">
      <alignment horizontal="right" vertical="center"/>
    </xf>
    <xf numFmtId="3" fontId="6" fillId="0" borderId="4" xfId="59" applyNumberFormat="1" applyFont="1" applyBorder="1" applyAlignment="1">
      <alignment horizontal="center" vertical="center"/>
    </xf>
    <xf numFmtId="0" fontId="6" fillId="13" borderId="3" xfId="59" applyFont="1" applyFill="1" applyBorder="1" applyAlignment="1">
      <alignment horizontal="right" vertical="center"/>
    </xf>
    <xf numFmtId="3" fontId="6" fillId="13" borderId="3" xfId="59" applyNumberFormat="1" applyFont="1" applyFill="1" applyBorder="1" applyAlignment="1">
      <alignment horizontal="right" vertical="center"/>
    </xf>
    <xf numFmtId="0" fontId="6" fillId="36" borderId="3" xfId="59" applyFont="1" applyFill="1" applyBorder="1" applyAlignment="1">
      <alignment horizontal="right" vertical="center"/>
    </xf>
    <xf numFmtId="0" fontId="6" fillId="36" borderId="3" xfId="59" applyFont="1" applyFill="1" applyBorder="1" applyAlignment="1">
      <alignment vertical="center"/>
    </xf>
    <xf numFmtId="3" fontId="6" fillId="35" borderId="3" xfId="59" applyNumberFormat="1" applyFont="1" applyFill="1" applyBorder="1" applyAlignment="1">
      <alignment horizontal="center" vertical="center"/>
    </xf>
    <xf numFmtId="0" fontId="6" fillId="35" borderId="3" xfId="59" applyFont="1" applyFill="1" applyBorder="1" applyAlignment="1">
      <alignment horizontal="center" vertical="center"/>
    </xf>
    <xf numFmtId="0" fontId="41" fillId="0" borderId="0" xfId="59" applyFont="1" applyAlignment="1">
      <alignment horizontal="center" vertical="center"/>
    </xf>
    <xf numFmtId="0" fontId="6" fillId="13" borderId="15" xfId="59" applyFont="1" applyFill="1" applyBorder="1" applyAlignment="1">
      <alignment horizontal="right" vertical="center"/>
    </xf>
    <xf numFmtId="0" fontId="6" fillId="36" borderId="15" xfId="59" applyFont="1" applyFill="1" applyBorder="1" applyAlignment="1">
      <alignment horizontal="right" vertical="center"/>
    </xf>
    <xf numFmtId="3" fontId="6" fillId="36" borderId="1" xfId="59" applyNumberFormat="1" applyFont="1" applyFill="1" applyBorder="1" applyAlignment="1">
      <alignment horizontal="right" vertical="center"/>
    </xf>
    <xf numFmtId="0" fontId="6" fillId="35" borderId="15" xfId="59" applyFont="1" applyFill="1" applyBorder="1" applyAlignment="1">
      <alignment horizontal="center" vertical="center"/>
    </xf>
    <xf numFmtId="0" fontId="51" fillId="40" borderId="0" xfId="59" applyFont="1" applyFill="1" applyAlignment="1">
      <alignment horizontal="center" vertical="center"/>
    </xf>
    <xf numFmtId="0" fontId="6" fillId="40" borderId="15" xfId="59" applyFont="1" applyFill="1" applyBorder="1" applyAlignment="1">
      <alignment horizontal="center" vertical="center"/>
    </xf>
    <xf numFmtId="9" fontId="6" fillId="0" borderId="0" xfId="66" applyFont="1" applyBorder="1" applyAlignment="1">
      <alignment horizontal="center" vertical="center"/>
    </xf>
    <xf numFmtId="0" fontId="6" fillId="36" borderId="1" xfId="59" applyFont="1" applyFill="1" applyBorder="1" applyAlignment="1">
      <alignment horizontal="right" vertical="center"/>
    </xf>
    <xf numFmtId="0" fontId="9" fillId="0" borderId="0" xfId="59" applyFont="1" applyAlignment="1">
      <alignment horizontal="center" vertical="center"/>
    </xf>
    <xf numFmtId="3" fontId="6" fillId="36" borderId="4" xfId="59" applyNumberFormat="1" applyFont="1" applyFill="1" applyBorder="1" applyAlignment="1">
      <alignment horizontal="center" vertical="center"/>
    </xf>
    <xf numFmtId="3" fontId="6" fillId="37" borderId="4" xfId="59" applyNumberFormat="1" applyFont="1" applyFill="1" applyBorder="1" applyAlignment="1">
      <alignment horizontal="center" vertical="center"/>
    </xf>
    <xf numFmtId="0" fontId="6" fillId="35" borderId="4" xfId="59" applyFont="1" applyFill="1" applyBorder="1" applyAlignment="1">
      <alignment horizontal="center" vertical="center"/>
    </xf>
    <xf numFmtId="0" fontId="6" fillId="36" borderId="4" xfId="59" applyFont="1" applyFill="1" applyBorder="1" applyAlignment="1">
      <alignment horizontal="right" vertical="center"/>
    </xf>
    <xf numFmtId="0" fontId="6" fillId="40" borderId="4" xfId="59" applyFont="1" applyFill="1" applyBorder="1" applyAlignment="1">
      <alignment horizontal="center" vertical="center"/>
    </xf>
    <xf numFmtId="0" fontId="6" fillId="2" borderId="0" xfId="59" applyFont="1" applyFill="1" applyAlignment="1">
      <alignment vertical="center"/>
    </xf>
    <xf numFmtId="0" fontId="6" fillId="41" borderId="2" xfId="0" applyFont="1" applyFill="1" applyBorder="1" applyAlignment="1">
      <alignment horizontal="center" vertical="center"/>
    </xf>
    <xf numFmtId="0" fontId="6" fillId="22" borderId="1" xfId="59" applyFont="1" applyFill="1" applyBorder="1" applyAlignment="1">
      <alignment horizontal="center" vertical="center"/>
    </xf>
    <xf numFmtId="0" fontId="6" fillId="42" borderId="1" xfId="59" applyFont="1" applyFill="1" applyBorder="1" applyAlignment="1">
      <alignment horizontal="center" vertical="center"/>
    </xf>
    <xf numFmtId="0" fontId="14" fillId="0" borderId="0" xfId="59" applyFont="1" applyAlignment="1">
      <alignment horizontal="center" vertical="center"/>
    </xf>
    <xf numFmtId="0" fontId="14" fillId="0" borderId="0" xfId="59" applyFont="1" applyAlignment="1">
      <alignment vertical="center"/>
    </xf>
    <xf numFmtId="16" fontId="14" fillId="0" borderId="0" xfId="59" applyNumberFormat="1" applyFont="1" applyAlignment="1">
      <alignment horizontal="center" vertical="center"/>
    </xf>
    <xf numFmtId="0" fontId="52" fillId="0" borderId="0" xfId="59" applyFont="1" applyAlignment="1">
      <alignment horizontal="center" vertical="center"/>
    </xf>
    <xf numFmtId="0" fontId="14" fillId="0" borderId="0" xfId="59" applyFont="1" applyAlignment="1">
      <alignment horizontal="right" vertical="center"/>
    </xf>
    <xf numFmtId="9" fontId="6" fillId="0" borderId="0" xfId="3" applyFont="1" applyAlignment="1">
      <alignment vertical="center"/>
    </xf>
    <xf numFmtId="0" fontId="6" fillId="0" borderId="0" xfId="3" applyNumberFormat="1" applyFont="1" applyAlignment="1">
      <alignment vertical="center"/>
    </xf>
    <xf numFmtId="0" fontId="6" fillId="0" borderId="0" xfId="3" applyNumberFormat="1" applyFont="1" applyFill="1" applyAlignment="1">
      <alignment vertical="center"/>
    </xf>
    <xf numFmtId="0" fontId="6" fillId="0" borderId="10" xfId="59" applyFont="1" applyBorder="1" applyAlignment="1">
      <alignment vertical="center"/>
    </xf>
    <xf numFmtId="0" fontId="6" fillId="0" borderId="17" xfId="59" applyFont="1" applyBorder="1" applyAlignment="1">
      <alignment horizontal="center" vertical="center"/>
    </xf>
    <xf numFmtId="0" fontId="14" fillId="0" borderId="17" xfId="59" applyFont="1" applyBorder="1" applyAlignment="1">
      <alignment horizontal="center" vertical="center"/>
    </xf>
    <xf numFmtId="0" fontId="53" fillId="0" borderId="17" xfId="59" applyFont="1" applyBorder="1" applyAlignment="1">
      <alignment horizontal="right" vertical="center"/>
    </xf>
    <xf numFmtId="0" fontId="9" fillId="0" borderId="17" xfId="59" applyFont="1" applyBorder="1" applyAlignment="1">
      <alignment horizontal="right" vertical="center"/>
    </xf>
    <xf numFmtId="0" fontId="53" fillId="0" borderId="17" xfId="59" applyFont="1" applyBorder="1" applyAlignment="1">
      <alignment horizontal="center" vertical="center"/>
    </xf>
    <xf numFmtId="0" fontId="6" fillId="0" borderId="18" xfId="59" applyFont="1" applyBorder="1" applyAlignment="1">
      <alignment vertical="center"/>
    </xf>
    <xf numFmtId="9" fontId="9" fillId="0" borderId="0" xfId="59" applyNumberFormat="1" applyFont="1" applyAlignment="1">
      <alignment horizontal="center" vertical="center"/>
    </xf>
    <xf numFmtId="0" fontId="46" fillId="0" borderId="6" xfId="59" applyFont="1" applyBorder="1" applyAlignment="1">
      <alignment vertical="center"/>
    </xf>
    <xf numFmtId="0" fontId="9" fillId="0" borderId="6" xfId="59" applyFont="1" applyBorder="1" applyAlignment="1">
      <alignment vertical="center"/>
    </xf>
    <xf numFmtId="0" fontId="54" fillId="24" borderId="0" xfId="59" applyFont="1" applyFill="1" applyAlignment="1">
      <alignment vertical="center"/>
    </xf>
    <xf numFmtId="180" fontId="54" fillId="24" borderId="0" xfId="1" applyNumberFormat="1" applyFont="1" applyFill="1" applyBorder="1" applyAlignment="1">
      <alignment vertical="center"/>
    </xf>
    <xf numFmtId="0" fontId="54" fillId="24" borderId="0" xfId="59" applyFont="1" applyFill="1" applyAlignment="1">
      <alignment vertical="center" wrapText="1"/>
    </xf>
    <xf numFmtId="0" fontId="54" fillId="0" borderId="0" xfId="59" applyFont="1" applyAlignment="1">
      <alignment vertical="center"/>
    </xf>
    <xf numFmtId="180" fontId="54" fillId="5" borderId="1" xfId="1" applyNumberFormat="1" applyFont="1" applyFill="1" applyBorder="1" applyAlignment="1">
      <alignment horizontal="left" vertical="center"/>
    </xf>
    <xf numFmtId="180" fontId="54" fillId="5" borderId="34" xfId="1" applyNumberFormat="1" applyFont="1" applyFill="1" applyBorder="1" applyAlignment="1">
      <alignment horizontal="left" vertical="center"/>
    </xf>
    <xf numFmtId="0" fontId="55" fillId="0" borderId="0" xfId="59" applyFont="1" applyAlignment="1">
      <alignment vertical="center"/>
    </xf>
    <xf numFmtId="0" fontId="54" fillId="6" borderId="1" xfId="59" applyFont="1" applyFill="1" applyBorder="1" applyAlignment="1">
      <alignment horizontal="left" vertical="center"/>
    </xf>
    <xf numFmtId="0" fontId="54" fillId="6" borderId="34" xfId="59" applyFont="1" applyFill="1" applyBorder="1" applyAlignment="1">
      <alignment horizontal="left" vertical="center"/>
    </xf>
    <xf numFmtId="0" fontId="56" fillId="43" borderId="1" xfId="59" applyFont="1" applyFill="1" applyBorder="1" applyAlignment="1">
      <alignment horizontal="center" vertical="center"/>
    </xf>
    <xf numFmtId="0" fontId="56" fillId="42" borderId="3" xfId="59" applyFont="1" applyFill="1" applyBorder="1" applyAlignment="1">
      <alignment horizontal="center" vertical="center"/>
    </xf>
    <xf numFmtId="0" fontId="56" fillId="9" borderId="12" xfId="59" applyFont="1" applyFill="1" applyBorder="1" applyAlignment="1">
      <alignment horizontal="center" vertical="center"/>
    </xf>
    <xf numFmtId="0" fontId="56" fillId="9" borderId="1" xfId="59" applyFont="1" applyFill="1" applyBorder="1" applyAlignment="1">
      <alignment horizontal="center" vertical="center"/>
    </xf>
    <xf numFmtId="0" fontId="57" fillId="20" borderId="35" xfId="59" applyFont="1" applyFill="1" applyBorder="1" applyAlignment="1">
      <alignment horizontal="center" vertical="center"/>
    </xf>
    <xf numFmtId="3" fontId="6" fillId="20" borderId="35" xfId="59" applyNumberFormat="1" applyFont="1" applyFill="1" applyBorder="1" applyAlignment="1">
      <alignment horizontal="center" vertical="center"/>
    </xf>
    <xf numFmtId="0" fontId="6" fillId="20" borderId="36" xfId="59" applyFont="1" applyFill="1" applyBorder="1" applyAlignment="1">
      <alignment horizontal="center" vertical="center" wrapText="1"/>
    </xf>
    <xf numFmtId="0" fontId="6" fillId="20" borderId="35" xfId="59" applyFont="1" applyFill="1" applyBorder="1" applyAlignment="1">
      <alignment horizontal="center" vertical="center" wrapText="1"/>
    </xf>
    <xf numFmtId="0" fontId="6" fillId="20" borderId="37" xfId="59" applyFont="1" applyFill="1" applyBorder="1" applyAlignment="1">
      <alignment horizontal="center" vertical="center" wrapText="1"/>
    </xf>
    <xf numFmtId="0" fontId="54" fillId="0" borderId="7" xfId="59" applyFont="1" applyBorder="1" applyAlignment="1">
      <alignment horizontal="left" vertical="center"/>
    </xf>
    <xf numFmtId="0" fontId="54" fillId="0" borderId="8" xfId="59" applyFont="1" applyBorder="1" applyAlignment="1">
      <alignment horizontal="left" vertical="center"/>
    </xf>
    <xf numFmtId="0" fontId="7" fillId="0" borderId="3" xfId="59" applyFont="1" applyBorder="1" applyAlignment="1">
      <alignment horizontal="center" vertical="center"/>
    </xf>
    <xf numFmtId="0" fontId="7" fillId="34" borderId="9" xfId="59" applyFont="1" applyFill="1" applyBorder="1" applyAlignment="1">
      <alignment horizontal="center" vertical="center"/>
    </xf>
    <xf numFmtId="0" fontId="7" fillId="34" borderId="11" xfId="59" applyFont="1" applyFill="1" applyBorder="1" applyAlignment="1">
      <alignment horizontal="center" vertical="center"/>
    </xf>
    <xf numFmtId="0" fontId="7" fillId="34" borderId="12" xfId="59" applyFont="1" applyFill="1" applyBorder="1" applyAlignment="1">
      <alignment horizontal="center" vertical="center"/>
    </xf>
    <xf numFmtId="0" fontId="57" fillId="20" borderId="38" xfId="59" applyFont="1" applyFill="1" applyBorder="1" applyAlignment="1">
      <alignment horizontal="center" vertical="center"/>
    </xf>
    <xf numFmtId="3" fontId="6" fillId="20" borderId="38" xfId="59" applyNumberFormat="1" applyFont="1" applyFill="1" applyBorder="1" applyAlignment="1">
      <alignment horizontal="center" vertical="center"/>
    </xf>
    <xf numFmtId="0" fontId="6" fillId="20" borderId="39" xfId="59" applyFont="1" applyFill="1" applyBorder="1" applyAlignment="1">
      <alignment horizontal="center" vertical="center" wrapText="1"/>
    </xf>
    <xf numFmtId="0" fontId="6" fillId="20" borderId="38" xfId="59" applyFont="1" applyFill="1" applyBorder="1" applyAlignment="1">
      <alignment horizontal="center" vertical="center" wrapText="1"/>
    </xf>
    <xf numFmtId="0" fontId="6" fillId="20" borderId="40" xfId="59" applyFont="1" applyFill="1" applyBorder="1" applyAlignment="1">
      <alignment horizontal="center" vertical="center" wrapText="1"/>
    </xf>
    <xf numFmtId="0" fontId="54" fillId="0" borderId="10" xfId="59" applyFont="1" applyBorder="1" applyAlignment="1">
      <alignment horizontal="left" vertical="center"/>
    </xf>
    <xf numFmtId="0" fontId="54" fillId="0" borderId="18" xfId="59" applyFont="1" applyBorder="1" applyAlignment="1">
      <alignment horizontal="left" vertical="center"/>
    </xf>
    <xf numFmtId="0" fontId="7" fillId="0" borderId="4" xfId="59" applyFont="1" applyBorder="1" applyAlignment="1">
      <alignment horizontal="center" vertical="center"/>
    </xf>
    <xf numFmtId="0" fontId="57" fillId="20" borderId="41" xfId="59" applyFont="1" applyFill="1" applyBorder="1" applyAlignment="1">
      <alignment horizontal="center" vertical="center"/>
    </xf>
    <xf numFmtId="0" fontId="6" fillId="20" borderId="42" xfId="59" applyFont="1" applyFill="1" applyBorder="1" applyAlignment="1">
      <alignment horizontal="center" vertical="center" wrapText="1"/>
    </xf>
    <xf numFmtId="0" fontId="6" fillId="20" borderId="43" xfId="59" applyFont="1" applyFill="1" applyBorder="1" applyAlignment="1">
      <alignment horizontal="center" vertical="center" wrapText="1"/>
    </xf>
    <xf numFmtId="0" fontId="6" fillId="20" borderId="44" xfId="59" applyFont="1" applyFill="1" applyBorder="1" applyAlignment="1">
      <alignment horizontal="center" vertical="center" wrapText="1"/>
    </xf>
    <xf numFmtId="0" fontId="54" fillId="44" borderId="9" xfId="59" applyFont="1" applyFill="1" applyBorder="1" applyAlignment="1">
      <alignment vertical="center"/>
    </xf>
    <xf numFmtId="0" fontId="54" fillId="44" borderId="11" xfId="59" applyFont="1" applyFill="1" applyBorder="1" applyAlignment="1">
      <alignment vertical="center"/>
    </xf>
    <xf numFmtId="0" fontId="54" fillId="45" borderId="1" xfId="59" applyFont="1" applyFill="1" applyBorder="1" applyAlignment="1">
      <alignment vertical="center"/>
    </xf>
    <xf numFmtId="0" fontId="7" fillId="5" borderId="1" xfId="59" applyFont="1" applyFill="1" applyBorder="1" applyAlignment="1">
      <alignment horizontal="center" vertical="center"/>
    </xf>
    <xf numFmtId="0" fontId="6" fillId="5" borderId="12" xfId="59" applyFont="1" applyFill="1" applyBorder="1" applyAlignment="1">
      <alignment horizontal="center" vertical="center"/>
    </xf>
    <xf numFmtId="0" fontId="6" fillId="5" borderId="1" xfId="59" applyFont="1" applyFill="1" applyBorder="1" applyAlignment="1">
      <alignment horizontal="center" vertical="center"/>
    </xf>
    <xf numFmtId="0" fontId="6" fillId="0" borderId="9" xfId="3" applyNumberFormat="1" applyFont="1" applyBorder="1" applyAlignment="1">
      <alignment horizontal="center" vertical="center"/>
    </xf>
    <xf numFmtId="3" fontId="6" fillId="0" borderId="45" xfId="3" applyNumberFormat="1" applyFont="1" applyBorder="1" applyAlignment="1">
      <alignment horizontal="center" vertical="center"/>
    </xf>
    <xf numFmtId="9" fontId="6" fillId="0" borderId="12" xfId="3" applyFont="1" applyBorder="1" applyAlignment="1">
      <alignment horizontal="center" vertical="center"/>
    </xf>
    <xf numFmtId="0" fontId="54" fillId="6" borderId="9" xfId="59" applyFont="1" applyFill="1" applyBorder="1" applyAlignment="1">
      <alignment vertical="center"/>
    </xf>
    <xf numFmtId="0" fontId="54" fillId="6" borderId="11" xfId="59" applyFont="1" applyFill="1" applyBorder="1" applyAlignment="1">
      <alignment vertical="center"/>
    </xf>
    <xf numFmtId="182" fontId="7" fillId="6" borderId="1" xfId="59" applyNumberFormat="1" applyFont="1" applyFill="1" applyBorder="1" applyAlignment="1">
      <alignment horizontal="center" vertical="center"/>
    </xf>
    <xf numFmtId="182" fontId="6" fillId="6" borderId="12" xfId="59" applyNumberFormat="1" applyFont="1" applyFill="1" applyBorder="1" applyAlignment="1">
      <alignment horizontal="center" vertical="center"/>
    </xf>
    <xf numFmtId="182" fontId="6" fillId="6" borderId="1" xfId="59" applyNumberFormat="1" applyFont="1" applyFill="1" applyBorder="1" applyAlignment="1">
      <alignment horizontal="center" vertical="center"/>
    </xf>
    <xf numFmtId="182" fontId="6" fillId="0" borderId="0" xfId="59" applyNumberFormat="1" applyFont="1" applyAlignment="1">
      <alignment vertical="center"/>
    </xf>
    <xf numFmtId="182" fontId="54" fillId="0" borderId="0" xfId="59" applyNumberFormat="1" applyFont="1" applyAlignment="1">
      <alignment vertical="center"/>
    </xf>
    <xf numFmtId="0" fontId="57" fillId="46" borderId="46" xfId="59" applyFont="1" applyFill="1" applyBorder="1" applyAlignment="1">
      <alignment horizontal="center" vertical="center"/>
    </xf>
    <xf numFmtId="3" fontId="6" fillId="11" borderId="46" xfId="59" applyNumberFormat="1" applyFont="1" applyFill="1" applyBorder="1" applyAlignment="1">
      <alignment horizontal="center" vertical="center"/>
    </xf>
    <xf numFmtId="0" fontId="54" fillId="0" borderId="9" xfId="59" applyFont="1" applyBorder="1" applyAlignment="1">
      <alignment vertical="center"/>
    </xf>
    <xf numFmtId="0" fontId="54" fillId="0" borderId="11" xfId="59" applyFont="1" applyBorder="1" applyAlignment="1">
      <alignment vertical="center"/>
    </xf>
    <xf numFmtId="0" fontId="6" fillId="43" borderId="7" xfId="59" applyFont="1" applyFill="1" applyBorder="1" applyAlignment="1">
      <alignment horizontal="center" vertical="center" wrapText="1"/>
    </xf>
    <xf numFmtId="0" fontId="6" fillId="43" borderId="12" xfId="59" applyFont="1" applyFill="1" applyBorder="1" applyAlignment="1">
      <alignment horizontal="center" vertical="center" wrapText="1"/>
    </xf>
    <xf numFmtId="0" fontId="57" fillId="46" borderId="47" xfId="59" applyFont="1" applyFill="1" applyBorder="1" applyAlignment="1">
      <alignment horizontal="center" vertical="center"/>
    </xf>
    <xf numFmtId="3" fontId="6" fillId="11" borderId="47" xfId="59" applyNumberFormat="1" applyFont="1" applyFill="1" applyBorder="1" applyAlignment="1">
      <alignment horizontal="center" vertical="center"/>
    </xf>
    <xf numFmtId="0" fontId="6" fillId="44" borderId="1" xfId="59" applyFont="1" applyFill="1" applyBorder="1" applyAlignment="1">
      <alignment horizontal="center" vertical="center"/>
    </xf>
    <xf numFmtId="0" fontId="6" fillId="43" borderId="4" xfId="59" applyFont="1" applyFill="1" applyBorder="1" applyAlignment="1">
      <alignment horizontal="center" vertical="center" wrapText="1"/>
    </xf>
    <xf numFmtId="0" fontId="6" fillId="20" borderId="1" xfId="59" applyFont="1" applyFill="1" applyBorder="1" applyAlignment="1">
      <alignment horizontal="center" vertical="center" wrapText="1"/>
    </xf>
    <xf numFmtId="9" fontId="6" fillId="6" borderId="1" xfId="59" applyNumberFormat="1" applyFont="1" applyFill="1" applyBorder="1" applyAlignment="1">
      <alignment horizontal="center" vertical="center"/>
    </xf>
    <xf numFmtId="9" fontId="6" fillId="0" borderId="1" xfId="3" applyFont="1" applyBorder="1" applyAlignment="1">
      <alignment horizontal="center" vertical="center"/>
    </xf>
    <xf numFmtId="0" fontId="54" fillId="0" borderId="6" xfId="59" applyFont="1" applyBorder="1" applyAlignment="1">
      <alignment vertical="center"/>
    </xf>
    <xf numFmtId="0" fontId="7" fillId="0" borderId="6" xfId="59" applyFont="1" applyBorder="1" applyAlignment="1">
      <alignment horizontal="center" vertical="center"/>
    </xf>
    <xf numFmtId="0" fontId="7" fillId="34" borderId="48" xfId="59" applyFont="1" applyFill="1" applyBorder="1" applyAlignment="1">
      <alignment horizontal="center" vertical="center"/>
    </xf>
    <xf numFmtId="0" fontId="7" fillId="34" borderId="49" xfId="59" applyFont="1" applyFill="1" applyBorder="1" applyAlignment="1">
      <alignment horizontal="center" vertical="center"/>
    </xf>
    <xf numFmtId="0" fontId="7" fillId="34" borderId="50" xfId="59" applyFont="1" applyFill="1" applyBorder="1" applyAlignment="1">
      <alignment horizontal="center" vertical="center"/>
    </xf>
    <xf numFmtId="0" fontId="7" fillId="34" borderId="51" xfId="59" applyFont="1" applyFill="1" applyBorder="1" applyAlignment="1">
      <alignment horizontal="center" vertical="center"/>
    </xf>
    <xf numFmtId="0" fontId="7" fillId="34" borderId="52" xfId="59" applyFont="1" applyFill="1" applyBorder="1" applyAlignment="1">
      <alignment horizontal="center" vertical="center"/>
    </xf>
    <xf numFmtId="0" fontId="7" fillId="0" borderId="17" xfId="59" applyFont="1" applyBorder="1" applyAlignment="1">
      <alignment horizontal="center" vertical="center"/>
    </xf>
    <xf numFmtId="0" fontId="7" fillId="0" borderId="53" xfId="59" applyFont="1" applyBorder="1" applyAlignment="1">
      <alignment horizontal="center" vertical="center"/>
    </xf>
    <xf numFmtId="0" fontId="7" fillId="0" borderId="54" xfId="59" applyFont="1" applyBorder="1" applyAlignment="1">
      <alignment horizontal="center" vertical="center"/>
    </xf>
    <xf numFmtId="0" fontId="6" fillId="0" borderId="53" xfId="59" applyFont="1" applyBorder="1" applyAlignment="1">
      <alignment horizontal="center" vertical="center"/>
    </xf>
    <xf numFmtId="0" fontId="6" fillId="0" borderId="42" xfId="59" applyFont="1" applyBorder="1" applyAlignment="1">
      <alignment horizontal="center" vertical="center"/>
    </xf>
    <xf numFmtId="0" fontId="57" fillId="46" borderId="55" xfId="59" applyFont="1" applyFill="1" applyBorder="1" applyAlignment="1">
      <alignment horizontal="center" vertical="center"/>
    </xf>
    <xf numFmtId="0" fontId="54" fillId="45" borderId="34" xfId="59" applyFont="1" applyFill="1" applyBorder="1" applyAlignment="1">
      <alignment vertical="center"/>
    </xf>
    <xf numFmtId="0" fontId="7" fillId="5" borderId="56" xfId="59" applyFont="1" applyFill="1" applyBorder="1" applyAlignment="1">
      <alignment horizontal="center" vertical="center"/>
    </xf>
    <xf numFmtId="0" fontId="7" fillId="5" borderId="34" xfId="59" applyFont="1" applyFill="1" applyBorder="1" applyAlignment="1">
      <alignment horizontal="center" vertical="center"/>
    </xf>
    <xf numFmtId="0" fontId="6" fillId="5" borderId="57" xfId="59" applyFont="1" applyFill="1" applyBorder="1" applyAlignment="1">
      <alignment horizontal="center" vertical="center"/>
    </xf>
    <xf numFmtId="182" fontId="6" fillId="6" borderId="58" xfId="59" applyNumberFormat="1" applyFont="1" applyFill="1" applyBorder="1" applyAlignment="1">
      <alignment horizontal="center" vertical="center"/>
    </xf>
    <xf numFmtId="182" fontId="6" fillId="6" borderId="59" xfId="59" applyNumberFormat="1" applyFont="1" applyFill="1" applyBorder="1" applyAlignment="1">
      <alignment horizontal="center" vertical="center"/>
    </xf>
    <xf numFmtId="182" fontId="6" fillId="6" borderId="60" xfId="59" applyNumberFormat="1" applyFont="1" applyFill="1" applyBorder="1" applyAlignment="1">
      <alignment horizontal="center" vertical="center"/>
    </xf>
    <xf numFmtId="182" fontId="6" fillId="6" borderId="61" xfId="59" applyNumberFormat="1" applyFont="1" applyFill="1" applyBorder="1" applyAlignment="1">
      <alignment horizontal="center" vertical="center"/>
    </xf>
    <xf numFmtId="182" fontId="6" fillId="6" borderId="62" xfId="59" applyNumberFormat="1" applyFont="1" applyFill="1" applyBorder="1" applyAlignment="1">
      <alignment horizontal="center" vertical="center"/>
    </xf>
    <xf numFmtId="0" fontId="6" fillId="0" borderId="6" xfId="59" applyFont="1" applyBorder="1" applyAlignment="1">
      <alignment horizontal="center" vertical="center"/>
    </xf>
    <xf numFmtId="0" fontId="9" fillId="0" borderId="0" xfId="59" applyFont="1" applyAlignment="1">
      <alignment vertical="center"/>
    </xf>
    <xf numFmtId="1" fontId="6" fillId="0" borderId="0" xfId="59" applyNumberFormat="1" applyFont="1" applyAlignment="1">
      <alignment horizontal="center" vertical="center"/>
    </xf>
    <xf numFmtId="0" fontId="6" fillId="38" borderId="1" xfId="59" applyFont="1" applyFill="1" applyBorder="1" applyAlignment="1">
      <alignment horizontal="center" vertical="center"/>
    </xf>
    <xf numFmtId="0" fontId="58" fillId="0" borderId="0" xfId="59" applyFont="1" applyAlignment="1">
      <alignment horizontal="right" vertical="center"/>
    </xf>
    <xf numFmtId="0" fontId="49" fillId="0" borderId="0" xfId="59" applyFont="1" applyAlignment="1">
      <alignment horizontal="left" vertical="center"/>
    </xf>
    <xf numFmtId="0" fontId="6" fillId="40" borderId="1" xfId="59" applyFont="1" applyFill="1" applyBorder="1" applyAlignment="1">
      <alignment horizontal="center" vertical="center"/>
    </xf>
    <xf numFmtId="0" fontId="59" fillId="0" borderId="0" xfId="59" applyFont="1" applyAlignment="1">
      <alignment vertical="center"/>
    </xf>
    <xf numFmtId="3" fontId="6" fillId="40" borderId="0" xfId="59" applyNumberFormat="1" applyFont="1" applyFill="1" applyAlignment="1">
      <alignment horizontal="center" vertical="center"/>
    </xf>
    <xf numFmtId="180" fontId="6" fillId="0" borderId="0" xfId="1" applyNumberFormat="1" applyFont="1" applyFill="1" applyBorder="1" applyAlignment="1">
      <alignment horizontal="center" vertical="center"/>
    </xf>
    <xf numFmtId="0" fontId="60" fillId="47" borderId="0" xfId="59" applyFont="1" applyFill="1" applyAlignment="1">
      <alignment horizontal="center" vertical="center"/>
    </xf>
    <xf numFmtId="180" fontId="6" fillId="0" borderId="0" xfId="1" applyNumberFormat="1" applyFont="1" applyFill="1" applyBorder="1" applyAlignment="1">
      <alignment vertical="center"/>
    </xf>
    <xf numFmtId="0" fontId="51" fillId="48" borderId="17" xfId="59" applyFont="1" applyFill="1" applyBorder="1" applyAlignment="1">
      <alignment horizontal="center" vertical="center"/>
    </xf>
    <xf numFmtId="0" fontId="56" fillId="0" borderId="17" xfId="59" applyFont="1" applyBorder="1" applyAlignment="1">
      <alignment vertical="center"/>
    </xf>
    <xf numFmtId="0" fontId="54" fillId="0" borderId="17" xfId="59" applyFont="1" applyBorder="1" applyAlignment="1">
      <alignment horizontal="center" vertical="center"/>
    </xf>
    <xf numFmtId="3" fontId="6" fillId="40" borderId="17" xfId="59" applyNumberFormat="1" applyFont="1" applyFill="1" applyBorder="1" applyAlignment="1">
      <alignment horizontal="center" vertical="center"/>
    </xf>
    <xf numFmtId="0" fontId="14" fillId="0" borderId="6" xfId="59" applyFont="1" applyBorder="1" applyAlignment="1">
      <alignment horizontal="center" vertical="center"/>
    </xf>
    <xf numFmtId="0" fontId="6" fillId="13" borderId="1" xfId="59" applyFont="1" applyFill="1" applyBorder="1" applyAlignment="1">
      <alignment horizontal="center" vertical="center"/>
    </xf>
    <xf numFmtId="0" fontId="6" fillId="0" borderId="16" xfId="59" applyFont="1" applyBorder="1" applyAlignment="1">
      <alignment horizontal="left" vertical="center"/>
    </xf>
    <xf numFmtId="0" fontId="6" fillId="0" borderId="0" xfId="59" applyFont="1" applyAlignment="1">
      <alignment horizontal="left" vertical="center"/>
    </xf>
    <xf numFmtId="0" fontId="6" fillId="0" borderId="7" xfId="59" applyFont="1" applyBorder="1" applyAlignment="1">
      <alignment horizontal="left" vertical="center"/>
    </xf>
    <xf numFmtId="9" fontId="6" fillId="24" borderId="1" xfId="3" applyFont="1" applyFill="1" applyBorder="1" applyAlignment="1">
      <alignment horizontal="center" vertical="center"/>
    </xf>
    <xf numFmtId="0" fontId="14" fillId="0" borderId="11" xfId="59" applyFont="1" applyBorder="1" applyAlignment="1">
      <alignment horizontal="center" vertical="top" wrapText="1"/>
    </xf>
    <xf numFmtId="0" fontId="6" fillId="0" borderId="11" xfId="59" applyFont="1" applyBorder="1" applyAlignment="1">
      <alignment horizontal="center" vertical="center"/>
    </xf>
    <xf numFmtId="180" fontId="54" fillId="24" borderId="17" xfId="1" applyNumberFormat="1" applyFont="1" applyFill="1" applyBorder="1" applyAlignment="1">
      <alignment vertical="center"/>
    </xf>
    <xf numFmtId="0" fontId="54" fillId="24" borderId="17" xfId="59" applyFont="1" applyFill="1" applyBorder="1" applyAlignment="1">
      <alignment vertical="center" wrapText="1"/>
    </xf>
    <xf numFmtId="0" fontId="54" fillId="0" borderId="17" xfId="59" applyFont="1" applyBorder="1" applyAlignment="1">
      <alignment vertical="center"/>
    </xf>
    <xf numFmtId="0" fontId="54" fillId="0" borderId="1" xfId="59" applyFont="1" applyBorder="1" applyAlignment="1">
      <alignment horizontal="left" vertical="center"/>
    </xf>
    <xf numFmtId="0" fontId="54" fillId="0" borderId="34" xfId="59" applyFont="1" applyBorder="1" applyAlignment="1">
      <alignment horizontal="left" vertical="center"/>
    </xf>
    <xf numFmtId="0" fontId="6" fillId="39" borderId="0" xfId="59" applyFont="1" applyFill="1" applyAlignment="1">
      <alignment horizontal="center" vertical="center"/>
    </xf>
    <xf numFmtId="0" fontId="6" fillId="39" borderId="0" xfId="59" applyFont="1" applyFill="1" applyAlignment="1">
      <alignment vertical="center"/>
    </xf>
    <xf numFmtId="0" fontId="10" fillId="0" borderId="1" xfId="59" applyFont="1" applyFill="1" applyBorder="1" applyAlignment="1">
      <alignment horizontal="center" vertical="center"/>
    </xf>
    <xf numFmtId="9" fontId="8" fillId="13" borderId="1" xfId="3" applyFont="1" applyFill="1" applyBorder="1" applyAlignment="1">
      <alignment vertical="center"/>
    </xf>
    <xf numFmtId="9" fontId="8" fillId="13" borderId="1" xfId="3" applyNumberFormat="1" applyFont="1" applyFill="1" applyBorder="1" applyAlignment="1">
      <alignment vertical="center"/>
    </xf>
    <xf numFmtId="9" fontId="8" fillId="17" borderId="2" xfId="0" applyNumberFormat="1" applyFont="1" applyFill="1" applyBorder="1" applyAlignment="1">
      <alignment vertical="center"/>
    </xf>
    <xf numFmtId="0" fontId="8" fillId="13" borderId="1" xfId="59" applyFont="1" applyFill="1" applyBorder="1" applyAlignment="1">
      <alignment vertical="center"/>
    </xf>
    <xf numFmtId="9" fontId="8" fillId="13" borderId="1" xfId="59" applyNumberFormat="1" applyFont="1" applyFill="1" applyBorder="1" applyAlignment="1">
      <alignment vertical="center"/>
    </xf>
    <xf numFmtId="1" fontId="7" fillId="0" borderId="0" xfId="59" applyNumberFormat="1" applyFont="1" applyAlignment="1">
      <alignment vertical="center"/>
    </xf>
    <xf numFmtId="9" fontId="7" fillId="0" borderId="0" xfId="59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vertical="center"/>
    </xf>
    <xf numFmtId="0" fontId="14" fillId="13" borderId="1" xfId="0" applyFont="1" applyFill="1" applyBorder="1" applyAlignment="1">
      <alignment horizontal="center" vertical="center" wrapText="1"/>
    </xf>
    <xf numFmtId="58" fontId="14" fillId="13" borderId="1" xfId="0" applyNumberFormat="1" applyFont="1" applyFill="1" applyBorder="1" applyAlignment="1">
      <alignment horizontal="center" vertical="center" wrapText="1"/>
    </xf>
    <xf numFmtId="0" fontId="38" fillId="0" borderId="0" xfId="0" applyFont="1" applyAlignment="1" quotePrefix="1">
      <alignment horizontal="center" vertical="center"/>
    </xf>
    <xf numFmtId="0" fontId="6" fillId="0" borderId="0" xfId="59" applyFont="1" applyAlignment="1" quotePrefix="1">
      <alignment vertical="center"/>
    </xf>
    <xf numFmtId="16" fontId="14" fillId="0" borderId="0" xfId="59" applyNumberFormat="1" applyFont="1" applyAlignment="1" quotePrefix="1">
      <alignment horizontal="center" vertical="center"/>
    </xf>
    <xf numFmtId="0" fontId="14" fillId="0" borderId="0" xfId="59" applyFont="1" applyAlignment="1" quotePrefix="1">
      <alignment horizontal="center" vertical="center"/>
    </xf>
    <xf numFmtId="16" fontId="0" fillId="13" borderId="1" xfId="0" applyNumberFormat="1" applyFill="1" applyBorder="1" applyAlignment="1" quotePrefix="1">
      <alignment horizontal="center" vertical="center"/>
    </xf>
    <xf numFmtId="0" fontId="0" fillId="13" borderId="1" xfId="0" applyFill="1" applyBorder="1" applyAlignment="1" quotePrefix="1">
      <alignment horizontal="center" vertical="center"/>
    </xf>
    <xf numFmtId="0" fontId="6" fillId="0" borderId="3" xfId="59" applyFont="1" applyBorder="1" applyAlignment="1" quotePrefix="1">
      <alignment horizontal="left" vertical="center" wrapText="1"/>
    </xf>
    <xf numFmtId="0" fontId="16" fillId="23" borderId="1" xfId="0" applyFont="1" applyFill="1" applyBorder="1" applyAlignment="1" quotePrefix="1">
      <alignment vertical="center"/>
    </xf>
    <xf numFmtId="0" fontId="16" fillId="23" borderId="1" xfId="0" applyFont="1" applyFill="1" applyBorder="1" applyAlignment="1" quotePrefix="1">
      <alignment horizontal="left" vertical="center"/>
    </xf>
    <xf numFmtId="0" fontId="16" fillId="13" borderId="1" xfId="0" applyFont="1" applyFill="1" applyBorder="1" applyAlignment="1" quotePrefix="1">
      <alignment horizontal="center" vertical="center"/>
    </xf>
    <xf numFmtId="0" fontId="22" fillId="13" borderId="1" xfId="0" applyFont="1" applyFill="1" applyBorder="1" applyAlignment="1" quotePrefix="1">
      <alignment horizontal="center" vertical="center"/>
    </xf>
    <xf numFmtId="0" fontId="17" fillId="0" borderId="1" xfId="0" applyFont="1" applyBorder="1" applyAlignment="1" quotePrefix="1">
      <alignment horizontal="center" vertical="center"/>
    </xf>
    <xf numFmtId="0" fontId="23" fillId="13" borderId="1" xfId="0" applyFont="1" applyFill="1" applyBorder="1" applyAlignment="1" quotePrefix="1">
      <alignment horizontal="center" vertical="center"/>
    </xf>
    <xf numFmtId="0" fontId="27" fillId="0" borderId="1" xfId="0" applyFont="1" applyFill="1" applyBorder="1" applyAlignment="1" quotePrefix="1">
      <alignment horizontal="left"/>
    </xf>
    <xf numFmtId="0" fontId="0" fillId="24" borderId="1" xfId="0" applyFill="1" applyBorder="1" quotePrefix="1"/>
    <xf numFmtId="0" fontId="27" fillId="24" borderId="1" xfId="0" applyFont="1" applyFill="1" applyBorder="1" applyAlignment="1" quotePrefix="1">
      <alignment horizontal="left"/>
    </xf>
    <xf numFmtId="0" fontId="0" fillId="24" borderId="1" xfId="0" applyFill="1" applyBorder="1" applyAlignment="1" quotePrefix="1">
      <alignment horizontal="left"/>
    </xf>
    <xf numFmtId="0" fontId="6" fillId="0" borderId="1" xfId="0" applyFont="1" applyBorder="1" applyAlignment="1" quotePrefix="1">
      <alignment horizontal="left" vertical="top" wrapText="1"/>
    </xf>
    <xf numFmtId="0" fontId="0" fillId="0" borderId="0" xfId="0" quotePrefix="1"/>
    <xf numFmtId="0" fontId="0" fillId="4" borderId="0" xfId="0" applyFill="1" quotePrefix="1"/>
    <xf numFmtId="0" fontId="0" fillId="0" borderId="0" xfId="0" applyAlignment="1" quotePrefix="1">
      <alignment horizontal="left"/>
    </xf>
    <xf numFmtId="0" fontId="0" fillId="6" borderId="0" xfId="0" applyFill="1" quotePrefix="1"/>
    <xf numFmtId="49" fontId="3" fillId="0" borderId="0" xfId="61" applyNumberFormat="1" applyAlignment="1" quotePrefix="1">
      <alignment vertical="center"/>
    </xf>
    <xf numFmtId="0" fontId="0" fillId="5" borderId="0" xfId="0" applyFill="1" quotePrefix="1"/>
    <xf numFmtId="0" fontId="0" fillId="0" borderId="0" xfId="0" applyFill="1" applyBorder="1" quotePrefix="1"/>
  </cellXfs>
  <cellStyles count="6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Excel Built-in Normal" xfId="49"/>
    <cellStyle name="Excel Built-in Normal 1" xfId="50"/>
    <cellStyle name="Excel Built-in Normal 2 2" xfId="51"/>
    <cellStyle name="Excel Built-in Normal 3" xfId="52"/>
    <cellStyle name="Excel Built-in Normal 6" xfId="53"/>
    <cellStyle name="Excel Built-in Normal 7" xfId="54"/>
    <cellStyle name="Excel Built-in Normal 8" xfId="55"/>
    <cellStyle name="Normal 10" xfId="56"/>
    <cellStyle name="Normal 11" xfId="57"/>
    <cellStyle name="Normal 2 3" xfId="58"/>
    <cellStyle name="Normal 3" xfId="59"/>
    <cellStyle name="Normal 5" xfId="60"/>
    <cellStyle name="Normal 6" xfId="61"/>
    <cellStyle name="Normal 7" xfId="62"/>
    <cellStyle name="Normal 7 2" xfId="63"/>
    <cellStyle name="Normal 8" xfId="64"/>
    <cellStyle name="Normal 9" xfId="65"/>
    <cellStyle name="Percent 2" xfId="66"/>
  </cellStyles>
  <dxfs count="15">
    <dxf>
      <alignment horizontal="center"/>
    </dxf>
    <dxf>
      <font>
        <b val="1"/>
      </font>
    </dxf>
    <dxf>
      <font>
        <b val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1"/>
      </font>
    </dxf>
    <dxf>
      <font>
        <b val="1"/>
      </font>
    </dxf>
    <dxf>
      <font>
        <i val="0"/>
      </font>
    </dxf>
    <dxf>
      <font>
        <i val="0"/>
      </font>
    </dxf>
    <dxf>
      <font>
        <b val="1"/>
      </font>
    </dxf>
    <dxf>
      <font>
        <b val="1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C6E0B4"/>
      <color rgb="009BC2E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5.xml"/><Relationship Id="rId15" Type="http://schemas.openxmlformats.org/officeDocument/2006/relationships/customXml" Target="../customXml/item4.xml"/><Relationship Id="rId14" Type="http://schemas.openxmlformats.org/officeDocument/2006/relationships/customXml" Target="../customXml/item3.xml"/><Relationship Id="rId13" Type="http://schemas.openxmlformats.org/officeDocument/2006/relationships/customXml" Target="../customXml/item2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7" Type="http://schemas.openxmlformats.org/officeDocument/2006/relationships/image" Target="../media/image13.emf"/><Relationship Id="rId6" Type="http://schemas.openxmlformats.org/officeDocument/2006/relationships/image" Target="../media/image12.emf"/><Relationship Id="rId5" Type="http://schemas.openxmlformats.org/officeDocument/2006/relationships/image" Target="../media/image11.svg"/><Relationship Id="rId4" Type="http://schemas.openxmlformats.org/officeDocument/2006/relationships/image" Target="../media/image10.png"/><Relationship Id="rId3" Type="http://schemas.openxmlformats.org/officeDocument/2006/relationships/image" Target="../media/image9.svg"/><Relationship Id="rId2" Type="http://schemas.openxmlformats.org/officeDocument/2006/relationships/image" Target="../media/image8.png"/><Relationship Id="rId1" Type="http://schemas.openxmlformats.org/officeDocument/2006/relationships/image" Target="../media/image7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3.emf"/><Relationship Id="rId2" Type="http://schemas.openxmlformats.org/officeDocument/2006/relationships/image" Target="../media/image12.emf"/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76200</xdr:colOff>
      <xdr:row>23</xdr:row>
      <xdr:rowOff>9526</xdr:rowOff>
    </xdr:from>
    <xdr:to>
      <xdr:col>7</xdr:col>
      <xdr:colOff>142875</xdr:colOff>
      <xdr:row>31</xdr:row>
      <xdr:rowOff>62320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6120" y="4219575"/>
          <a:ext cx="3127375" cy="1348105"/>
        </a:xfrm>
        <a:prstGeom prst="rect">
          <a:avLst/>
        </a:prstGeom>
      </xdr:spPr>
    </xdr:pic>
    <xdr:clientData/>
  </xdr:twoCellAnchor>
  <xdr:twoCellAnchor>
    <xdr:from>
      <xdr:col>4</xdr:col>
      <xdr:colOff>409575</xdr:colOff>
      <xdr:row>24</xdr:row>
      <xdr:rowOff>19050</xdr:rowOff>
    </xdr:from>
    <xdr:to>
      <xdr:col>5</xdr:col>
      <xdr:colOff>266700</xdr:colOff>
      <xdr:row>26</xdr:row>
      <xdr:rowOff>0</xdr:rowOff>
    </xdr:to>
    <xdr:sp>
      <xdr:nvSpPr>
        <xdr:cNvPr id="3" name="Rectangle 2"/>
        <xdr:cNvSpPr/>
      </xdr:nvSpPr>
      <xdr:spPr>
        <a:xfrm>
          <a:off x="2263775" y="4391025"/>
          <a:ext cx="469265" cy="3048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65926</xdr:colOff>
      <xdr:row>50</xdr:row>
      <xdr:rowOff>56438</xdr:rowOff>
    </xdr:from>
    <xdr:to>
      <xdr:col>8</xdr:col>
      <xdr:colOff>647700</xdr:colOff>
      <xdr:row>64</xdr:row>
      <xdr:rowOff>143148</xdr:rowOff>
    </xdr:to>
    <xdr:pic>
      <xdr:nvPicPr>
        <xdr:cNvPr id="4" name="Pictur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95325" y="8637905"/>
          <a:ext cx="4255135" cy="2353945"/>
        </a:xfrm>
        <a:prstGeom prst="rect">
          <a:avLst/>
        </a:prstGeom>
      </xdr:spPr>
    </xdr:pic>
    <xdr:clientData/>
  </xdr:twoCellAnchor>
  <xdr:twoCellAnchor>
    <xdr:from>
      <xdr:col>3</xdr:col>
      <xdr:colOff>114300</xdr:colOff>
      <xdr:row>55</xdr:row>
      <xdr:rowOff>66675</xdr:rowOff>
    </xdr:from>
    <xdr:to>
      <xdr:col>7</xdr:col>
      <xdr:colOff>504825</xdr:colOff>
      <xdr:row>62</xdr:row>
      <xdr:rowOff>161925</xdr:rowOff>
    </xdr:to>
    <xdr:sp>
      <xdr:nvSpPr>
        <xdr:cNvPr id="5" name="Rectangle 4"/>
        <xdr:cNvSpPr/>
      </xdr:nvSpPr>
      <xdr:spPr>
        <a:xfrm>
          <a:off x="1356360" y="9458325"/>
          <a:ext cx="2839085" cy="12287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83292</xdr:colOff>
      <xdr:row>66</xdr:row>
      <xdr:rowOff>47161</xdr:rowOff>
    </xdr:from>
    <xdr:to>
      <xdr:col>8</xdr:col>
      <xdr:colOff>537882</xdr:colOff>
      <xdr:row>81</xdr:row>
      <xdr:rowOff>123824</xdr:rowOff>
    </xdr:to>
    <xdr:pic>
      <xdr:nvPicPr>
        <xdr:cNvPr id="6" name="Picture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13105" y="11219815"/>
          <a:ext cx="4127500" cy="2505075"/>
        </a:xfrm>
        <a:prstGeom prst="rect">
          <a:avLst/>
        </a:prstGeom>
      </xdr:spPr>
    </xdr:pic>
    <xdr:clientData/>
  </xdr:twoCellAnchor>
  <xdr:twoCellAnchor>
    <xdr:from>
      <xdr:col>3</xdr:col>
      <xdr:colOff>314326</xdr:colOff>
      <xdr:row>67</xdr:row>
      <xdr:rowOff>133349</xdr:rowOff>
    </xdr:from>
    <xdr:to>
      <xdr:col>5</xdr:col>
      <xdr:colOff>238126</xdr:colOff>
      <xdr:row>81</xdr:row>
      <xdr:rowOff>9524</xdr:rowOff>
    </xdr:to>
    <xdr:sp>
      <xdr:nvSpPr>
        <xdr:cNvPr id="7" name="Rectangle 6"/>
        <xdr:cNvSpPr/>
      </xdr:nvSpPr>
      <xdr:spPr>
        <a:xfrm>
          <a:off x="1556385" y="11467465"/>
          <a:ext cx="1148080" cy="21431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428626</xdr:colOff>
      <xdr:row>67</xdr:row>
      <xdr:rowOff>133349</xdr:rowOff>
    </xdr:from>
    <xdr:to>
      <xdr:col>8</xdr:col>
      <xdr:colOff>495300</xdr:colOff>
      <xdr:row>81</xdr:row>
      <xdr:rowOff>9524</xdr:rowOff>
    </xdr:to>
    <xdr:sp>
      <xdr:nvSpPr>
        <xdr:cNvPr id="8" name="Rectangle 7"/>
        <xdr:cNvSpPr/>
      </xdr:nvSpPr>
      <xdr:spPr>
        <a:xfrm>
          <a:off x="2894965" y="11467465"/>
          <a:ext cx="1903095" cy="21431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65450</xdr:colOff>
      <xdr:row>83</xdr:row>
      <xdr:rowOff>37307</xdr:rowOff>
    </xdr:from>
    <xdr:to>
      <xdr:col>9</xdr:col>
      <xdr:colOff>68608</xdr:colOff>
      <xdr:row>96</xdr:row>
      <xdr:rowOff>123824</xdr:rowOff>
    </xdr:to>
    <xdr:pic>
      <xdr:nvPicPr>
        <xdr:cNvPr id="9" name="Picture 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95325" y="13962380"/>
          <a:ext cx="5330825" cy="2191385"/>
        </a:xfrm>
        <a:prstGeom prst="rect">
          <a:avLst/>
        </a:prstGeom>
      </xdr:spPr>
    </xdr:pic>
    <xdr:clientData/>
  </xdr:twoCellAnchor>
  <xdr:twoCellAnchor>
    <xdr:from>
      <xdr:col>2</xdr:col>
      <xdr:colOff>600076</xdr:colOff>
      <xdr:row>84</xdr:row>
      <xdr:rowOff>0</xdr:rowOff>
    </xdr:from>
    <xdr:to>
      <xdr:col>4</xdr:col>
      <xdr:colOff>114300</xdr:colOff>
      <xdr:row>96</xdr:row>
      <xdr:rowOff>9526</xdr:rowOff>
    </xdr:to>
    <xdr:sp>
      <xdr:nvSpPr>
        <xdr:cNvPr id="10" name="Rectangle 9"/>
        <xdr:cNvSpPr/>
      </xdr:nvSpPr>
      <xdr:spPr>
        <a:xfrm>
          <a:off x="1229995" y="14087475"/>
          <a:ext cx="738505" cy="19526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419100</xdr:colOff>
      <xdr:row>84</xdr:row>
      <xdr:rowOff>0</xdr:rowOff>
    </xdr:from>
    <xdr:to>
      <xdr:col>9</xdr:col>
      <xdr:colOff>38099</xdr:colOff>
      <xdr:row>96</xdr:row>
      <xdr:rowOff>9526</xdr:rowOff>
    </xdr:to>
    <xdr:sp>
      <xdr:nvSpPr>
        <xdr:cNvPr id="11" name="Rectangle 10"/>
        <xdr:cNvSpPr/>
      </xdr:nvSpPr>
      <xdr:spPr>
        <a:xfrm>
          <a:off x="2273300" y="14087475"/>
          <a:ext cx="3721735" cy="19526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95251</xdr:colOff>
      <xdr:row>33</xdr:row>
      <xdr:rowOff>57151</xdr:rowOff>
    </xdr:from>
    <xdr:to>
      <xdr:col>5</xdr:col>
      <xdr:colOff>555469</xdr:colOff>
      <xdr:row>48</xdr:row>
      <xdr:rowOff>85725</xdr:rowOff>
    </xdr:to>
    <xdr:pic>
      <xdr:nvPicPr>
        <xdr:cNvPr id="12" name="Picture 1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25170" y="5886450"/>
          <a:ext cx="2296160" cy="2457450"/>
        </a:xfrm>
        <a:prstGeom prst="rect">
          <a:avLst/>
        </a:prstGeom>
      </xdr:spPr>
    </xdr:pic>
    <xdr:clientData/>
  </xdr:twoCellAnchor>
  <xdr:twoCellAnchor>
    <xdr:from>
      <xdr:col>2</xdr:col>
      <xdr:colOff>495300</xdr:colOff>
      <xdr:row>33</xdr:row>
      <xdr:rowOff>85725</xdr:rowOff>
    </xdr:from>
    <xdr:to>
      <xdr:col>4</xdr:col>
      <xdr:colOff>333375</xdr:colOff>
      <xdr:row>48</xdr:row>
      <xdr:rowOff>123825</xdr:rowOff>
    </xdr:to>
    <xdr:sp>
      <xdr:nvSpPr>
        <xdr:cNvPr id="13" name="Rectangle 12"/>
        <xdr:cNvSpPr/>
      </xdr:nvSpPr>
      <xdr:spPr>
        <a:xfrm>
          <a:off x="1125220" y="5915025"/>
          <a:ext cx="1062355" cy="24669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561975</xdr:colOff>
      <xdr:row>7</xdr:row>
      <xdr:rowOff>3175</xdr:rowOff>
    </xdr:from>
    <xdr:to>
      <xdr:col>9</xdr:col>
      <xdr:colOff>2019300</xdr:colOff>
      <xdr:row>12</xdr:row>
      <xdr:rowOff>76201</xdr:rowOff>
    </xdr:to>
    <xdr:sp>
      <xdr:nvSpPr>
        <xdr:cNvPr id="14" name="Rectangle 13"/>
        <xdr:cNvSpPr/>
      </xdr:nvSpPr>
      <xdr:spPr>
        <a:xfrm>
          <a:off x="4252595" y="1622425"/>
          <a:ext cx="3724275" cy="8826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114300</xdr:colOff>
      <xdr:row>7</xdr:row>
      <xdr:rowOff>114301</xdr:rowOff>
    </xdr:from>
    <xdr:to>
      <xdr:col>14</xdr:col>
      <xdr:colOff>600075</xdr:colOff>
      <xdr:row>12</xdr:row>
      <xdr:rowOff>120651</xdr:rowOff>
    </xdr:to>
    <xdr:sp>
      <xdr:nvSpPr>
        <xdr:cNvPr id="16" name="Rectangular Callout 15"/>
        <xdr:cNvSpPr/>
      </xdr:nvSpPr>
      <xdr:spPr>
        <a:xfrm>
          <a:off x="8126730" y="1733550"/>
          <a:ext cx="2934335" cy="815975"/>
        </a:xfrm>
        <a:prstGeom prst="wedgeRectCallout">
          <a:avLst>
            <a:gd name="adj1" fmla="val -54384"/>
            <a:gd name="adj2" fmla="val 21560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Input di kolom STATUS SPK dan STATUS SUPPLY harus sesuai dengan standard naming berikut, jangan memasukkan nama / ejaan lainnya</a:t>
          </a:r>
          <a:endParaRPr kumimoji="0" lang="en-US" sz="105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324303</xdr:colOff>
      <xdr:row>9</xdr:row>
      <xdr:rowOff>48147</xdr:rowOff>
    </xdr:from>
    <xdr:to>
      <xdr:col>4</xdr:col>
      <xdr:colOff>281213</xdr:colOff>
      <xdr:row>20</xdr:row>
      <xdr:rowOff>29571</xdr:rowOff>
    </xdr:to>
    <xdr:pic>
      <xdr:nvPicPr>
        <xdr:cNvPr id="15" name="Picture 14"/>
        <xdr:cNvPicPr>
          <a:picLocks noChangeAspect="1"/>
        </xdr:cNvPicPr>
      </xdr:nvPicPr>
      <xdr:blipFill>
        <a:blip r:embed="rId6"/>
        <a:srcRect l="-263" t="39820" r="88104" b="29930"/>
        <a:stretch>
          <a:fillRect/>
        </a:stretch>
      </xdr:blipFill>
      <xdr:spPr>
        <a:xfrm>
          <a:off x="953770" y="1990725"/>
          <a:ext cx="1181100" cy="1762760"/>
        </a:xfrm>
        <a:prstGeom prst="rect">
          <a:avLst/>
        </a:prstGeom>
      </xdr:spPr>
    </xdr:pic>
    <xdr:clientData/>
  </xdr:twoCellAnchor>
  <xdr:twoCellAnchor>
    <xdr:from>
      <xdr:col>2</xdr:col>
      <xdr:colOff>335191</xdr:colOff>
      <xdr:row>17</xdr:row>
      <xdr:rowOff>108858</xdr:rowOff>
    </xdr:from>
    <xdr:to>
      <xdr:col>3</xdr:col>
      <xdr:colOff>462643</xdr:colOff>
      <xdr:row>19</xdr:row>
      <xdr:rowOff>81643</xdr:rowOff>
    </xdr:to>
    <xdr:sp>
      <xdr:nvSpPr>
        <xdr:cNvPr id="17" name="Rectangle 16"/>
        <xdr:cNvSpPr/>
      </xdr:nvSpPr>
      <xdr:spPr>
        <a:xfrm>
          <a:off x="964565" y="3347085"/>
          <a:ext cx="739775" cy="29654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146035</xdr:colOff>
      <xdr:row>18</xdr:row>
      <xdr:rowOff>42984</xdr:rowOff>
    </xdr:from>
    <xdr:to>
      <xdr:col>3</xdr:col>
      <xdr:colOff>38101</xdr:colOff>
      <xdr:row>18</xdr:row>
      <xdr:rowOff>228600</xdr:rowOff>
    </xdr:to>
    <xdr:sp>
      <xdr:nvSpPr>
        <xdr:cNvPr id="2" name="TextBox 1"/>
        <xdr:cNvSpPr txBox="1"/>
      </xdr:nvSpPr>
      <xdr:spPr>
        <a:xfrm>
          <a:off x="327025" y="4833620"/>
          <a:ext cx="758825" cy="1860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id-ID" sz="700">
              <a:latin typeface="Century Gothic" panose="020B0502020202020204" pitchFamily="34" charset="0"/>
            </a:rPr>
            <a:t>matc</a:t>
          </a:r>
          <a:r>
            <a:rPr lang="en-US" sz="700">
              <a:latin typeface="Century Gothic" panose="020B0502020202020204" pitchFamily="34" charset="0"/>
            </a:rPr>
            <a:t>h</a:t>
          </a:r>
          <a:endParaRPr lang="en-US" sz="70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9</xdr:col>
      <xdr:colOff>529165</xdr:colOff>
      <xdr:row>13</xdr:row>
      <xdr:rowOff>85913</xdr:rowOff>
    </xdr:from>
    <xdr:to>
      <xdr:col>13</xdr:col>
      <xdr:colOff>69492</xdr:colOff>
      <xdr:row>14</xdr:row>
      <xdr:rowOff>110813</xdr:rowOff>
    </xdr:to>
    <xdr:sp>
      <xdr:nvSpPr>
        <xdr:cNvPr id="3" name="TextBox 2"/>
        <xdr:cNvSpPr txBox="1"/>
      </xdr:nvSpPr>
      <xdr:spPr>
        <a:xfrm>
          <a:off x="5346065" y="3448050"/>
          <a:ext cx="1582420" cy="3105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700" baseline="0">
              <a:latin typeface="Century Gothic" panose="020B0502020202020204" pitchFamily="34" charset="0"/>
            </a:rPr>
            <a:t>unfirmed &lt;30d</a:t>
          </a:r>
          <a:endParaRPr lang="id-ID" sz="70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8</xdr:col>
      <xdr:colOff>590550</xdr:colOff>
      <xdr:row>20</xdr:row>
      <xdr:rowOff>844550</xdr:rowOff>
    </xdr:from>
    <xdr:to>
      <xdr:col>9</xdr:col>
      <xdr:colOff>577850</xdr:colOff>
      <xdr:row>20</xdr:row>
      <xdr:rowOff>1028700</xdr:rowOff>
    </xdr:to>
    <xdr:sp>
      <xdr:nvSpPr>
        <xdr:cNvPr id="4" name="TextBox 3"/>
        <xdr:cNvSpPr txBox="1"/>
      </xdr:nvSpPr>
      <xdr:spPr>
        <a:xfrm>
          <a:off x="4728845" y="5648325"/>
          <a:ext cx="666115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700">
              <a:latin typeface="Arial Narrow" panose="020B0606020202030204" pitchFamily="34" charset="0"/>
            </a:rPr>
            <a:t>match</a:t>
          </a:r>
          <a:endParaRPr lang="id-ID" sz="700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9</xdr:col>
      <xdr:colOff>486833</xdr:colOff>
      <xdr:row>17</xdr:row>
      <xdr:rowOff>63500</xdr:rowOff>
    </xdr:from>
    <xdr:to>
      <xdr:col>13</xdr:col>
      <xdr:colOff>60006</xdr:colOff>
      <xdr:row>18</xdr:row>
      <xdr:rowOff>128245</xdr:rowOff>
    </xdr:to>
    <xdr:sp>
      <xdr:nvSpPr>
        <xdr:cNvPr id="5" name="TextBox 4"/>
        <xdr:cNvSpPr txBox="1"/>
      </xdr:nvSpPr>
      <xdr:spPr>
        <a:xfrm>
          <a:off x="5303520" y="4568825"/>
          <a:ext cx="1615440" cy="3498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id-ID" sz="700">
              <a:latin typeface="Century Gothic" panose="020B0502020202020204" pitchFamily="34" charset="0"/>
            </a:rPr>
            <a:t>firmed</a:t>
          </a:r>
          <a:r>
            <a:rPr lang="en-US" sz="700" baseline="0">
              <a:latin typeface="Century Gothic" panose="020B0502020202020204" pitchFamily="34" charset="0"/>
            </a:rPr>
            <a:t> </a:t>
          </a:r>
          <a:r>
            <a:rPr lang="id-ID" sz="700">
              <a:latin typeface="Century Gothic" panose="020B0502020202020204" pitchFamily="34" charset="0"/>
            </a:rPr>
            <a:t>&lt; 30d</a:t>
          </a:r>
          <a:endParaRPr lang="id-ID" sz="70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9</xdr:col>
      <xdr:colOff>408274</xdr:colOff>
      <xdr:row>14</xdr:row>
      <xdr:rowOff>77282</xdr:rowOff>
    </xdr:from>
    <xdr:to>
      <xdr:col>13</xdr:col>
      <xdr:colOff>58636</xdr:colOff>
      <xdr:row>15</xdr:row>
      <xdr:rowOff>127914</xdr:rowOff>
    </xdr:to>
    <xdr:sp>
      <xdr:nvSpPr>
        <xdr:cNvPr id="6" name="TextBox 5"/>
        <xdr:cNvSpPr txBox="1"/>
      </xdr:nvSpPr>
      <xdr:spPr>
        <a:xfrm>
          <a:off x="5224780" y="3724910"/>
          <a:ext cx="1692910" cy="336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id-ID" sz="700">
              <a:latin typeface="Century Gothic" panose="020B0502020202020204" pitchFamily="34" charset="0"/>
            </a:rPr>
            <a:t>firmed</a:t>
          </a:r>
          <a:r>
            <a:rPr lang="en-US" sz="700">
              <a:latin typeface="Century Gothic" panose="020B0502020202020204" pitchFamily="34" charset="0"/>
            </a:rPr>
            <a:t> </a:t>
          </a:r>
          <a:r>
            <a:rPr lang="id-ID" sz="700">
              <a:latin typeface="Century Gothic" panose="020B0502020202020204" pitchFamily="34" charset="0"/>
            </a:rPr>
            <a:t>&gt;30</a:t>
          </a:r>
          <a:r>
            <a:rPr lang="en-US" sz="700" baseline="0">
              <a:latin typeface="Century Gothic" panose="020B0502020202020204" pitchFamily="34" charset="0"/>
            </a:rPr>
            <a:t>d</a:t>
          </a:r>
          <a:endParaRPr lang="id-ID" sz="70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13</xdr:col>
      <xdr:colOff>508498</xdr:colOff>
      <xdr:row>19</xdr:row>
      <xdr:rowOff>257737</xdr:rowOff>
    </xdr:from>
    <xdr:to>
      <xdr:col>15</xdr:col>
      <xdr:colOff>11206</xdr:colOff>
      <xdr:row>21</xdr:row>
      <xdr:rowOff>33619</xdr:rowOff>
    </xdr:to>
    <xdr:sp>
      <xdr:nvSpPr>
        <xdr:cNvPr id="7" name="TextBox 6"/>
        <xdr:cNvSpPr txBox="1"/>
      </xdr:nvSpPr>
      <xdr:spPr>
        <a:xfrm>
          <a:off x="7367270" y="5334000"/>
          <a:ext cx="848360" cy="3473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700">
              <a:latin typeface="Century Gothic" panose="020B0502020202020204" pitchFamily="34" charset="0"/>
            </a:rPr>
            <a:t>o</a:t>
          </a:r>
          <a:r>
            <a:rPr lang="id-ID" sz="700">
              <a:latin typeface="Century Gothic" panose="020B0502020202020204" pitchFamily="34" charset="0"/>
            </a:rPr>
            <a:t>n</a:t>
          </a:r>
          <a:r>
            <a:rPr lang="id-ID" sz="700" baseline="0">
              <a:latin typeface="Century Gothic" panose="020B0502020202020204" pitchFamily="34" charset="0"/>
            </a:rPr>
            <a:t> hand</a:t>
          </a:r>
          <a:endParaRPr lang="en-US" sz="700" baseline="0">
            <a:latin typeface="Century Gothic" panose="020B0502020202020204" pitchFamily="34" charset="0"/>
          </a:endParaRPr>
        </a:p>
        <a:p>
          <a:pPr algn="r"/>
          <a:r>
            <a:rPr lang="id-ID" sz="700" baseline="0">
              <a:latin typeface="Century Gothic" panose="020B0502020202020204" pitchFamily="34" charset="0"/>
            </a:rPr>
            <a:t>stock</a:t>
          </a:r>
          <a:endParaRPr lang="id-ID" sz="70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13</xdr:col>
      <xdr:colOff>525591</xdr:colOff>
      <xdr:row>20</xdr:row>
      <xdr:rowOff>279400</xdr:rowOff>
    </xdr:from>
    <xdr:to>
      <xdr:col>25</xdr:col>
      <xdr:colOff>73810</xdr:colOff>
      <xdr:row>20</xdr:row>
      <xdr:rowOff>288472</xdr:rowOff>
    </xdr:to>
    <xdr:cxnSp>
      <xdr:nvCxnSpPr>
        <xdr:cNvPr id="8" name="Straight Connector 7"/>
        <xdr:cNvCxnSpPr/>
      </xdr:nvCxnSpPr>
      <xdr:spPr>
        <a:xfrm>
          <a:off x="7384415" y="5641975"/>
          <a:ext cx="5922645" cy="635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201576</xdr:colOff>
      <xdr:row>14</xdr:row>
      <xdr:rowOff>5311</xdr:rowOff>
    </xdr:from>
    <xdr:to>
      <xdr:col>24</xdr:col>
      <xdr:colOff>167105</xdr:colOff>
      <xdr:row>14</xdr:row>
      <xdr:rowOff>9387</xdr:rowOff>
    </xdr:to>
    <xdr:cxnSp>
      <xdr:nvCxnSpPr>
        <xdr:cNvPr id="9" name="Straight Connector 8"/>
        <xdr:cNvCxnSpPr/>
      </xdr:nvCxnSpPr>
      <xdr:spPr>
        <a:xfrm flipV="1">
          <a:off x="4339590" y="3653155"/>
          <a:ext cx="8891270" cy="381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107788</xdr:colOff>
      <xdr:row>10</xdr:row>
      <xdr:rowOff>146792</xdr:rowOff>
    </xdr:from>
    <xdr:to>
      <xdr:col>22</xdr:col>
      <xdr:colOff>87415</xdr:colOff>
      <xdr:row>12</xdr:row>
      <xdr:rowOff>183620</xdr:rowOff>
    </xdr:to>
    <xdr:sp>
      <xdr:nvSpPr>
        <xdr:cNvPr id="10" name="TextBox 9"/>
        <xdr:cNvSpPr txBox="1"/>
      </xdr:nvSpPr>
      <xdr:spPr>
        <a:xfrm>
          <a:off x="11020425" y="2651760"/>
          <a:ext cx="1312545" cy="6083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700">
              <a:latin typeface="Century Gothic" panose="020B0502020202020204" pitchFamily="34" charset="0"/>
            </a:rPr>
            <a:t>Gap</a:t>
          </a:r>
          <a:r>
            <a:rPr lang="en-US" sz="700" baseline="0">
              <a:latin typeface="Century Gothic" panose="020B0502020202020204" pitchFamily="34" charset="0"/>
            </a:rPr>
            <a:t> from Target</a:t>
          </a:r>
          <a:endParaRPr lang="id-ID" sz="70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21</xdr:col>
      <xdr:colOff>95250</xdr:colOff>
      <xdr:row>8</xdr:row>
      <xdr:rowOff>24961</xdr:rowOff>
    </xdr:from>
    <xdr:to>
      <xdr:col>23</xdr:col>
      <xdr:colOff>19494</xdr:colOff>
      <xdr:row>9</xdr:row>
      <xdr:rowOff>123825</xdr:rowOff>
    </xdr:to>
    <xdr:sp>
      <xdr:nvSpPr>
        <xdr:cNvPr id="11" name="TextBox 10"/>
        <xdr:cNvSpPr txBox="1"/>
      </xdr:nvSpPr>
      <xdr:spPr>
        <a:xfrm>
          <a:off x="11656695" y="1958340"/>
          <a:ext cx="723265" cy="384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700" b="1">
              <a:latin typeface="Century Gothic" panose="020B0502020202020204" pitchFamily="34" charset="0"/>
            </a:rPr>
            <a:t>OAP</a:t>
          </a:r>
          <a:endParaRPr lang="en-US" sz="700" b="1" baseline="0">
            <a:latin typeface="Century Gothic" panose="020B0502020202020204" pitchFamily="34" charset="0"/>
          </a:endParaRPr>
        </a:p>
        <a:p>
          <a:pPr algn="r"/>
          <a:r>
            <a:rPr lang="en-US" sz="700" b="1" baseline="0">
              <a:latin typeface="Century Gothic" panose="020B0502020202020204" pitchFamily="34" charset="0"/>
            </a:rPr>
            <a:t>Target</a:t>
          </a:r>
          <a:endParaRPr lang="id-ID" sz="7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</xdr:col>
      <xdr:colOff>155129</xdr:colOff>
      <xdr:row>7</xdr:row>
      <xdr:rowOff>3543</xdr:rowOff>
    </xdr:from>
    <xdr:to>
      <xdr:col>3</xdr:col>
      <xdr:colOff>0</xdr:colOff>
      <xdr:row>8</xdr:row>
      <xdr:rowOff>180974</xdr:rowOff>
    </xdr:to>
    <xdr:sp>
      <xdr:nvSpPr>
        <xdr:cNvPr id="12" name="TextBox 11"/>
        <xdr:cNvSpPr txBox="1"/>
      </xdr:nvSpPr>
      <xdr:spPr>
        <a:xfrm>
          <a:off x="336550" y="1651000"/>
          <a:ext cx="711200" cy="4629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700">
              <a:latin typeface="Century Gothic" panose="020B0502020202020204" pitchFamily="34" charset="0"/>
            </a:rPr>
            <a:t>Free for</a:t>
          </a:r>
          <a:r>
            <a:rPr lang="id-ID" sz="700" baseline="0">
              <a:latin typeface="Century Gothic" panose="020B0502020202020204" pitchFamily="34" charset="0"/>
            </a:rPr>
            <a:t> sales</a:t>
          </a:r>
          <a:endParaRPr lang="id-ID" sz="70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6</xdr:col>
      <xdr:colOff>0</xdr:colOff>
      <xdr:row>10</xdr:row>
      <xdr:rowOff>11205</xdr:rowOff>
    </xdr:from>
    <xdr:to>
      <xdr:col>8</xdr:col>
      <xdr:colOff>11205</xdr:colOff>
      <xdr:row>21</xdr:row>
      <xdr:rowOff>927</xdr:rowOff>
    </xdr:to>
    <xdr:sp>
      <xdr:nvSpPr>
        <xdr:cNvPr id="14" name="Rectangle 13"/>
        <xdr:cNvSpPr/>
      </xdr:nvSpPr>
      <xdr:spPr>
        <a:xfrm>
          <a:off x="2780665" y="2515870"/>
          <a:ext cx="1368425" cy="3133090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7</xdr:col>
      <xdr:colOff>51381</xdr:colOff>
      <xdr:row>17</xdr:row>
      <xdr:rowOff>78441</xdr:rowOff>
    </xdr:from>
    <xdr:to>
      <xdr:col>8</xdr:col>
      <xdr:colOff>48205</xdr:colOff>
      <xdr:row>18</xdr:row>
      <xdr:rowOff>22115</xdr:rowOff>
    </xdr:to>
    <xdr:sp>
      <xdr:nvSpPr>
        <xdr:cNvPr id="15" name="TextBox 14"/>
        <xdr:cNvSpPr txBox="1"/>
      </xdr:nvSpPr>
      <xdr:spPr>
        <a:xfrm>
          <a:off x="3510280" y="4583430"/>
          <a:ext cx="675640" cy="2292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700">
              <a:latin typeface="Century Gothic" panose="020B0502020202020204" pitchFamily="34" charset="0"/>
            </a:rPr>
            <a:t>firmed</a:t>
          </a:r>
          <a:endParaRPr lang="id-ID" sz="70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7</xdr:col>
      <xdr:colOff>34777</xdr:colOff>
      <xdr:row>20</xdr:row>
      <xdr:rowOff>22410</xdr:rowOff>
    </xdr:from>
    <xdr:to>
      <xdr:col>8</xdr:col>
      <xdr:colOff>61053</xdr:colOff>
      <xdr:row>21</xdr:row>
      <xdr:rowOff>33618</xdr:rowOff>
    </xdr:to>
    <xdr:sp>
      <xdr:nvSpPr>
        <xdr:cNvPr id="16" name="TextBox 15"/>
        <xdr:cNvSpPr txBox="1"/>
      </xdr:nvSpPr>
      <xdr:spPr>
        <a:xfrm>
          <a:off x="3493770" y="5384800"/>
          <a:ext cx="705485" cy="2965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700">
              <a:latin typeface="Century Gothic" panose="020B0502020202020204" pitchFamily="34" charset="0"/>
            </a:rPr>
            <a:t>(PL + CPI)</a:t>
          </a:r>
          <a:endParaRPr lang="id-ID" sz="70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655310</xdr:colOff>
      <xdr:row>16</xdr:row>
      <xdr:rowOff>6614</xdr:rowOff>
    </xdr:from>
    <xdr:to>
      <xdr:col>7</xdr:col>
      <xdr:colOff>658266</xdr:colOff>
      <xdr:row>16</xdr:row>
      <xdr:rowOff>204109</xdr:rowOff>
    </xdr:to>
    <xdr:sp>
      <xdr:nvSpPr>
        <xdr:cNvPr id="17" name="TextBox 16"/>
        <xdr:cNvSpPr txBox="1"/>
      </xdr:nvSpPr>
      <xdr:spPr>
        <a:xfrm>
          <a:off x="2756535" y="4225925"/>
          <a:ext cx="1360805" cy="1974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700">
              <a:latin typeface="Century Gothic" panose="020B0502020202020204" pitchFamily="34" charset="0"/>
            </a:rPr>
            <a:t>OS &lt;30 days</a:t>
          </a:r>
          <a:endParaRPr lang="id-ID" sz="700">
            <a:latin typeface="Century Gothic" panose="020B0502020202020204" pitchFamily="34" charset="0"/>
          </a:endParaRPr>
        </a:p>
      </xdr:txBody>
    </xdr:sp>
    <xdr:clientData/>
  </xdr:twoCellAnchor>
  <xdr:oneCellAnchor>
    <xdr:from>
      <xdr:col>32</xdr:col>
      <xdr:colOff>26175</xdr:colOff>
      <xdr:row>8</xdr:row>
      <xdr:rowOff>21770</xdr:rowOff>
    </xdr:from>
    <xdr:ext cx="566565" cy="215531"/>
    <xdr:sp>
      <xdr:nvSpPr>
        <xdr:cNvPr id="19" name="TextBox 18"/>
        <xdr:cNvSpPr txBox="1"/>
      </xdr:nvSpPr>
      <xdr:spPr>
        <a:xfrm>
          <a:off x="19083655" y="1955165"/>
          <a:ext cx="566420" cy="2152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en-US" sz="900" i="1">
              <a:latin typeface="Century Gothic" panose="020B0502020202020204" pitchFamily="34" charset="0"/>
            </a:rPr>
            <a:t>to target</a:t>
          </a:r>
          <a:r>
            <a:rPr lang="en-US" sz="900" i="1" baseline="0">
              <a:latin typeface="Century Gothic" panose="020B0502020202020204" pitchFamily="34" charset="0"/>
            </a:rPr>
            <a:t> :</a:t>
          </a:r>
          <a:endParaRPr lang="en-US" sz="900" i="1">
            <a:latin typeface="Century Gothic" panose="020B0502020202020204" pitchFamily="34" charset="0"/>
          </a:endParaRPr>
        </a:p>
      </xdr:txBody>
    </xdr:sp>
    <xdr:clientData/>
  </xdr:oneCellAnchor>
  <xdr:twoCellAnchor>
    <xdr:from>
      <xdr:col>6</xdr:col>
      <xdr:colOff>711252</xdr:colOff>
      <xdr:row>7</xdr:row>
      <xdr:rowOff>48819</xdr:rowOff>
    </xdr:from>
    <xdr:to>
      <xdr:col>7</xdr:col>
      <xdr:colOff>703035</xdr:colOff>
      <xdr:row>8</xdr:row>
      <xdr:rowOff>89959</xdr:rowOff>
    </xdr:to>
    <xdr:sp>
      <xdr:nvSpPr>
        <xdr:cNvPr id="20" name="TextBox 19"/>
        <xdr:cNvSpPr txBox="1"/>
      </xdr:nvSpPr>
      <xdr:spPr>
        <a:xfrm>
          <a:off x="3459480" y="1696085"/>
          <a:ext cx="678815" cy="327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d-ID" sz="700">
              <a:latin typeface="Century Gothic" panose="020B0502020202020204" pitchFamily="34" charset="0"/>
            </a:rPr>
            <a:t>match</a:t>
          </a:r>
          <a:endParaRPr lang="id-ID" sz="70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123825</xdr:colOff>
      <xdr:row>11</xdr:row>
      <xdr:rowOff>69913</xdr:rowOff>
    </xdr:from>
    <xdr:to>
      <xdr:col>6</xdr:col>
      <xdr:colOff>527545</xdr:colOff>
      <xdr:row>12</xdr:row>
      <xdr:rowOff>95250</xdr:rowOff>
    </xdr:to>
    <xdr:sp>
      <xdr:nvSpPr>
        <xdr:cNvPr id="21" name="TextBox 20"/>
        <xdr:cNvSpPr txBox="1"/>
      </xdr:nvSpPr>
      <xdr:spPr>
        <a:xfrm>
          <a:off x="2225675" y="2860675"/>
          <a:ext cx="1082040" cy="311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id-ID" sz="700">
              <a:latin typeface="Century Gothic" panose="020B0502020202020204" pitchFamily="34" charset="0"/>
            </a:rPr>
            <a:t>&gt;60 days</a:t>
          </a:r>
          <a:endParaRPr lang="id-ID" sz="70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14</xdr:col>
      <xdr:colOff>67235</xdr:colOff>
      <xdr:row>17</xdr:row>
      <xdr:rowOff>169795</xdr:rowOff>
    </xdr:from>
    <xdr:to>
      <xdr:col>14</xdr:col>
      <xdr:colOff>630459</xdr:colOff>
      <xdr:row>17</xdr:row>
      <xdr:rowOff>381000</xdr:rowOff>
    </xdr:to>
    <xdr:sp>
      <xdr:nvSpPr>
        <xdr:cNvPr id="23" name="TextBox 22"/>
        <xdr:cNvSpPr txBox="1"/>
      </xdr:nvSpPr>
      <xdr:spPr>
        <a:xfrm>
          <a:off x="7556500" y="4674870"/>
          <a:ext cx="563245" cy="1162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700">
              <a:latin typeface="Century Gothic" panose="020B0502020202020204" pitchFamily="34" charset="0"/>
            </a:rPr>
            <a:t>MDP</a:t>
          </a:r>
          <a:endParaRPr lang="id-ID" sz="70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3</xdr:col>
      <xdr:colOff>153878</xdr:colOff>
      <xdr:row>18</xdr:row>
      <xdr:rowOff>45227</xdr:rowOff>
    </xdr:from>
    <xdr:to>
      <xdr:col>5</xdr:col>
      <xdr:colOff>45944</xdr:colOff>
      <xdr:row>18</xdr:row>
      <xdr:rowOff>230843</xdr:rowOff>
    </xdr:to>
    <xdr:sp>
      <xdr:nvSpPr>
        <xdr:cNvPr id="24" name="TextBox 23"/>
        <xdr:cNvSpPr txBox="1"/>
      </xdr:nvSpPr>
      <xdr:spPr>
        <a:xfrm>
          <a:off x="1201420" y="4836160"/>
          <a:ext cx="946150" cy="185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id-ID" sz="700">
              <a:latin typeface="Century Gothic" panose="020B0502020202020204" pitchFamily="34" charset="0"/>
            </a:rPr>
            <a:t>match</a:t>
          </a:r>
          <a:endParaRPr lang="en-US" sz="70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4</xdr:col>
      <xdr:colOff>2729</xdr:colOff>
      <xdr:row>7</xdr:row>
      <xdr:rowOff>181</xdr:rowOff>
    </xdr:from>
    <xdr:to>
      <xdr:col>5</xdr:col>
      <xdr:colOff>0</xdr:colOff>
      <xdr:row>8</xdr:row>
      <xdr:rowOff>212911</xdr:rowOff>
    </xdr:to>
    <xdr:sp>
      <xdr:nvSpPr>
        <xdr:cNvPr id="25" name="TextBox 24"/>
        <xdr:cNvSpPr txBox="1"/>
      </xdr:nvSpPr>
      <xdr:spPr>
        <a:xfrm>
          <a:off x="1419860" y="1647825"/>
          <a:ext cx="681990" cy="498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700">
              <a:latin typeface="Century Gothic" panose="020B0502020202020204" pitchFamily="34" charset="0"/>
            </a:rPr>
            <a:t>Free for</a:t>
          </a:r>
          <a:r>
            <a:rPr lang="id-ID" sz="700" baseline="0">
              <a:latin typeface="Century Gothic" panose="020B0502020202020204" pitchFamily="34" charset="0"/>
            </a:rPr>
            <a:t> sales</a:t>
          </a:r>
          <a:endParaRPr lang="id-ID" sz="70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57150</xdr:colOff>
      <xdr:row>9</xdr:row>
      <xdr:rowOff>153493</xdr:rowOff>
    </xdr:from>
    <xdr:to>
      <xdr:col>6</xdr:col>
      <xdr:colOff>593480</xdr:colOff>
      <xdr:row>9</xdr:row>
      <xdr:rowOff>256443</xdr:rowOff>
    </xdr:to>
    <xdr:sp>
      <xdr:nvSpPr>
        <xdr:cNvPr id="27" name="TextBox 26"/>
        <xdr:cNvSpPr txBox="1"/>
      </xdr:nvSpPr>
      <xdr:spPr>
        <a:xfrm>
          <a:off x="2159000" y="2372360"/>
          <a:ext cx="1214755" cy="1028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id-ID" sz="700">
              <a:latin typeface="Century Gothic" panose="020B0502020202020204" pitchFamily="34" charset="0"/>
            </a:rPr>
            <a:t>30</a:t>
          </a:r>
          <a:r>
            <a:rPr lang="en-US" sz="700">
              <a:latin typeface="Century Gothic" panose="020B0502020202020204" pitchFamily="34" charset="0"/>
            </a:rPr>
            <a:t>-60</a:t>
          </a:r>
          <a:r>
            <a:rPr lang="en-US" sz="700" baseline="0">
              <a:latin typeface="Century Gothic" panose="020B0502020202020204" pitchFamily="34" charset="0"/>
            </a:rPr>
            <a:t> </a:t>
          </a:r>
          <a:r>
            <a:rPr lang="en-US" sz="700">
              <a:latin typeface="Century Gothic" panose="020B0502020202020204" pitchFamily="34" charset="0"/>
            </a:rPr>
            <a:t>days</a:t>
          </a:r>
          <a:endParaRPr lang="id-ID" sz="70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7</xdr:col>
      <xdr:colOff>4161</xdr:colOff>
      <xdr:row>9</xdr:row>
      <xdr:rowOff>25846</xdr:rowOff>
    </xdr:from>
    <xdr:to>
      <xdr:col>8</xdr:col>
      <xdr:colOff>985</xdr:colOff>
      <xdr:row>9</xdr:row>
      <xdr:rowOff>283820</xdr:rowOff>
    </xdr:to>
    <xdr:sp>
      <xdr:nvSpPr>
        <xdr:cNvPr id="28" name="TextBox 27"/>
        <xdr:cNvSpPr txBox="1"/>
      </xdr:nvSpPr>
      <xdr:spPr>
        <a:xfrm>
          <a:off x="3463290" y="2244725"/>
          <a:ext cx="675640" cy="257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d-ID" sz="700">
              <a:latin typeface="Century Gothic" panose="020B0502020202020204" pitchFamily="34" charset="0"/>
            </a:rPr>
            <a:t>match</a:t>
          </a:r>
          <a:endParaRPr lang="id-ID" sz="70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7</xdr:col>
      <xdr:colOff>19051</xdr:colOff>
      <xdr:row>10</xdr:row>
      <xdr:rowOff>247584</xdr:rowOff>
    </xdr:from>
    <xdr:to>
      <xdr:col>7</xdr:col>
      <xdr:colOff>590551</xdr:colOff>
      <xdr:row>12</xdr:row>
      <xdr:rowOff>28575</xdr:rowOff>
    </xdr:to>
    <xdr:sp>
      <xdr:nvSpPr>
        <xdr:cNvPr id="32" name="TextBox 31"/>
        <xdr:cNvSpPr txBox="1"/>
      </xdr:nvSpPr>
      <xdr:spPr>
        <a:xfrm>
          <a:off x="3478530" y="2752090"/>
          <a:ext cx="571500" cy="3530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700">
              <a:latin typeface="Century Gothic" panose="020B0502020202020204" pitchFamily="34" charset="0"/>
            </a:rPr>
            <a:t>firmed</a:t>
          </a:r>
          <a:endParaRPr lang="en-US" sz="700">
            <a:latin typeface="Century Gothic" panose="020B0502020202020204" pitchFamily="34" charset="0"/>
          </a:endParaRPr>
        </a:p>
        <a:p>
          <a:pPr algn="l"/>
          <a:r>
            <a:rPr lang="en-US" sz="700">
              <a:latin typeface="Century Gothic" panose="020B0502020202020204" pitchFamily="34" charset="0"/>
            </a:rPr>
            <a:t>&amp;</a:t>
          </a:r>
          <a:r>
            <a:rPr lang="en-US" sz="700" baseline="0">
              <a:latin typeface="Century Gothic" panose="020B0502020202020204" pitchFamily="34" charset="0"/>
            </a:rPr>
            <a:t> </a:t>
          </a:r>
          <a:r>
            <a:rPr lang="id-ID" sz="700">
              <a:latin typeface="Century Gothic" panose="020B0502020202020204" pitchFamily="34" charset="0"/>
            </a:rPr>
            <a:t>match</a:t>
          </a:r>
          <a:endParaRPr lang="id-ID" sz="70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7</xdr:col>
      <xdr:colOff>19050</xdr:colOff>
      <xdr:row>12</xdr:row>
      <xdr:rowOff>257174</xdr:rowOff>
    </xdr:from>
    <xdr:to>
      <xdr:col>7</xdr:col>
      <xdr:colOff>714375</xdr:colOff>
      <xdr:row>14</xdr:row>
      <xdr:rowOff>27515</xdr:rowOff>
    </xdr:to>
    <xdr:sp>
      <xdr:nvSpPr>
        <xdr:cNvPr id="33" name="TextBox 32"/>
        <xdr:cNvSpPr txBox="1"/>
      </xdr:nvSpPr>
      <xdr:spPr>
        <a:xfrm>
          <a:off x="3478530" y="3333115"/>
          <a:ext cx="659765" cy="3422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700">
              <a:latin typeface="Century Gothic" panose="020B0502020202020204" pitchFamily="34" charset="0"/>
            </a:rPr>
            <a:t>firmed</a:t>
          </a:r>
          <a:endParaRPr lang="en-US" sz="700">
            <a:latin typeface="Century Gothic" panose="020B0502020202020204" pitchFamily="34" charset="0"/>
          </a:endParaRPr>
        </a:p>
        <a:p>
          <a:pPr algn="l"/>
          <a:r>
            <a:rPr lang="en-US" sz="700">
              <a:latin typeface="Century Gothic" panose="020B0502020202020204" pitchFamily="34" charset="0"/>
            </a:rPr>
            <a:t>&amp;</a:t>
          </a:r>
          <a:r>
            <a:rPr lang="en-US" sz="700" baseline="0">
              <a:latin typeface="Century Gothic" panose="020B0502020202020204" pitchFamily="34" charset="0"/>
            </a:rPr>
            <a:t> </a:t>
          </a:r>
          <a:r>
            <a:rPr lang="id-ID" sz="700">
              <a:latin typeface="Century Gothic" panose="020B0502020202020204" pitchFamily="34" charset="0"/>
            </a:rPr>
            <a:t>match</a:t>
          </a:r>
          <a:endParaRPr lang="id-ID" sz="70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8</xdr:col>
      <xdr:colOff>127001</xdr:colOff>
      <xdr:row>19</xdr:row>
      <xdr:rowOff>232834</xdr:rowOff>
    </xdr:from>
    <xdr:to>
      <xdr:col>10</xdr:col>
      <xdr:colOff>48326</xdr:colOff>
      <xdr:row>21</xdr:row>
      <xdr:rowOff>67236</xdr:rowOff>
    </xdr:to>
    <xdr:sp>
      <xdr:nvSpPr>
        <xdr:cNvPr id="35" name="TextBox 34"/>
        <xdr:cNvSpPr txBox="1"/>
      </xdr:nvSpPr>
      <xdr:spPr>
        <a:xfrm>
          <a:off x="4265295" y="5309235"/>
          <a:ext cx="1278890" cy="4057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700">
              <a:latin typeface="Century Gothic" panose="020B0502020202020204" pitchFamily="34" charset="0"/>
            </a:rPr>
            <a:t>match</a:t>
          </a:r>
          <a:endParaRPr lang="en-US" sz="700">
            <a:latin typeface="Century Gothic" panose="020B0502020202020204" pitchFamily="34" charset="0"/>
          </a:endParaRPr>
        </a:p>
        <a:p>
          <a:pPr algn="r"/>
          <a:r>
            <a:rPr lang="en-US" sz="700">
              <a:latin typeface="Century Gothic" panose="020B0502020202020204" pitchFamily="34" charset="0"/>
            </a:rPr>
            <a:t>stock</a:t>
          </a:r>
          <a:endParaRPr lang="id-ID" sz="70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8</xdr:col>
      <xdr:colOff>127001</xdr:colOff>
      <xdr:row>12</xdr:row>
      <xdr:rowOff>148167</xdr:rowOff>
    </xdr:from>
    <xdr:to>
      <xdr:col>10</xdr:col>
      <xdr:colOff>48326</xdr:colOff>
      <xdr:row>14</xdr:row>
      <xdr:rowOff>173069</xdr:rowOff>
    </xdr:to>
    <xdr:sp>
      <xdr:nvSpPr>
        <xdr:cNvPr id="36" name="TextBox 35"/>
        <xdr:cNvSpPr txBox="1"/>
      </xdr:nvSpPr>
      <xdr:spPr>
        <a:xfrm>
          <a:off x="4265295" y="3224530"/>
          <a:ext cx="1278890" cy="5962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700">
              <a:latin typeface="Century Gothic" panose="020B0502020202020204" pitchFamily="34" charset="0"/>
            </a:rPr>
            <a:t>unmatch stock</a:t>
          </a:r>
          <a:endParaRPr lang="id-ID" sz="70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9</xdr:col>
      <xdr:colOff>603250</xdr:colOff>
      <xdr:row>12</xdr:row>
      <xdr:rowOff>127001</xdr:rowOff>
    </xdr:from>
    <xdr:to>
      <xdr:col>13</xdr:col>
      <xdr:colOff>60006</xdr:colOff>
      <xdr:row>13</xdr:row>
      <xdr:rowOff>64743</xdr:rowOff>
    </xdr:to>
    <xdr:sp>
      <xdr:nvSpPr>
        <xdr:cNvPr id="38" name="TextBox 37"/>
        <xdr:cNvSpPr txBox="1"/>
      </xdr:nvSpPr>
      <xdr:spPr>
        <a:xfrm>
          <a:off x="5420360" y="3203575"/>
          <a:ext cx="1498600" cy="2228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id-ID" sz="700">
              <a:latin typeface="Century Gothic" panose="020B0502020202020204" pitchFamily="34" charset="0"/>
            </a:rPr>
            <a:t>firmed</a:t>
          </a:r>
          <a:r>
            <a:rPr lang="en-US" sz="700" baseline="0">
              <a:latin typeface="Century Gothic" panose="020B0502020202020204" pitchFamily="34" charset="0"/>
            </a:rPr>
            <a:t> </a:t>
          </a:r>
          <a:r>
            <a:rPr lang="id-ID" sz="700">
              <a:latin typeface="Century Gothic" panose="020B0502020202020204" pitchFamily="34" charset="0"/>
            </a:rPr>
            <a:t>&lt; 30d</a:t>
          </a:r>
          <a:endParaRPr lang="id-ID" sz="70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9</xdr:col>
      <xdr:colOff>603250</xdr:colOff>
      <xdr:row>11</xdr:row>
      <xdr:rowOff>66076</xdr:rowOff>
    </xdr:from>
    <xdr:to>
      <xdr:col>13</xdr:col>
      <xdr:colOff>58636</xdr:colOff>
      <xdr:row>12</xdr:row>
      <xdr:rowOff>116708</xdr:rowOff>
    </xdr:to>
    <xdr:sp>
      <xdr:nvSpPr>
        <xdr:cNvPr id="39" name="TextBox 38"/>
        <xdr:cNvSpPr txBox="1"/>
      </xdr:nvSpPr>
      <xdr:spPr>
        <a:xfrm>
          <a:off x="5420360" y="2856865"/>
          <a:ext cx="1497330" cy="3359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id-ID" sz="700">
              <a:latin typeface="Century Gothic" panose="020B0502020202020204" pitchFamily="34" charset="0"/>
            </a:rPr>
            <a:t>firmed</a:t>
          </a:r>
          <a:r>
            <a:rPr lang="en-US" sz="700">
              <a:latin typeface="Century Gothic" panose="020B0502020202020204" pitchFamily="34" charset="0"/>
            </a:rPr>
            <a:t> </a:t>
          </a:r>
          <a:r>
            <a:rPr lang="id-ID" sz="700">
              <a:latin typeface="Century Gothic" panose="020B0502020202020204" pitchFamily="34" charset="0"/>
            </a:rPr>
            <a:t>&gt;30</a:t>
          </a:r>
          <a:r>
            <a:rPr lang="en-US" sz="700" baseline="0">
              <a:latin typeface="Century Gothic" panose="020B0502020202020204" pitchFamily="34" charset="0"/>
            </a:rPr>
            <a:t>d</a:t>
          </a:r>
          <a:endParaRPr lang="id-ID" sz="70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9</xdr:col>
      <xdr:colOff>673347</xdr:colOff>
      <xdr:row>8</xdr:row>
      <xdr:rowOff>168089</xdr:rowOff>
    </xdr:from>
    <xdr:to>
      <xdr:col>12</xdr:col>
      <xdr:colOff>149679</xdr:colOff>
      <xdr:row>10</xdr:row>
      <xdr:rowOff>104588</xdr:rowOff>
    </xdr:to>
    <xdr:sp>
      <xdr:nvSpPr>
        <xdr:cNvPr id="40" name="TextBox 39"/>
        <xdr:cNvSpPr txBox="1"/>
      </xdr:nvSpPr>
      <xdr:spPr>
        <a:xfrm>
          <a:off x="5490210" y="2101215"/>
          <a:ext cx="882015" cy="50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700">
              <a:latin typeface="Century Gothic" panose="020B0502020202020204" pitchFamily="34" charset="0"/>
            </a:rPr>
            <a:t>match</a:t>
          </a:r>
          <a:endParaRPr lang="en-US" sz="700">
            <a:latin typeface="Century Gothic" panose="020B0502020202020204" pitchFamily="34" charset="0"/>
          </a:endParaRPr>
        </a:p>
        <a:p>
          <a:pPr algn="l"/>
          <a:r>
            <a:rPr lang="en-US" sz="700">
              <a:latin typeface="Century Gothic" panose="020B0502020202020204" pitchFamily="34" charset="0"/>
            </a:rPr>
            <a:t>un</a:t>
          </a:r>
          <a:r>
            <a:rPr lang="id-ID" sz="700">
              <a:latin typeface="Century Gothic" panose="020B0502020202020204" pitchFamily="34" charset="0"/>
            </a:rPr>
            <a:t>firmed</a:t>
          </a:r>
          <a:r>
            <a:rPr lang="en-US" sz="700" baseline="0">
              <a:latin typeface="Century Gothic" panose="020B0502020202020204" pitchFamily="34" charset="0"/>
            </a:rPr>
            <a:t> </a:t>
          </a:r>
          <a:r>
            <a:rPr lang="id-ID" sz="700">
              <a:latin typeface="Century Gothic" panose="020B0502020202020204" pitchFamily="34" charset="0"/>
            </a:rPr>
            <a:t>&gt;30</a:t>
          </a:r>
          <a:r>
            <a:rPr lang="en-US" sz="700" baseline="0">
              <a:latin typeface="Century Gothic" panose="020B0502020202020204" pitchFamily="34" charset="0"/>
            </a:rPr>
            <a:t>d</a:t>
          </a:r>
          <a:endParaRPr lang="id-ID" sz="70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9</xdr:col>
      <xdr:colOff>673347</xdr:colOff>
      <xdr:row>7</xdr:row>
      <xdr:rowOff>178050</xdr:rowOff>
    </xdr:from>
    <xdr:to>
      <xdr:col>12</xdr:col>
      <xdr:colOff>122465</xdr:colOff>
      <xdr:row>9</xdr:row>
      <xdr:rowOff>114549</xdr:rowOff>
    </xdr:to>
    <xdr:sp>
      <xdr:nvSpPr>
        <xdr:cNvPr id="41" name="TextBox 40"/>
        <xdr:cNvSpPr txBox="1"/>
      </xdr:nvSpPr>
      <xdr:spPr>
        <a:xfrm>
          <a:off x="5490210" y="1825625"/>
          <a:ext cx="854710" cy="50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700">
              <a:latin typeface="Century Gothic" panose="020B0502020202020204" pitchFamily="34" charset="0"/>
            </a:rPr>
            <a:t>unmatch</a:t>
          </a:r>
          <a:endParaRPr lang="en-US" sz="700">
            <a:latin typeface="Century Gothic" panose="020B0502020202020204" pitchFamily="34" charset="0"/>
          </a:endParaRPr>
        </a:p>
        <a:p>
          <a:pPr algn="l"/>
          <a:r>
            <a:rPr lang="en-US" sz="700">
              <a:latin typeface="Century Gothic" panose="020B0502020202020204" pitchFamily="34" charset="0"/>
            </a:rPr>
            <a:t>un</a:t>
          </a:r>
          <a:r>
            <a:rPr lang="id-ID" sz="700">
              <a:latin typeface="Century Gothic" panose="020B0502020202020204" pitchFamily="34" charset="0"/>
            </a:rPr>
            <a:t>firmed</a:t>
          </a:r>
          <a:r>
            <a:rPr lang="en-US" sz="700" baseline="0">
              <a:latin typeface="Century Gothic" panose="020B0502020202020204" pitchFamily="34" charset="0"/>
            </a:rPr>
            <a:t> </a:t>
          </a:r>
          <a:r>
            <a:rPr lang="id-ID" sz="700">
              <a:latin typeface="Century Gothic" panose="020B0502020202020204" pitchFamily="34" charset="0"/>
            </a:rPr>
            <a:t>&gt;30</a:t>
          </a:r>
          <a:r>
            <a:rPr lang="en-US" sz="700" baseline="0">
              <a:latin typeface="Century Gothic" panose="020B0502020202020204" pitchFamily="34" charset="0"/>
            </a:rPr>
            <a:t>d</a:t>
          </a:r>
          <a:endParaRPr lang="id-ID" sz="70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679037</xdr:colOff>
      <xdr:row>14</xdr:row>
      <xdr:rowOff>160005</xdr:rowOff>
    </xdr:from>
    <xdr:to>
      <xdr:col>6</xdr:col>
      <xdr:colOff>593711</xdr:colOff>
      <xdr:row>17</xdr:row>
      <xdr:rowOff>75600</xdr:rowOff>
    </xdr:to>
    <xdr:sp>
      <xdr:nvSpPr>
        <xdr:cNvPr id="48" name="TextBox 47"/>
        <xdr:cNvSpPr txBox="1"/>
      </xdr:nvSpPr>
      <xdr:spPr>
        <a:xfrm>
          <a:off x="2780665" y="3807460"/>
          <a:ext cx="593090" cy="7734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800" b="1">
              <a:latin typeface="Century Gothic" panose="020B0502020202020204" pitchFamily="34" charset="0"/>
            </a:rPr>
            <a:t>firmed</a:t>
          </a:r>
          <a:endParaRPr lang="en-US" sz="8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4</xdr:col>
      <xdr:colOff>681297</xdr:colOff>
      <xdr:row>6</xdr:row>
      <xdr:rowOff>200085</xdr:rowOff>
    </xdr:from>
    <xdr:to>
      <xdr:col>6</xdr:col>
      <xdr:colOff>108056</xdr:colOff>
      <xdr:row>9</xdr:row>
      <xdr:rowOff>78441</xdr:rowOff>
    </xdr:to>
    <xdr:sp>
      <xdr:nvSpPr>
        <xdr:cNvPr id="49" name="TextBox 48"/>
        <xdr:cNvSpPr txBox="1"/>
      </xdr:nvSpPr>
      <xdr:spPr>
        <a:xfrm rot="16200000">
          <a:off x="2125345" y="1534795"/>
          <a:ext cx="735965" cy="7899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800" b="1">
              <a:latin typeface="Century Gothic" panose="020B0502020202020204" pitchFamily="34" charset="0"/>
            </a:rPr>
            <a:t>unfirmed</a:t>
          </a:r>
          <a:endParaRPr lang="en-US" sz="8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10</xdr:col>
      <xdr:colOff>34779</xdr:colOff>
      <xdr:row>20</xdr:row>
      <xdr:rowOff>22410</xdr:rowOff>
    </xdr:from>
    <xdr:to>
      <xdr:col>10</xdr:col>
      <xdr:colOff>664029</xdr:colOff>
      <xdr:row>21</xdr:row>
      <xdr:rowOff>32657</xdr:rowOff>
    </xdr:to>
    <xdr:sp>
      <xdr:nvSpPr>
        <xdr:cNvPr id="46" name="TextBox 45"/>
        <xdr:cNvSpPr txBox="1"/>
      </xdr:nvSpPr>
      <xdr:spPr>
        <a:xfrm>
          <a:off x="5530215" y="5384800"/>
          <a:ext cx="629285" cy="2959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700">
              <a:latin typeface="Century Gothic" panose="020B0502020202020204" pitchFamily="34" charset="0"/>
            </a:rPr>
            <a:t>(PL + CPI)</a:t>
          </a:r>
          <a:endParaRPr lang="id-ID" sz="70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57150</xdr:colOff>
      <xdr:row>13</xdr:row>
      <xdr:rowOff>160820</xdr:rowOff>
    </xdr:from>
    <xdr:to>
      <xdr:col>6</xdr:col>
      <xdr:colOff>593480</xdr:colOff>
      <xdr:row>13</xdr:row>
      <xdr:rowOff>263770</xdr:rowOff>
    </xdr:to>
    <xdr:sp>
      <xdr:nvSpPr>
        <xdr:cNvPr id="51" name="TextBox 50"/>
        <xdr:cNvSpPr txBox="1"/>
      </xdr:nvSpPr>
      <xdr:spPr>
        <a:xfrm>
          <a:off x="2159000" y="3522980"/>
          <a:ext cx="1214755" cy="1028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id-ID" sz="700">
              <a:latin typeface="Century Gothic" panose="020B0502020202020204" pitchFamily="34" charset="0"/>
            </a:rPr>
            <a:t>30</a:t>
          </a:r>
          <a:r>
            <a:rPr lang="en-US" sz="700">
              <a:latin typeface="Century Gothic" panose="020B0502020202020204" pitchFamily="34" charset="0"/>
            </a:rPr>
            <a:t>-60</a:t>
          </a:r>
          <a:r>
            <a:rPr lang="en-US" sz="700" baseline="0">
              <a:latin typeface="Century Gothic" panose="020B0502020202020204" pitchFamily="34" charset="0"/>
            </a:rPr>
            <a:t> </a:t>
          </a:r>
          <a:r>
            <a:rPr lang="en-US" sz="700">
              <a:latin typeface="Century Gothic" panose="020B0502020202020204" pitchFamily="34" charset="0"/>
            </a:rPr>
            <a:t>days</a:t>
          </a:r>
          <a:endParaRPr lang="id-ID" sz="700">
            <a:latin typeface="Century Gothic" panose="020B0502020202020204" pitchFamily="34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285751</xdr:colOff>
          <xdr:row>13</xdr:row>
          <xdr:rowOff>232834</xdr:rowOff>
        </xdr:from>
        <xdr:to>
          <xdr:col>36</xdr:col>
          <xdr:colOff>381001</xdr:colOff>
          <xdr:row>32</xdr:row>
          <xdr:rowOff>687917</xdr:rowOff>
        </xdr:to>
        <xdr:pic>
          <xdr:nvPicPr>
            <xdr:cNvPr id="57" name="Picture 56"/>
            <xdr:cNvPicPr>
              <a:picLocks noChangeAspect="1" noChangeArrowheads="1"/>
              <a:extLst>
                <a:ext uri="{84589F7E-364E-4C9E-8A38-B11213B215E9}">
                  <a14:cameraTool cellRange="'Reason Unmatch'!$A$1:$J$27" spid="_x0000_s235520"/>
                </a:ext>
              </a:extLst>
            </xdr:cNvPicPr>
          </xdr:nvPicPr>
          <xdr:blipFill>
            <a:blip r:embed="rId1"/>
            <a:srcRect/>
            <a:stretch>
              <a:fillRect/>
            </a:stretch>
          </xdr:blipFill>
          <xdr:spPr>
            <a:xfrm>
              <a:off x="13519150" y="3594735"/>
              <a:ext cx="7786370" cy="42367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5</xdr:col>
      <xdr:colOff>123825</xdr:colOff>
      <xdr:row>7</xdr:row>
      <xdr:rowOff>133351</xdr:rowOff>
    </xdr:from>
    <xdr:to>
      <xdr:col>6</xdr:col>
      <xdr:colOff>527545</xdr:colOff>
      <xdr:row>8</xdr:row>
      <xdr:rowOff>24748</xdr:rowOff>
    </xdr:to>
    <xdr:sp>
      <xdr:nvSpPr>
        <xdr:cNvPr id="22" name="TextBox 25"/>
        <xdr:cNvSpPr txBox="1"/>
      </xdr:nvSpPr>
      <xdr:spPr>
        <a:xfrm>
          <a:off x="2225675" y="1781175"/>
          <a:ext cx="1082040" cy="1765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id-ID" sz="700">
              <a:latin typeface="Century Gothic" panose="020B0502020202020204" pitchFamily="34" charset="0"/>
            </a:rPr>
            <a:t>&gt;60 days</a:t>
          </a:r>
          <a:endParaRPr lang="id-ID" sz="70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123825</xdr:colOff>
      <xdr:row>7</xdr:row>
      <xdr:rowOff>133351</xdr:rowOff>
    </xdr:from>
    <xdr:to>
      <xdr:col>6</xdr:col>
      <xdr:colOff>527545</xdr:colOff>
      <xdr:row>8</xdr:row>
      <xdr:rowOff>24748</xdr:rowOff>
    </xdr:to>
    <xdr:sp>
      <xdr:nvSpPr>
        <xdr:cNvPr id="31" name="TextBox 25"/>
        <xdr:cNvSpPr txBox="1"/>
      </xdr:nvSpPr>
      <xdr:spPr>
        <a:xfrm>
          <a:off x="2225675" y="1781175"/>
          <a:ext cx="1082040" cy="1765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id-ID" sz="700">
              <a:latin typeface="Century Gothic" panose="020B0502020202020204" pitchFamily="34" charset="0"/>
            </a:rPr>
            <a:t>&gt;60 days</a:t>
          </a:r>
          <a:endParaRPr lang="id-ID" sz="70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20</xdr:col>
      <xdr:colOff>3420</xdr:colOff>
      <xdr:row>43</xdr:row>
      <xdr:rowOff>20590</xdr:rowOff>
    </xdr:from>
    <xdr:to>
      <xdr:col>22</xdr:col>
      <xdr:colOff>95249</xdr:colOff>
      <xdr:row>45</xdr:row>
      <xdr:rowOff>121227</xdr:rowOff>
    </xdr:to>
    <xdr:sp>
      <xdr:nvSpPr>
        <xdr:cNvPr id="29" name="Arrow: Left-Right 17"/>
        <xdr:cNvSpPr/>
      </xdr:nvSpPr>
      <xdr:spPr>
        <a:xfrm>
          <a:off x="10916285" y="9726295"/>
          <a:ext cx="1424305" cy="338455"/>
        </a:xfrm>
        <a:prstGeom prst="leftRightArrow">
          <a:avLst>
            <a:gd name="adj1" fmla="val 68667"/>
            <a:gd name="adj2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 b="1" baseline="0"/>
            <a:t>Average 8 days</a:t>
          </a:r>
          <a:endParaRPr kumimoji="1" lang="en-US" altLang="ja-JP" sz="1200" b="1" baseline="0"/>
        </a:p>
      </xdr:txBody>
    </xdr:sp>
    <xdr:clientData/>
  </xdr:twoCellAnchor>
  <xdr:twoCellAnchor>
    <xdr:from>
      <xdr:col>20</xdr:col>
      <xdr:colOff>238887</xdr:colOff>
      <xdr:row>45</xdr:row>
      <xdr:rowOff>17318</xdr:rowOff>
    </xdr:from>
    <xdr:to>
      <xdr:col>21</xdr:col>
      <xdr:colOff>585107</xdr:colOff>
      <xdr:row>46</xdr:row>
      <xdr:rowOff>176893</xdr:rowOff>
    </xdr:to>
    <xdr:sp>
      <xdr:nvSpPr>
        <xdr:cNvPr id="43" name="Rectangle 25"/>
        <xdr:cNvSpPr/>
      </xdr:nvSpPr>
      <xdr:spPr>
        <a:xfrm>
          <a:off x="11151870" y="9961245"/>
          <a:ext cx="994410" cy="3498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SPK</a:t>
          </a:r>
          <a:r>
            <a:rPr kumimoji="1" lang="en-US" altLang="ja-JP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-AFI L/T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52162</xdr:colOff>
      <xdr:row>42</xdr:row>
      <xdr:rowOff>190499</xdr:rowOff>
    </xdr:from>
    <xdr:to>
      <xdr:col>24</xdr:col>
      <xdr:colOff>74573</xdr:colOff>
      <xdr:row>42</xdr:row>
      <xdr:rowOff>190499</xdr:rowOff>
    </xdr:to>
    <xdr:cxnSp>
      <xdr:nvCxnSpPr>
        <xdr:cNvPr id="47" name="Straight Connector 8"/>
        <xdr:cNvCxnSpPr/>
      </xdr:nvCxnSpPr>
      <xdr:spPr>
        <a:xfrm>
          <a:off x="10316845" y="9705340"/>
          <a:ext cx="2821305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33618</xdr:colOff>
      <xdr:row>45</xdr:row>
      <xdr:rowOff>134472</xdr:rowOff>
    </xdr:from>
    <xdr:to>
      <xdr:col>23</xdr:col>
      <xdr:colOff>773206</xdr:colOff>
      <xdr:row>52</xdr:row>
      <xdr:rowOff>41820</xdr:rowOff>
    </xdr:to>
    <xdr:sp>
      <xdr:nvSpPr>
        <xdr:cNvPr id="55" name="TextBox 29"/>
        <xdr:cNvSpPr txBox="1"/>
      </xdr:nvSpPr>
      <xdr:spPr>
        <a:xfrm>
          <a:off x="12393930" y="10078085"/>
          <a:ext cx="669925" cy="12407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>
              <a:latin typeface="Century Gothic" panose="020B0502020202020204" pitchFamily="34" charset="0"/>
            </a:rPr>
            <a:t>Effective</a:t>
          </a:r>
          <a:r>
            <a:rPr lang="en-US" sz="700" baseline="0">
              <a:latin typeface="Century Gothic" panose="020B0502020202020204" pitchFamily="34" charset="0"/>
            </a:rPr>
            <a:t> to May RS</a:t>
          </a:r>
          <a:endParaRPr lang="id-ID" sz="70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23</xdr:col>
      <xdr:colOff>33618</xdr:colOff>
      <xdr:row>40</xdr:row>
      <xdr:rowOff>123264</xdr:rowOff>
    </xdr:from>
    <xdr:to>
      <xdr:col>23</xdr:col>
      <xdr:colOff>773206</xdr:colOff>
      <xdr:row>43</xdr:row>
      <xdr:rowOff>-1</xdr:rowOff>
    </xdr:to>
    <xdr:sp>
      <xdr:nvSpPr>
        <xdr:cNvPr id="56" name="TextBox 29"/>
        <xdr:cNvSpPr txBox="1"/>
      </xdr:nvSpPr>
      <xdr:spPr>
        <a:xfrm>
          <a:off x="12393930" y="9257665"/>
          <a:ext cx="669925" cy="447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aseline="0">
              <a:latin typeface="Century Gothic" panose="020B0502020202020204" pitchFamily="34" charset="0"/>
            </a:rPr>
            <a:t>Become OS</a:t>
          </a:r>
          <a:endParaRPr lang="en-US" sz="700" baseline="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12</xdr:col>
      <xdr:colOff>530678</xdr:colOff>
      <xdr:row>49</xdr:row>
      <xdr:rowOff>163286</xdr:rowOff>
    </xdr:from>
    <xdr:to>
      <xdr:col>14</xdr:col>
      <xdr:colOff>789215</xdr:colOff>
      <xdr:row>52</xdr:row>
      <xdr:rowOff>34018</xdr:rowOff>
    </xdr:to>
    <xdr:sp>
      <xdr:nvSpPr>
        <xdr:cNvPr id="58" name="矢印: 右 57"/>
        <xdr:cNvSpPr/>
      </xdr:nvSpPr>
      <xdr:spPr>
        <a:xfrm>
          <a:off x="6753225" y="10764520"/>
          <a:ext cx="1451610" cy="54673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/>
            <a:t>Nett</a:t>
          </a:r>
          <a:r>
            <a:rPr kumimoji="1" lang="en-US" altLang="ja-JP" sz="1100" baseline="0"/>
            <a:t> SPK Visualize</a:t>
          </a:r>
          <a:endParaRPr kumimoji="1" lang="ja-JP" altLang="en-US" sz="1100"/>
        </a:p>
      </xdr:txBody>
    </xdr:sp>
    <xdr:clientData/>
  </xdr:twoCellAnchor>
  <xdr:twoCellAnchor>
    <xdr:from>
      <xdr:col>23</xdr:col>
      <xdr:colOff>54399</xdr:colOff>
      <xdr:row>60</xdr:row>
      <xdr:rowOff>312964</xdr:rowOff>
    </xdr:from>
    <xdr:to>
      <xdr:col>23</xdr:col>
      <xdr:colOff>802823</xdr:colOff>
      <xdr:row>62</xdr:row>
      <xdr:rowOff>1</xdr:rowOff>
    </xdr:to>
    <xdr:sp>
      <xdr:nvSpPr>
        <xdr:cNvPr id="18" name="TextBox 29"/>
        <xdr:cNvSpPr txBox="1"/>
      </xdr:nvSpPr>
      <xdr:spPr>
        <a:xfrm>
          <a:off x="12414885" y="13738860"/>
          <a:ext cx="648970" cy="3352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>
              <a:latin typeface="Century Gothic" panose="020B0502020202020204" pitchFamily="34" charset="0"/>
            </a:rPr>
            <a:t>from</a:t>
          </a:r>
          <a:endParaRPr lang="en-US" sz="700">
            <a:latin typeface="Century Gothic" panose="020B0502020202020204" pitchFamily="34" charset="0"/>
          </a:endParaRPr>
        </a:p>
        <a:p>
          <a:pPr algn="ctr"/>
          <a:r>
            <a:rPr lang="en-US" sz="700">
              <a:latin typeface="Century Gothic" panose="020B0502020202020204" pitchFamily="34" charset="0"/>
            </a:rPr>
            <a:t>new </a:t>
          </a:r>
          <a:r>
            <a:rPr lang="en-US" sz="700" baseline="0">
              <a:latin typeface="Century Gothic" panose="020B0502020202020204" pitchFamily="34" charset="0"/>
            </a:rPr>
            <a:t>order</a:t>
          </a:r>
          <a:endParaRPr lang="id-ID" sz="700">
            <a:latin typeface="Century Gothic" panose="020B0502020202020204" pitchFamily="34" charset="0"/>
          </a:endParaRPr>
        </a:p>
      </xdr:txBody>
    </xdr:sp>
    <xdr:clientData/>
  </xdr:twoCellAnchor>
  <xdr:oneCellAnchor>
    <xdr:from>
      <xdr:col>5</xdr:col>
      <xdr:colOff>107607</xdr:colOff>
      <xdr:row>61</xdr:row>
      <xdr:rowOff>193578</xdr:rowOff>
    </xdr:from>
    <xdr:ext cx="526967" cy="540806"/>
    <xdr:pic>
      <xdr:nvPicPr>
        <xdr:cNvPr id="26" name="グラフィックス 25" descr="トラック 枠線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flipH="1">
          <a:off x="2209165" y="13943330"/>
          <a:ext cx="527050" cy="541020"/>
        </a:xfrm>
        <a:prstGeom prst="rect">
          <a:avLst/>
        </a:prstGeom>
      </xdr:spPr>
    </xdr:pic>
    <xdr:clientData/>
  </xdr:oneCellAnchor>
  <xdr:twoCellAnchor>
    <xdr:from>
      <xdr:col>2</xdr:col>
      <xdr:colOff>2093</xdr:colOff>
      <xdr:row>57</xdr:row>
      <xdr:rowOff>297740</xdr:rowOff>
    </xdr:from>
    <xdr:to>
      <xdr:col>11</xdr:col>
      <xdr:colOff>108857</xdr:colOff>
      <xdr:row>58</xdr:row>
      <xdr:rowOff>0</xdr:rowOff>
    </xdr:to>
    <xdr:cxnSp>
      <xdr:nvCxnSpPr>
        <xdr:cNvPr id="42" name="Straight Connector 8"/>
        <xdr:cNvCxnSpPr/>
      </xdr:nvCxnSpPr>
      <xdr:spPr>
        <a:xfrm>
          <a:off x="365125" y="12735560"/>
          <a:ext cx="5857875" cy="1587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571500</xdr:colOff>
      <xdr:row>60</xdr:row>
      <xdr:rowOff>142874</xdr:rowOff>
    </xdr:from>
    <xdr:to>
      <xdr:col>14</xdr:col>
      <xdr:colOff>693966</xdr:colOff>
      <xdr:row>62</xdr:row>
      <xdr:rowOff>40821</xdr:rowOff>
    </xdr:to>
    <xdr:sp>
      <xdr:nvSpPr>
        <xdr:cNvPr id="44" name="矢印: 右 43"/>
        <xdr:cNvSpPr/>
      </xdr:nvSpPr>
      <xdr:spPr>
        <a:xfrm>
          <a:off x="6794500" y="13568680"/>
          <a:ext cx="1388745" cy="5461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/>
            <a:t>FFS </a:t>
          </a:r>
          <a:r>
            <a:rPr kumimoji="1" lang="en-US" altLang="ja-JP" sz="1100" baseline="0"/>
            <a:t>selling plan</a:t>
          </a:r>
          <a:endParaRPr kumimoji="1" lang="ja-JP" altLang="en-US" sz="1100"/>
        </a:p>
      </xdr:txBody>
    </xdr:sp>
    <xdr:clientData/>
  </xdr:twoCellAnchor>
  <xdr:oneCellAnchor>
    <xdr:from>
      <xdr:col>6</xdr:col>
      <xdr:colOff>96721</xdr:colOff>
      <xdr:row>60</xdr:row>
      <xdr:rowOff>223514</xdr:rowOff>
    </xdr:from>
    <xdr:ext cx="526967" cy="540806"/>
    <xdr:pic>
      <xdr:nvPicPr>
        <xdr:cNvPr id="45" name="グラフィックス 44" descr="トラック 枠線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flipH="1">
          <a:off x="2877185" y="13649325"/>
          <a:ext cx="527050" cy="541020"/>
        </a:xfrm>
        <a:prstGeom prst="rect">
          <a:avLst/>
        </a:prstGeom>
      </xdr:spPr>
    </xdr:pic>
    <xdr:clientData/>
  </xdr:oneCellAnchor>
  <xdr:oneCellAnchor>
    <xdr:from>
      <xdr:col>7</xdr:col>
      <xdr:colOff>103895</xdr:colOff>
      <xdr:row>59</xdr:row>
      <xdr:rowOff>261766</xdr:rowOff>
    </xdr:from>
    <xdr:ext cx="526967" cy="540806"/>
    <xdr:pic>
      <xdr:nvPicPr>
        <xdr:cNvPr id="50" name="グラフィックス 49" descr="トラック 枠線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flipH="1">
          <a:off x="3562985" y="13326110"/>
          <a:ext cx="527050" cy="540385"/>
        </a:xfrm>
        <a:prstGeom prst="rect">
          <a:avLst/>
        </a:prstGeom>
      </xdr:spPr>
    </xdr:pic>
    <xdr:clientData/>
  </xdr:oneCellAnchor>
  <xdr:oneCellAnchor>
    <xdr:from>
      <xdr:col>8</xdr:col>
      <xdr:colOff>102340</xdr:colOff>
      <xdr:row>58</xdr:row>
      <xdr:rowOff>250881</xdr:rowOff>
    </xdr:from>
    <xdr:ext cx="526967" cy="540806"/>
    <xdr:pic>
      <xdr:nvPicPr>
        <xdr:cNvPr id="52" name="グラフィックス 51" descr="トラック 枠線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flipH="1">
          <a:off x="4240530" y="13002260"/>
          <a:ext cx="527050" cy="540385"/>
        </a:xfrm>
        <a:prstGeom prst="rect">
          <a:avLst/>
        </a:prstGeom>
      </xdr:spPr>
    </xdr:pic>
    <xdr:clientData/>
  </xdr:oneCellAnchor>
  <xdr:oneCellAnchor>
    <xdr:from>
      <xdr:col>9</xdr:col>
      <xdr:colOff>111223</xdr:colOff>
      <xdr:row>57</xdr:row>
      <xdr:rowOff>195824</xdr:rowOff>
    </xdr:from>
    <xdr:ext cx="526967" cy="540806"/>
    <xdr:pic>
      <xdr:nvPicPr>
        <xdr:cNvPr id="54" name="グラフィックス 53" descr="トラック 枠線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flipH="1">
          <a:off x="4928235" y="12633960"/>
          <a:ext cx="527050" cy="541020"/>
        </a:xfrm>
        <a:prstGeom prst="rect">
          <a:avLst/>
        </a:prstGeom>
      </xdr:spPr>
    </xdr:pic>
    <xdr:clientData/>
  </xdr:oneCellAnchor>
  <xdr:oneCellAnchor>
    <xdr:from>
      <xdr:col>10</xdr:col>
      <xdr:colOff>105898</xdr:colOff>
      <xdr:row>56</xdr:row>
      <xdr:rowOff>234552</xdr:rowOff>
    </xdr:from>
    <xdr:ext cx="526967" cy="540806"/>
    <xdr:pic>
      <xdr:nvPicPr>
        <xdr:cNvPr id="59" name="グラフィックス 58" descr="トラック 枠線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flipH="1">
          <a:off x="5601335" y="12302490"/>
          <a:ext cx="527050" cy="541020"/>
        </a:xfrm>
        <a:prstGeom prst="rect">
          <a:avLst/>
        </a:prstGeom>
      </xdr:spPr>
    </xdr:pic>
    <xdr:clientData/>
  </xdr:oneCellAnchor>
  <xdr:oneCellAnchor>
    <xdr:from>
      <xdr:col>4</xdr:col>
      <xdr:colOff>167892</xdr:colOff>
      <xdr:row>62</xdr:row>
      <xdr:rowOff>207065</xdr:rowOff>
    </xdr:from>
    <xdr:ext cx="473728" cy="462944"/>
    <xdr:pic>
      <xdr:nvPicPr>
        <xdr:cNvPr id="63" name="グラフィックス 62" descr="最新のアーキテクチャ 枠線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584960" y="14281150"/>
          <a:ext cx="473710" cy="462915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19049</xdr:colOff>
          <xdr:row>18</xdr:row>
          <xdr:rowOff>93174</xdr:rowOff>
        </xdr:from>
        <xdr:ext cx="1132117" cy="772887"/>
        <xdr:pic>
          <xdr:nvPicPr>
            <xdr:cNvPr id="37" name="Picture 52"/>
            <xdr:cNvPicPr>
              <a:picLocks noChangeAspect="1" noChangeArrowheads="1"/>
              <a:extLst>
                <a:ext uri="{84589F7E-364E-4C9E-8A38-B11213B215E9}">
                  <a14:cameraTool cellRange="Aging!$B$2:$C$5" spid="_x0000_s235521"/>
                </a:ext>
              </a:extLst>
            </xdr:cNvPicPr>
          </xdr:nvPicPr>
          <xdr:blipFill>
            <a:blip r:embed="rId6"/>
            <a:srcRect/>
            <a:stretch>
              <a:fillRect/>
            </a:stretch>
          </xdr:blipFill>
          <xdr:spPr>
            <a:xfrm>
              <a:off x="6241415" y="4883785"/>
              <a:ext cx="1132205" cy="77279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42</xdr:row>
          <xdr:rowOff>174625</xdr:rowOff>
        </xdr:from>
        <xdr:to>
          <xdr:col>36</xdr:col>
          <xdr:colOff>88900</xdr:colOff>
          <xdr:row>67</xdr:row>
          <xdr:rowOff>219075</xdr:rowOff>
        </xdr:to>
        <xdr:pic>
          <xdr:nvPicPr>
            <xdr:cNvPr id="13" name="Picture 12"/>
            <xdr:cNvPicPr>
              <a:picLocks noChangeAspect="1" noChangeArrowheads="1"/>
              <a:extLst>
                <a:ext uri="{84589F7E-364E-4C9E-8A38-B11213B215E9}">
                  <a14:cameraTool cellRange="'Action Plan'!$A$2:$S$27" spid="_x0000_s235522"/>
                </a:ext>
              </a:extLst>
            </xdr:cNvPicPr>
          </xdr:nvPicPr>
          <xdr:blipFill>
            <a:blip r:embed="rId7"/>
            <a:srcRect/>
            <a:stretch>
              <a:fillRect/>
            </a:stretch>
          </xdr:blipFill>
          <xdr:spPr>
            <a:xfrm>
              <a:off x="13936345" y="9690100"/>
              <a:ext cx="7077075" cy="590804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5" minRefreshableVersion="3" refreshedDate="46244.8378935185" refreshedBy="Tunas" recordCount="55">
  <cacheSource type="worksheet">
    <worksheetSource ref="C5:T2957" sheet="OS"/>
  </cacheSource>
  <cacheFields count="18">
    <cacheField name="No" numFmtId="0">
      <sharedItems containsString="0" containsBlank="1" containsNumber="1" containsInteger="1" minValue="1" maxValue="54" count="5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m/>
      </sharedItems>
    </cacheField>
    <cacheField name="Dealer" numFmtId="0">
      <sharedItems containsBlank="1" count="2">
        <s v="Tunas Toyota"/>
        <m/>
      </sharedItems>
    </cacheField>
    <cacheField name="Outlet Code (Sales Code)" numFmtId="0">
      <sharedItems containsString="0" containsBlank="1" containsNonDate="0" count="1">
        <m/>
      </sharedItems>
    </cacheField>
    <cacheField name="Outlet Name" numFmtId="0">
      <sharedItems containsBlank="1" count="2">
        <s v="Tunas Toyota Kiara Condong"/>
        <m/>
      </sharedItems>
    </cacheField>
    <cacheField name="Area AGM" numFmtId="0">
      <sharedItems containsBlank="1" count="2">
        <s v="Area 1"/>
        <m/>
      </sharedItems>
    </cacheField>
    <cacheField name="Area Region" numFmtId="0">
      <sharedItems containsBlank="1" count="2">
        <s v="Area 1 - West Java"/>
        <m/>
      </sharedItems>
    </cacheField>
    <cacheField name="Katashiki Suffix" numFmtId="0">
      <sharedItems containsBlank="1" count="24">
        <s v="NGC200R-DHXHKD00"/>
        <s v="KDH223R-LEMDY00"/>
        <s v="MAGH10R-BPXHBD10"/>
        <s v="GUN126R-DTTHXT00"/>
        <s v="GUN166R-SDTHXD31"/>
        <s v="W101RE-LBMFJ00"/>
        <s v="GDH321R-EDFDYD10"/>
        <s v="W101RE-LMMFJ00"/>
        <s v="B401RA-GMZFJ20"/>
        <s v="GUN166R-SDTHXD33"/>
        <s v="W100RE-LMDFJ00"/>
        <s v="MAGA10R-BRXLBD01"/>
        <s v="A351RA-GBEFJ00"/>
        <s v="MAGH10R-BRXLBD10"/>
        <s v="W102RE-LBVFJ08"/>
        <s v="B101RA-GMSGJ41"/>
        <s v="GUN112R-BTMXYD00"/>
        <s v="GUN142R-MDMSYD22"/>
        <s v="A351RA-GBGFJ02"/>
        <s v="B401RA-GQZFJ02"/>
        <s v="GUN142R-MDTSXD30"/>
        <s v="B401RA-GQZFJ20"/>
        <s v="A250RA-GBVVJ31"/>
        <m/>
      </sharedItems>
    </cacheField>
    <cacheField name="Katashiki" numFmtId="0">
      <sharedItems containsBlank="1" count="22">
        <s v="NGC200R-DHXHKD"/>
        <s v="KDH223R-LEMDY"/>
        <s v="MAGH10R-BPXHBD"/>
        <s v="GUN126R-DTTHXT"/>
        <s v="GUN166R-SDTHXD"/>
        <s v="W101RE-LBMFJ"/>
        <s v="GDH321R-EDFDYD"/>
        <s v="W101RE-LMMFJ"/>
        <s v="B401RA-GMZFJ"/>
        <s v="W100RE-LMDFJ"/>
        <s v="MAGA10R-BRXLBD"/>
        <s v="A351RA-GBEFJ"/>
        <s v="MAGH10R-BRXLBD"/>
        <s v="W102RE-LBVFJ"/>
        <s v="B101RA-GMSGJ"/>
        <s v="GUN112R-BTMXYD"/>
        <s v="GUN142R-MDMSYD"/>
        <s v="A351RA-GBGFJ"/>
        <s v="B401RA-GQZFJ"/>
        <s v="GUN142R-MDTSXD"/>
        <s v="A250RA-GBVVJ"/>
        <m/>
      </sharedItems>
    </cacheField>
    <cacheField name="Suffix" numFmtId="0">
      <sharedItems containsBlank="1" containsNumber="1" containsInteger="1" containsMixedTypes="1" count="12">
        <s v="00"/>
        <n v="10"/>
        <n v="31"/>
        <n v="20"/>
        <n v="33"/>
        <s v="01"/>
        <s v="08"/>
        <n v="41"/>
        <s v="22"/>
        <s v="02"/>
        <n v="30"/>
        <m/>
      </sharedItems>
    </cacheField>
    <cacheField name="Model" numFmtId="0">
      <sharedItems containsBlank="1" count="39">
        <s v="YARIS CROSS GASOLINE"/>
        <s v="HIACE"/>
        <s v="INNOVA ZENIX HYBRID"/>
        <s v="HILUX D-CAB"/>
        <s v="FORTUNER 4X2"/>
        <s v="AVANZA NEW"/>
        <s v="HIACE PREMIO"/>
        <s v="CALYA"/>
        <s v="INNOVA ZENIX"/>
        <s v="AGYA"/>
        <s v="VELOZ HYBRID"/>
        <s v="HILUX S-CAB"/>
        <s v="INNOVA"/>
        <s v="AGYA GR-S"/>
        <s v="RAIZE"/>
        <m/>
        <s v="RUSH" u="1"/>
        <s v="FORTUNER 4X4" u="1"/>
        <s v="Hilux Rangga" u="1"/>
        <s v="HILUX S-CAB 4X4" u="1"/>
        <s v="LANDCRUISER 300" u="1"/>
        <s v="ALPHARD" u="1"/>
        <s v="YARIS CROSS HYBRID" u="1"/>
        <s v="ALPHARD HYBRID" u="1"/>
        <s v="BZ4X" u="1"/>
        <s v="VOXY" u="1"/>
        <s v="FT86" u="1"/>
        <s v="VELOZ NEW" u="1"/>
        <s v="GR86" u="1"/>
        <s v="GR YARIS" u="1"/>
        <s v="COROLLA" u="1"/>
        <s v="VELLFIRE" u="1"/>
        <s v="CAMRY HYBRID" u="1"/>
        <s v="VIOS" u="1"/>
        <s v="SUPRA" u="1"/>
        <s v="COROLLA CROSS HYBRID" u="1"/>
        <s v="COROLLA HYBRID" u="1"/>
        <e v="#N/A" u="1"/>
        <s v="YARIS" u="1"/>
      </sharedItems>
    </cacheField>
    <cacheField name="Type Model" numFmtId="0">
      <sharedItems containsBlank="1" count="22">
        <s v="YARIS CROSS GASOLINE 1.5S CVT TSS"/>
        <s v="HI ACE COMMUTER M/T"/>
        <s v="INNOVA ZENIX HYBRID 2.0Q HV CVT TSS"/>
        <s v="HILUX 2.8 GR-S DOUBLE CABIN 4X4 A/T"/>
        <s v="Fortuner 2.8 VRZ 4X2 A/T"/>
        <s v="NEW AVANZA 1.5G CVT"/>
        <s v="HIACE 2.8 M/T"/>
        <s v="NEW AVANZA 1.5G M/T"/>
        <s v="CALYA 1.2G M/T"/>
        <s v="NEW AVANZA 1.3E M/T"/>
        <s v="INNOVA ZENIX 2.0G CVT"/>
        <s v="AGYA 1.2 G CVT"/>
        <s v="INNOVA ZENIX HYBRID 2.0G HV CVT"/>
        <s v="VELOZ 1.5 Q HYBRID  CVT-NON PREMIUM COLOR"/>
        <s v="AGYA 1.2 G M/T"/>
        <s v="HILUX PICK UP 2.4 DSL M/T"/>
        <s v="INNOVA 2.4G M/T"/>
        <s v="AGYA 1.2 GR CVT"/>
        <s v="CALYA 1.2G A/T"/>
        <s v="INNOVA 2.4G A/T"/>
        <s v="RAIZE 1.0T S CVT One Tone"/>
        <m/>
      </sharedItems>
    </cacheField>
    <cacheField name="Outstanding Days" numFmtId="0">
      <sharedItems containsString="0" containsBlank="1" containsNumber="1" containsInteger="1" minValue="2" maxValue="90" count="22">
        <n v="90"/>
        <n v="33"/>
        <n v="32"/>
        <n v="28"/>
        <n v="25"/>
        <n v="20"/>
        <n v="19"/>
        <n v="18"/>
        <n v="15"/>
        <n v="14"/>
        <n v="13"/>
        <n v="12"/>
        <n v="11"/>
        <n v="10"/>
        <n v="6"/>
        <n v="2"/>
        <n v="3"/>
        <n v="4"/>
        <n v="5"/>
        <n v="7"/>
        <n v="9"/>
        <m/>
      </sharedItems>
    </cacheField>
    <cacheField name="Umur Outstansing" numFmtId="0">
      <sharedItems containsBlank="1" containsNumber="1" containsInteger="1" containsMixedTypes="1" count="7">
        <s v="&gt; 4 Minggu"/>
        <s v="4 Minggu"/>
        <s v="3 Minggu"/>
        <s v="2 Minggu"/>
        <s v="1 Minggu"/>
        <m/>
        <n v="0" u="1"/>
      </sharedItems>
    </cacheField>
    <cacheField name="OS Category" numFmtId="0">
      <sharedItems containsBlank="1" containsNumber="1" containsInteger="1" containsMixedTypes="1" count="5">
        <s v="&gt;60D"/>
        <s v="30D-60D"/>
        <s v="&lt;30D"/>
        <m/>
        <n v="0" u="1"/>
      </sharedItems>
    </cacheField>
    <cacheField name="Tanggal SPK" numFmtId="0">
      <sharedItems containsString="0" containsBlank="1" containsNonDate="0" containsDate="1" minDate="2026-05-13T00:00:00" maxDate="2026-08-09T00:00:00" count="22">
        <d v="2026-05-13T00:00:00"/>
        <d v="2026-07-09T00:00:00"/>
        <d v="2026-07-10T00:00:00"/>
        <d v="2026-07-14T00:00:00"/>
        <d v="2026-07-17T00:00:00"/>
        <d v="2026-07-22T00:00:00"/>
        <d v="2026-07-23T00:00:00"/>
        <d v="2026-07-24T00:00:00"/>
        <d v="2026-07-27T00:00:00"/>
        <d v="2026-07-28T00:00:00"/>
        <d v="2026-07-29T00:00:00"/>
        <d v="2026-07-30T00:00:00"/>
        <d v="2026-07-31T00:00:00"/>
        <d v="2026-08-01T00:00:00"/>
        <d v="2026-08-05T00:00:00"/>
        <d v="2026-08-09T00:00:00"/>
        <d v="2026-08-08T00:00:00"/>
        <d v="2026-08-07T00:00:00"/>
        <d v="2026-08-06T00:00:00"/>
        <d v="2026-08-04T00:00:00"/>
        <d v="2026-08-02T00:00:00"/>
        <m/>
      </sharedItems>
    </cacheField>
    <cacheField name="Status SPK" numFmtId="0">
      <sharedItems containsBlank="1" count="8">
        <s v="PENDING LOAN"/>
        <s v="FIRMED"/>
        <s v="PAYMENT ISSUE"/>
        <m/>
        <s v="Customer Payment Issue" u="1"/>
        <s v="Cancel" u="1"/>
        <s v="FIRMED " u="1"/>
        <s v="Pending Loan " u="1"/>
      </sharedItems>
    </cacheField>
    <cacheField name="Status Supply" numFmtId="0">
      <sharedItems containsBlank="1" count="17">
        <s v="UNMATCH"/>
        <s v="MATCH SUPPLY STOCK ON HAND"/>
        <s v="MATCH MDP"/>
        <m/>
        <s v="Match Supply Stock On Hand " u="1"/>
        <s v="UNMATCH " u="1"/>
        <s v="UN MATCH" u="1"/>
        <s v="MatchMDP" u="1"/>
        <s v="MZATCH SUPPLY STOCK ON HAND" u="1"/>
        <s v="Match MDP (Belum On Hand)" u="1"/>
        <s v=" " u="1"/>
        <s v="??'" u="1"/>
        <s v="match suppy stock on hand" u="1"/>
        <s v="Match Supplay Stock On Hand" u="1"/>
        <s v="MATCH SUPPLY STOCK READY ON HAND" u="1"/>
        <s v="Match MDP ( Belum On Hand )" u="1"/>
        <s v="Match MDP  (Belum On Hand)" u="1"/>
      </sharedItems>
    </cacheField>
    <cacheField name="Month" numFmtId="0">
      <sharedItems containsString="0" containsBlank="1" containsNonDate="0" containsNumber="1" containsInteger="1" count="13">
        <m/>
        <n v="7" u="1"/>
        <n v="5" u="1"/>
        <n v="2" u="1"/>
        <n v="6" u="1"/>
        <n v="1" u="1"/>
        <n v="3" u="1"/>
        <n v="8" u="1"/>
        <n v="9" u="1"/>
        <n v="10" u="1"/>
        <n v="11" u="1"/>
        <n v="4" u="1"/>
        <n v="12" u="1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 refreshedVersion="5" minRefreshableVersion="3" refreshedDate="46244.8378935185" refreshedBy="Tunas" recordCount="55">
  <cacheSource type="worksheet">
    <worksheetSource ref="C5:T858" sheet="OS"/>
  </cacheSource>
  <cacheFields count="18">
    <cacheField name="No" numFmtId="0">
      <sharedItems containsString="0" containsBlank="1" containsNumber="1" containsInteger="1" minValue="1" maxValue="54" count="5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m/>
      </sharedItems>
    </cacheField>
    <cacheField name="Dealer" numFmtId="0">
      <sharedItems containsBlank="1" count="2">
        <s v="Tunas Toyota"/>
        <m/>
      </sharedItems>
    </cacheField>
    <cacheField name="Outlet Code (Sales Code)" numFmtId="0">
      <sharedItems containsString="0" containsBlank="1" containsNonDate="0" count="1">
        <m/>
      </sharedItems>
    </cacheField>
    <cacheField name="Outlet Name" numFmtId="0">
      <sharedItems containsBlank="1" count="2">
        <s v="Tunas Toyota Kiara Condong"/>
        <m/>
      </sharedItems>
    </cacheField>
    <cacheField name="Area AGM" numFmtId="0">
      <sharedItems containsBlank="1" count="2">
        <s v="Area 1"/>
        <m/>
      </sharedItems>
    </cacheField>
    <cacheField name="Area Region" numFmtId="0">
      <sharedItems containsBlank="1" count="2">
        <s v="Area 1 - West Java"/>
        <m/>
      </sharedItems>
    </cacheField>
    <cacheField name="Katashiki Suffix" numFmtId="0">
      <sharedItems containsBlank="1" count="24">
        <s v="NGC200R-DHXHKD00"/>
        <s v="KDH223R-LEMDY00"/>
        <s v="MAGH10R-BPXHBD10"/>
        <s v="GUN126R-DTTHXT00"/>
        <s v="GUN166R-SDTHXD31"/>
        <s v="W101RE-LBMFJ00"/>
        <s v="GDH321R-EDFDYD10"/>
        <s v="W101RE-LMMFJ00"/>
        <s v="B401RA-GMZFJ20"/>
        <s v="GUN166R-SDTHXD33"/>
        <s v="W100RE-LMDFJ00"/>
        <s v="MAGA10R-BRXLBD01"/>
        <s v="A351RA-GBEFJ00"/>
        <s v="MAGH10R-BRXLBD10"/>
        <s v="W102RE-LBVFJ08"/>
        <s v="B101RA-GMSGJ41"/>
        <s v="GUN112R-BTMXYD00"/>
        <s v="GUN142R-MDMSYD22"/>
        <s v="A351RA-GBGFJ02"/>
        <s v="B401RA-GQZFJ02"/>
        <s v="GUN142R-MDTSXD30"/>
        <s v="B401RA-GQZFJ20"/>
        <s v="A250RA-GBVVJ31"/>
        <m/>
      </sharedItems>
    </cacheField>
    <cacheField name="Katashiki" numFmtId="0">
      <sharedItems containsBlank="1" count="22">
        <s v="NGC200R-DHXHKD"/>
        <s v="KDH223R-LEMDY"/>
        <s v="MAGH10R-BPXHBD"/>
        <s v="GUN126R-DTTHXT"/>
        <s v="GUN166R-SDTHXD"/>
        <s v="W101RE-LBMFJ"/>
        <s v="GDH321R-EDFDYD"/>
        <s v="W101RE-LMMFJ"/>
        <s v="B401RA-GMZFJ"/>
        <s v="W100RE-LMDFJ"/>
        <s v="MAGA10R-BRXLBD"/>
        <s v="A351RA-GBEFJ"/>
        <s v="MAGH10R-BRXLBD"/>
        <s v="W102RE-LBVFJ"/>
        <s v="B101RA-GMSGJ"/>
        <s v="GUN112R-BTMXYD"/>
        <s v="GUN142R-MDMSYD"/>
        <s v="A351RA-GBGFJ"/>
        <s v="B401RA-GQZFJ"/>
        <s v="GUN142R-MDTSXD"/>
        <s v="A250RA-GBVVJ"/>
        <m/>
      </sharedItems>
    </cacheField>
    <cacheField name="Suffix" numFmtId="0">
      <sharedItems containsBlank="1" containsNumber="1" containsInteger="1" containsMixedTypes="1" count="12">
        <s v="00"/>
        <n v="10"/>
        <n v="31"/>
        <n v="20"/>
        <n v="33"/>
        <s v="01"/>
        <s v="08"/>
        <n v="41"/>
        <s v="22"/>
        <s v="02"/>
        <n v="30"/>
        <m/>
      </sharedItems>
    </cacheField>
    <cacheField name="Model" numFmtId="0">
      <sharedItems containsBlank="1" count="16">
        <s v="YARIS CROSS GASOLINE"/>
        <s v="HIACE"/>
        <s v="INNOVA ZENIX HYBRID"/>
        <s v="HILUX D-CAB"/>
        <s v="FORTUNER 4X2"/>
        <s v="AVANZA NEW"/>
        <s v="HIACE PREMIO"/>
        <s v="CALYA"/>
        <s v="INNOVA ZENIX"/>
        <s v="AGYA"/>
        <s v="VELOZ HYBRID"/>
        <s v="HILUX S-CAB"/>
        <s v="INNOVA"/>
        <s v="AGYA GR-S"/>
        <s v="RAIZE"/>
        <m/>
      </sharedItems>
    </cacheField>
    <cacheField name="Type Model" numFmtId="0">
      <sharedItems containsBlank="1" count="22">
        <s v="YARIS CROSS GASOLINE 1.5S CVT TSS"/>
        <s v="HI ACE COMMUTER M/T"/>
        <s v="INNOVA ZENIX HYBRID 2.0Q HV CVT TSS"/>
        <s v="HILUX 2.8 GR-S DOUBLE CABIN 4X4 A/T"/>
        <s v="Fortuner 2.8 VRZ 4X2 A/T"/>
        <s v="NEW AVANZA 1.5G CVT"/>
        <s v="HIACE 2.8 M/T"/>
        <s v="NEW AVANZA 1.5G M/T"/>
        <s v="CALYA 1.2G M/T"/>
        <s v="NEW AVANZA 1.3E M/T"/>
        <s v="INNOVA ZENIX 2.0G CVT"/>
        <s v="AGYA 1.2 G CVT"/>
        <s v="INNOVA ZENIX HYBRID 2.0G HV CVT"/>
        <s v="VELOZ 1.5 Q HYBRID  CVT-NON PREMIUM COLOR"/>
        <s v="AGYA 1.2 G M/T"/>
        <s v="HILUX PICK UP 2.4 DSL M/T"/>
        <s v="INNOVA 2.4G M/T"/>
        <s v="AGYA 1.2 GR CVT"/>
        <s v="CALYA 1.2G A/T"/>
        <s v="INNOVA 2.4G A/T"/>
        <s v="RAIZE 1.0T S CVT One Tone"/>
        <m/>
      </sharedItems>
    </cacheField>
    <cacheField name="Outstanding Days" numFmtId="0">
      <sharedItems containsString="0" containsBlank="1" containsNumber="1" containsInteger="1" minValue="2" maxValue="90" count="22">
        <n v="90"/>
        <n v="33"/>
        <n v="32"/>
        <n v="28"/>
        <n v="25"/>
        <n v="20"/>
        <n v="19"/>
        <n v="18"/>
        <n v="15"/>
        <n v="14"/>
        <n v="13"/>
        <n v="12"/>
        <n v="11"/>
        <n v="10"/>
        <n v="6"/>
        <n v="2"/>
        <n v="3"/>
        <n v="4"/>
        <n v="5"/>
        <n v="7"/>
        <n v="9"/>
        <m/>
      </sharedItems>
    </cacheField>
    <cacheField name="Umur Outstansing" numFmtId="0">
      <sharedItems containsBlank="1" containsNumber="1" containsInteger="1" containsMixedTypes="1" count="7">
        <s v="&gt; 4 Minggu"/>
        <s v="4 Minggu"/>
        <s v="3 Minggu"/>
        <s v="2 Minggu"/>
        <s v="1 Minggu"/>
        <m/>
        <n v="0" u="1"/>
      </sharedItems>
    </cacheField>
    <cacheField name="OS Category" numFmtId="0">
      <sharedItems containsBlank="1" containsNumber="1" containsInteger="1" containsMixedTypes="1" count="5">
        <s v="&gt;60D"/>
        <s v="30D-60D"/>
        <s v="&lt;30D"/>
        <m/>
        <n v="0" u="1"/>
      </sharedItems>
    </cacheField>
    <cacheField name="Tanggal SPK" numFmtId="58">
      <sharedItems containsString="0" containsBlank="1" containsNonDate="0" containsDate="1" minDate="2026-05-13T00:00:00" maxDate="2026-08-09T00:00:00" count="22">
        <d v="2026-05-13T00:00:00"/>
        <d v="2026-07-09T00:00:00"/>
        <d v="2026-07-10T00:00:00"/>
        <d v="2026-07-14T00:00:00"/>
        <d v="2026-07-17T00:00:00"/>
        <d v="2026-07-22T00:00:00"/>
        <d v="2026-07-23T00:00:00"/>
        <d v="2026-07-24T00:00:00"/>
        <d v="2026-07-27T00:00:00"/>
        <d v="2026-07-28T00:00:00"/>
        <d v="2026-07-29T00:00:00"/>
        <d v="2026-07-30T00:00:00"/>
        <d v="2026-07-31T00:00:00"/>
        <d v="2026-08-01T00:00:00"/>
        <d v="2026-08-05T00:00:00"/>
        <d v="2026-08-09T00:00:00"/>
        <d v="2026-08-08T00:00:00"/>
        <d v="2026-08-07T00:00:00"/>
        <d v="2026-08-06T00:00:00"/>
        <d v="2026-08-04T00:00:00"/>
        <d v="2026-08-02T00:00:00"/>
        <m/>
      </sharedItems>
    </cacheField>
    <cacheField name="Status SPK" numFmtId="178">
      <sharedItems containsBlank="1" count="8">
        <s v="PENDING LOAN"/>
        <s v="FIRMED"/>
        <s v="PAYMENT ISSUE"/>
        <m/>
        <s v="Customer Payment Issue" u="1"/>
        <s v="Cancel" u="1"/>
        <s v="Firmed " u="1"/>
        <s v="Pending Loan " u="1"/>
      </sharedItems>
    </cacheField>
    <cacheField name="Status Supply" numFmtId="0">
      <sharedItems containsBlank="1" count="15">
        <s v="UNMATCH"/>
        <s v="MATCH SUPPLY STOCK ON HAND"/>
        <s v="MATCH MDP"/>
        <m/>
        <s v="Match Supply Stock On Hand " u="1"/>
        <s v="unmatch " u="1"/>
        <s v="Mstch MDP" u="1"/>
        <s v="UN MATCH" u="1"/>
        <s v="MatchMDP" u="1"/>
        <s v="Match MDP (Belum On Hand)" u="1"/>
        <s v="match suppy stock on hand" u="1"/>
        <s v="Match Supplay Stock On Hand" u="1"/>
        <s v="MATCH SUPPLY STOCK READY ON HAND" u="1"/>
        <s v="Match MDP ( Belum On Hand )" u="1"/>
        <s v="Match MDP  (Belum On Hand)" u="1"/>
      </sharedItems>
    </cacheField>
    <cacheField name="Month" numFmtId="0">
      <sharedItems containsString="0" containsBlank="1" containsNonDate="0" containsNumber="1" containsInteger="1" count="13">
        <m/>
        <n v="7" u="1"/>
        <n v="5" u="1"/>
        <n v="2" u="1"/>
        <n v="6" u="1"/>
        <n v="1" u="1"/>
        <n v="3" u="1"/>
        <n v="8" u="1"/>
        <n v="9" u="1"/>
        <n v="10" u="1"/>
        <n v="11" u="1"/>
        <n v="4" u="1"/>
        <n v="12" u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1"/>
    <x v="1"/>
    <x v="0"/>
    <x v="1"/>
    <x v="1"/>
    <x v="1"/>
    <x v="0"/>
    <x v="1"/>
    <x v="1"/>
    <x v="0"/>
    <x v="0"/>
    <x v="0"/>
  </r>
  <r>
    <x v="2"/>
    <x v="0"/>
    <x v="0"/>
    <x v="0"/>
    <x v="0"/>
    <x v="0"/>
    <x v="1"/>
    <x v="1"/>
    <x v="0"/>
    <x v="1"/>
    <x v="1"/>
    <x v="1"/>
    <x v="0"/>
    <x v="1"/>
    <x v="1"/>
    <x v="0"/>
    <x v="0"/>
    <x v="0"/>
  </r>
  <r>
    <x v="3"/>
    <x v="0"/>
    <x v="0"/>
    <x v="0"/>
    <x v="0"/>
    <x v="0"/>
    <x v="2"/>
    <x v="2"/>
    <x v="1"/>
    <x v="2"/>
    <x v="2"/>
    <x v="2"/>
    <x v="0"/>
    <x v="1"/>
    <x v="2"/>
    <x v="0"/>
    <x v="0"/>
    <x v="0"/>
  </r>
  <r>
    <x v="4"/>
    <x v="0"/>
    <x v="0"/>
    <x v="0"/>
    <x v="0"/>
    <x v="0"/>
    <x v="3"/>
    <x v="3"/>
    <x v="0"/>
    <x v="3"/>
    <x v="3"/>
    <x v="2"/>
    <x v="0"/>
    <x v="1"/>
    <x v="2"/>
    <x v="0"/>
    <x v="0"/>
    <x v="0"/>
  </r>
  <r>
    <x v="5"/>
    <x v="0"/>
    <x v="0"/>
    <x v="0"/>
    <x v="0"/>
    <x v="0"/>
    <x v="4"/>
    <x v="4"/>
    <x v="2"/>
    <x v="4"/>
    <x v="4"/>
    <x v="3"/>
    <x v="1"/>
    <x v="2"/>
    <x v="3"/>
    <x v="1"/>
    <x v="1"/>
    <x v="0"/>
  </r>
  <r>
    <x v="6"/>
    <x v="0"/>
    <x v="0"/>
    <x v="0"/>
    <x v="0"/>
    <x v="0"/>
    <x v="5"/>
    <x v="5"/>
    <x v="0"/>
    <x v="5"/>
    <x v="5"/>
    <x v="4"/>
    <x v="1"/>
    <x v="2"/>
    <x v="4"/>
    <x v="0"/>
    <x v="1"/>
    <x v="0"/>
  </r>
  <r>
    <x v="7"/>
    <x v="0"/>
    <x v="0"/>
    <x v="0"/>
    <x v="0"/>
    <x v="0"/>
    <x v="6"/>
    <x v="6"/>
    <x v="1"/>
    <x v="6"/>
    <x v="6"/>
    <x v="5"/>
    <x v="2"/>
    <x v="2"/>
    <x v="5"/>
    <x v="0"/>
    <x v="0"/>
    <x v="0"/>
  </r>
  <r>
    <x v="8"/>
    <x v="0"/>
    <x v="0"/>
    <x v="0"/>
    <x v="0"/>
    <x v="0"/>
    <x v="7"/>
    <x v="7"/>
    <x v="0"/>
    <x v="5"/>
    <x v="7"/>
    <x v="6"/>
    <x v="2"/>
    <x v="2"/>
    <x v="6"/>
    <x v="2"/>
    <x v="1"/>
    <x v="0"/>
  </r>
  <r>
    <x v="9"/>
    <x v="0"/>
    <x v="0"/>
    <x v="0"/>
    <x v="0"/>
    <x v="0"/>
    <x v="8"/>
    <x v="8"/>
    <x v="3"/>
    <x v="7"/>
    <x v="8"/>
    <x v="7"/>
    <x v="2"/>
    <x v="2"/>
    <x v="7"/>
    <x v="0"/>
    <x v="1"/>
    <x v="0"/>
  </r>
  <r>
    <x v="10"/>
    <x v="0"/>
    <x v="0"/>
    <x v="0"/>
    <x v="0"/>
    <x v="0"/>
    <x v="9"/>
    <x v="4"/>
    <x v="4"/>
    <x v="4"/>
    <x v="4"/>
    <x v="7"/>
    <x v="2"/>
    <x v="2"/>
    <x v="7"/>
    <x v="0"/>
    <x v="0"/>
    <x v="0"/>
  </r>
  <r>
    <x v="11"/>
    <x v="0"/>
    <x v="0"/>
    <x v="0"/>
    <x v="0"/>
    <x v="0"/>
    <x v="10"/>
    <x v="9"/>
    <x v="0"/>
    <x v="5"/>
    <x v="9"/>
    <x v="8"/>
    <x v="2"/>
    <x v="2"/>
    <x v="8"/>
    <x v="0"/>
    <x v="1"/>
    <x v="0"/>
  </r>
  <r>
    <x v="12"/>
    <x v="0"/>
    <x v="0"/>
    <x v="0"/>
    <x v="0"/>
    <x v="0"/>
    <x v="8"/>
    <x v="8"/>
    <x v="3"/>
    <x v="7"/>
    <x v="8"/>
    <x v="8"/>
    <x v="2"/>
    <x v="2"/>
    <x v="8"/>
    <x v="0"/>
    <x v="1"/>
    <x v="0"/>
  </r>
  <r>
    <x v="13"/>
    <x v="0"/>
    <x v="0"/>
    <x v="0"/>
    <x v="0"/>
    <x v="0"/>
    <x v="11"/>
    <x v="10"/>
    <x v="5"/>
    <x v="8"/>
    <x v="10"/>
    <x v="8"/>
    <x v="2"/>
    <x v="2"/>
    <x v="8"/>
    <x v="0"/>
    <x v="1"/>
    <x v="0"/>
  </r>
  <r>
    <x v="14"/>
    <x v="0"/>
    <x v="0"/>
    <x v="0"/>
    <x v="0"/>
    <x v="0"/>
    <x v="8"/>
    <x v="8"/>
    <x v="3"/>
    <x v="7"/>
    <x v="8"/>
    <x v="9"/>
    <x v="3"/>
    <x v="2"/>
    <x v="9"/>
    <x v="0"/>
    <x v="0"/>
    <x v="0"/>
  </r>
  <r>
    <x v="15"/>
    <x v="0"/>
    <x v="0"/>
    <x v="0"/>
    <x v="0"/>
    <x v="0"/>
    <x v="12"/>
    <x v="11"/>
    <x v="0"/>
    <x v="9"/>
    <x v="11"/>
    <x v="10"/>
    <x v="3"/>
    <x v="2"/>
    <x v="10"/>
    <x v="0"/>
    <x v="1"/>
    <x v="0"/>
  </r>
  <r>
    <x v="16"/>
    <x v="0"/>
    <x v="0"/>
    <x v="0"/>
    <x v="0"/>
    <x v="0"/>
    <x v="8"/>
    <x v="8"/>
    <x v="3"/>
    <x v="7"/>
    <x v="8"/>
    <x v="11"/>
    <x v="3"/>
    <x v="2"/>
    <x v="11"/>
    <x v="1"/>
    <x v="1"/>
    <x v="0"/>
  </r>
  <r>
    <x v="17"/>
    <x v="0"/>
    <x v="0"/>
    <x v="0"/>
    <x v="0"/>
    <x v="0"/>
    <x v="13"/>
    <x v="12"/>
    <x v="1"/>
    <x v="2"/>
    <x v="12"/>
    <x v="12"/>
    <x v="3"/>
    <x v="2"/>
    <x v="12"/>
    <x v="1"/>
    <x v="1"/>
    <x v="0"/>
  </r>
  <r>
    <x v="18"/>
    <x v="0"/>
    <x v="0"/>
    <x v="0"/>
    <x v="0"/>
    <x v="0"/>
    <x v="14"/>
    <x v="13"/>
    <x v="6"/>
    <x v="10"/>
    <x v="13"/>
    <x v="13"/>
    <x v="3"/>
    <x v="2"/>
    <x v="13"/>
    <x v="1"/>
    <x v="2"/>
    <x v="0"/>
  </r>
  <r>
    <x v="19"/>
    <x v="0"/>
    <x v="0"/>
    <x v="0"/>
    <x v="0"/>
    <x v="0"/>
    <x v="14"/>
    <x v="13"/>
    <x v="6"/>
    <x v="10"/>
    <x v="13"/>
    <x v="13"/>
    <x v="3"/>
    <x v="2"/>
    <x v="13"/>
    <x v="1"/>
    <x v="2"/>
    <x v="0"/>
  </r>
  <r>
    <x v="20"/>
    <x v="0"/>
    <x v="0"/>
    <x v="0"/>
    <x v="0"/>
    <x v="0"/>
    <x v="14"/>
    <x v="13"/>
    <x v="6"/>
    <x v="10"/>
    <x v="13"/>
    <x v="13"/>
    <x v="3"/>
    <x v="2"/>
    <x v="13"/>
    <x v="1"/>
    <x v="2"/>
    <x v="0"/>
  </r>
  <r>
    <x v="21"/>
    <x v="0"/>
    <x v="0"/>
    <x v="0"/>
    <x v="0"/>
    <x v="0"/>
    <x v="14"/>
    <x v="13"/>
    <x v="6"/>
    <x v="10"/>
    <x v="13"/>
    <x v="13"/>
    <x v="3"/>
    <x v="2"/>
    <x v="13"/>
    <x v="1"/>
    <x v="2"/>
    <x v="0"/>
  </r>
  <r>
    <x v="22"/>
    <x v="0"/>
    <x v="0"/>
    <x v="0"/>
    <x v="0"/>
    <x v="0"/>
    <x v="14"/>
    <x v="13"/>
    <x v="6"/>
    <x v="10"/>
    <x v="13"/>
    <x v="13"/>
    <x v="3"/>
    <x v="2"/>
    <x v="13"/>
    <x v="1"/>
    <x v="2"/>
    <x v="0"/>
  </r>
  <r>
    <x v="23"/>
    <x v="0"/>
    <x v="0"/>
    <x v="0"/>
    <x v="0"/>
    <x v="0"/>
    <x v="14"/>
    <x v="13"/>
    <x v="6"/>
    <x v="10"/>
    <x v="13"/>
    <x v="13"/>
    <x v="3"/>
    <x v="2"/>
    <x v="13"/>
    <x v="1"/>
    <x v="2"/>
    <x v="0"/>
  </r>
  <r>
    <x v="24"/>
    <x v="0"/>
    <x v="0"/>
    <x v="0"/>
    <x v="0"/>
    <x v="0"/>
    <x v="14"/>
    <x v="13"/>
    <x v="6"/>
    <x v="10"/>
    <x v="13"/>
    <x v="13"/>
    <x v="3"/>
    <x v="2"/>
    <x v="13"/>
    <x v="1"/>
    <x v="2"/>
    <x v="0"/>
  </r>
  <r>
    <x v="25"/>
    <x v="0"/>
    <x v="0"/>
    <x v="0"/>
    <x v="0"/>
    <x v="0"/>
    <x v="14"/>
    <x v="13"/>
    <x v="6"/>
    <x v="10"/>
    <x v="13"/>
    <x v="13"/>
    <x v="3"/>
    <x v="2"/>
    <x v="13"/>
    <x v="1"/>
    <x v="2"/>
    <x v="0"/>
  </r>
  <r>
    <x v="26"/>
    <x v="0"/>
    <x v="0"/>
    <x v="0"/>
    <x v="0"/>
    <x v="0"/>
    <x v="14"/>
    <x v="13"/>
    <x v="6"/>
    <x v="10"/>
    <x v="13"/>
    <x v="13"/>
    <x v="3"/>
    <x v="2"/>
    <x v="13"/>
    <x v="1"/>
    <x v="2"/>
    <x v="0"/>
  </r>
  <r>
    <x v="27"/>
    <x v="0"/>
    <x v="0"/>
    <x v="0"/>
    <x v="0"/>
    <x v="0"/>
    <x v="14"/>
    <x v="13"/>
    <x v="6"/>
    <x v="10"/>
    <x v="13"/>
    <x v="13"/>
    <x v="3"/>
    <x v="2"/>
    <x v="13"/>
    <x v="1"/>
    <x v="2"/>
    <x v="0"/>
  </r>
  <r>
    <x v="28"/>
    <x v="0"/>
    <x v="0"/>
    <x v="0"/>
    <x v="0"/>
    <x v="0"/>
    <x v="14"/>
    <x v="13"/>
    <x v="6"/>
    <x v="10"/>
    <x v="13"/>
    <x v="13"/>
    <x v="3"/>
    <x v="2"/>
    <x v="13"/>
    <x v="1"/>
    <x v="2"/>
    <x v="0"/>
  </r>
  <r>
    <x v="29"/>
    <x v="0"/>
    <x v="0"/>
    <x v="0"/>
    <x v="0"/>
    <x v="0"/>
    <x v="14"/>
    <x v="13"/>
    <x v="6"/>
    <x v="10"/>
    <x v="13"/>
    <x v="13"/>
    <x v="3"/>
    <x v="2"/>
    <x v="13"/>
    <x v="1"/>
    <x v="2"/>
    <x v="0"/>
  </r>
  <r>
    <x v="30"/>
    <x v="0"/>
    <x v="0"/>
    <x v="0"/>
    <x v="0"/>
    <x v="0"/>
    <x v="14"/>
    <x v="13"/>
    <x v="6"/>
    <x v="10"/>
    <x v="13"/>
    <x v="13"/>
    <x v="3"/>
    <x v="2"/>
    <x v="13"/>
    <x v="1"/>
    <x v="2"/>
    <x v="0"/>
  </r>
  <r>
    <x v="31"/>
    <x v="0"/>
    <x v="0"/>
    <x v="0"/>
    <x v="0"/>
    <x v="0"/>
    <x v="14"/>
    <x v="13"/>
    <x v="6"/>
    <x v="10"/>
    <x v="13"/>
    <x v="13"/>
    <x v="3"/>
    <x v="2"/>
    <x v="13"/>
    <x v="1"/>
    <x v="2"/>
    <x v="0"/>
  </r>
  <r>
    <x v="32"/>
    <x v="0"/>
    <x v="0"/>
    <x v="0"/>
    <x v="0"/>
    <x v="0"/>
    <x v="14"/>
    <x v="13"/>
    <x v="6"/>
    <x v="10"/>
    <x v="13"/>
    <x v="14"/>
    <x v="4"/>
    <x v="2"/>
    <x v="14"/>
    <x v="1"/>
    <x v="2"/>
    <x v="0"/>
  </r>
  <r>
    <x v="33"/>
    <x v="0"/>
    <x v="0"/>
    <x v="0"/>
    <x v="0"/>
    <x v="0"/>
    <x v="15"/>
    <x v="14"/>
    <x v="7"/>
    <x v="9"/>
    <x v="14"/>
    <x v="15"/>
    <x v="4"/>
    <x v="2"/>
    <x v="15"/>
    <x v="0"/>
    <x v="2"/>
    <x v="0"/>
  </r>
  <r>
    <x v="34"/>
    <x v="0"/>
    <x v="0"/>
    <x v="0"/>
    <x v="0"/>
    <x v="0"/>
    <x v="8"/>
    <x v="8"/>
    <x v="3"/>
    <x v="7"/>
    <x v="8"/>
    <x v="15"/>
    <x v="4"/>
    <x v="2"/>
    <x v="15"/>
    <x v="0"/>
    <x v="1"/>
    <x v="0"/>
  </r>
  <r>
    <x v="35"/>
    <x v="0"/>
    <x v="0"/>
    <x v="0"/>
    <x v="0"/>
    <x v="0"/>
    <x v="16"/>
    <x v="15"/>
    <x v="0"/>
    <x v="11"/>
    <x v="15"/>
    <x v="16"/>
    <x v="4"/>
    <x v="2"/>
    <x v="16"/>
    <x v="0"/>
    <x v="0"/>
    <x v="0"/>
  </r>
  <r>
    <x v="36"/>
    <x v="0"/>
    <x v="0"/>
    <x v="0"/>
    <x v="0"/>
    <x v="0"/>
    <x v="17"/>
    <x v="16"/>
    <x v="8"/>
    <x v="12"/>
    <x v="16"/>
    <x v="17"/>
    <x v="4"/>
    <x v="2"/>
    <x v="17"/>
    <x v="0"/>
    <x v="0"/>
    <x v="0"/>
  </r>
  <r>
    <x v="37"/>
    <x v="0"/>
    <x v="0"/>
    <x v="0"/>
    <x v="0"/>
    <x v="0"/>
    <x v="18"/>
    <x v="17"/>
    <x v="9"/>
    <x v="13"/>
    <x v="17"/>
    <x v="17"/>
    <x v="4"/>
    <x v="2"/>
    <x v="17"/>
    <x v="0"/>
    <x v="0"/>
    <x v="0"/>
  </r>
  <r>
    <x v="38"/>
    <x v="0"/>
    <x v="0"/>
    <x v="0"/>
    <x v="0"/>
    <x v="0"/>
    <x v="19"/>
    <x v="18"/>
    <x v="9"/>
    <x v="7"/>
    <x v="18"/>
    <x v="17"/>
    <x v="4"/>
    <x v="2"/>
    <x v="17"/>
    <x v="0"/>
    <x v="1"/>
    <x v="0"/>
  </r>
  <r>
    <x v="39"/>
    <x v="0"/>
    <x v="0"/>
    <x v="0"/>
    <x v="0"/>
    <x v="0"/>
    <x v="1"/>
    <x v="1"/>
    <x v="0"/>
    <x v="1"/>
    <x v="1"/>
    <x v="17"/>
    <x v="4"/>
    <x v="2"/>
    <x v="17"/>
    <x v="0"/>
    <x v="0"/>
    <x v="0"/>
  </r>
  <r>
    <x v="40"/>
    <x v="0"/>
    <x v="0"/>
    <x v="0"/>
    <x v="0"/>
    <x v="0"/>
    <x v="8"/>
    <x v="8"/>
    <x v="3"/>
    <x v="7"/>
    <x v="8"/>
    <x v="18"/>
    <x v="4"/>
    <x v="2"/>
    <x v="18"/>
    <x v="0"/>
    <x v="2"/>
    <x v="0"/>
  </r>
  <r>
    <x v="41"/>
    <x v="0"/>
    <x v="0"/>
    <x v="0"/>
    <x v="0"/>
    <x v="0"/>
    <x v="20"/>
    <x v="19"/>
    <x v="10"/>
    <x v="12"/>
    <x v="19"/>
    <x v="18"/>
    <x v="4"/>
    <x v="2"/>
    <x v="18"/>
    <x v="0"/>
    <x v="1"/>
    <x v="0"/>
  </r>
  <r>
    <x v="42"/>
    <x v="0"/>
    <x v="0"/>
    <x v="0"/>
    <x v="0"/>
    <x v="0"/>
    <x v="12"/>
    <x v="11"/>
    <x v="0"/>
    <x v="9"/>
    <x v="11"/>
    <x v="14"/>
    <x v="4"/>
    <x v="2"/>
    <x v="14"/>
    <x v="0"/>
    <x v="2"/>
    <x v="0"/>
  </r>
  <r>
    <x v="43"/>
    <x v="0"/>
    <x v="0"/>
    <x v="0"/>
    <x v="0"/>
    <x v="0"/>
    <x v="8"/>
    <x v="8"/>
    <x v="3"/>
    <x v="7"/>
    <x v="8"/>
    <x v="14"/>
    <x v="4"/>
    <x v="2"/>
    <x v="14"/>
    <x v="0"/>
    <x v="2"/>
    <x v="0"/>
  </r>
  <r>
    <x v="44"/>
    <x v="0"/>
    <x v="0"/>
    <x v="0"/>
    <x v="0"/>
    <x v="0"/>
    <x v="21"/>
    <x v="18"/>
    <x v="3"/>
    <x v="7"/>
    <x v="18"/>
    <x v="19"/>
    <x v="4"/>
    <x v="2"/>
    <x v="19"/>
    <x v="0"/>
    <x v="1"/>
    <x v="0"/>
  </r>
  <r>
    <x v="45"/>
    <x v="0"/>
    <x v="0"/>
    <x v="0"/>
    <x v="0"/>
    <x v="0"/>
    <x v="22"/>
    <x v="20"/>
    <x v="2"/>
    <x v="14"/>
    <x v="20"/>
    <x v="19"/>
    <x v="4"/>
    <x v="2"/>
    <x v="19"/>
    <x v="0"/>
    <x v="2"/>
    <x v="0"/>
  </r>
  <r>
    <x v="46"/>
    <x v="0"/>
    <x v="0"/>
    <x v="0"/>
    <x v="0"/>
    <x v="0"/>
    <x v="7"/>
    <x v="7"/>
    <x v="0"/>
    <x v="5"/>
    <x v="7"/>
    <x v="19"/>
    <x v="4"/>
    <x v="2"/>
    <x v="19"/>
    <x v="0"/>
    <x v="2"/>
    <x v="0"/>
  </r>
  <r>
    <x v="47"/>
    <x v="0"/>
    <x v="0"/>
    <x v="0"/>
    <x v="0"/>
    <x v="0"/>
    <x v="5"/>
    <x v="5"/>
    <x v="0"/>
    <x v="5"/>
    <x v="5"/>
    <x v="19"/>
    <x v="4"/>
    <x v="2"/>
    <x v="19"/>
    <x v="0"/>
    <x v="2"/>
    <x v="0"/>
  </r>
  <r>
    <x v="48"/>
    <x v="0"/>
    <x v="0"/>
    <x v="0"/>
    <x v="0"/>
    <x v="0"/>
    <x v="20"/>
    <x v="19"/>
    <x v="10"/>
    <x v="12"/>
    <x v="19"/>
    <x v="19"/>
    <x v="4"/>
    <x v="2"/>
    <x v="19"/>
    <x v="0"/>
    <x v="2"/>
    <x v="0"/>
  </r>
  <r>
    <x v="49"/>
    <x v="0"/>
    <x v="0"/>
    <x v="0"/>
    <x v="0"/>
    <x v="0"/>
    <x v="7"/>
    <x v="7"/>
    <x v="0"/>
    <x v="5"/>
    <x v="7"/>
    <x v="20"/>
    <x v="3"/>
    <x v="2"/>
    <x v="20"/>
    <x v="0"/>
    <x v="1"/>
    <x v="0"/>
  </r>
  <r>
    <x v="50"/>
    <x v="0"/>
    <x v="0"/>
    <x v="0"/>
    <x v="0"/>
    <x v="0"/>
    <x v="14"/>
    <x v="13"/>
    <x v="6"/>
    <x v="10"/>
    <x v="13"/>
    <x v="13"/>
    <x v="3"/>
    <x v="2"/>
    <x v="13"/>
    <x v="0"/>
    <x v="2"/>
    <x v="0"/>
  </r>
  <r>
    <x v="51"/>
    <x v="0"/>
    <x v="0"/>
    <x v="0"/>
    <x v="0"/>
    <x v="0"/>
    <x v="14"/>
    <x v="13"/>
    <x v="6"/>
    <x v="10"/>
    <x v="13"/>
    <x v="13"/>
    <x v="3"/>
    <x v="2"/>
    <x v="13"/>
    <x v="0"/>
    <x v="2"/>
    <x v="0"/>
  </r>
  <r>
    <x v="52"/>
    <x v="0"/>
    <x v="0"/>
    <x v="0"/>
    <x v="0"/>
    <x v="0"/>
    <x v="7"/>
    <x v="7"/>
    <x v="0"/>
    <x v="5"/>
    <x v="7"/>
    <x v="12"/>
    <x v="3"/>
    <x v="2"/>
    <x v="12"/>
    <x v="0"/>
    <x v="2"/>
    <x v="0"/>
  </r>
  <r>
    <x v="53"/>
    <x v="0"/>
    <x v="0"/>
    <x v="0"/>
    <x v="0"/>
    <x v="0"/>
    <x v="10"/>
    <x v="9"/>
    <x v="0"/>
    <x v="5"/>
    <x v="9"/>
    <x v="6"/>
    <x v="2"/>
    <x v="2"/>
    <x v="6"/>
    <x v="0"/>
    <x v="1"/>
    <x v="0"/>
  </r>
  <r>
    <x v="54"/>
    <x v="1"/>
    <x v="0"/>
    <x v="1"/>
    <x v="1"/>
    <x v="1"/>
    <x v="23"/>
    <x v="21"/>
    <x v="11"/>
    <x v="15"/>
    <x v="21"/>
    <x v="21"/>
    <x v="5"/>
    <x v="3"/>
    <x v="21"/>
    <x v="3"/>
    <x v="3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1"/>
    <x v="1"/>
    <x v="0"/>
    <x v="1"/>
    <x v="1"/>
    <x v="1"/>
    <x v="0"/>
    <x v="1"/>
    <x v="1"/>
    <x v="0"/>
    <x v="0"/>
    <x v="0"/>
  </r>
  <r>
    <x v="2"/>
    <x v="0"/>
    <x v="0"/>
    <x v="0"/>
    <x v="0"/>
    <x v="0"/>
    <x v="1"/>
    <x v="1"/>
    <x v="0"/>
    <x v="1"/>
    <x v="1"/>
    <x v="1"/>
    <x v="0"/>
    <x v="1"/>
    <x v="1"/>
    <x v="0"/>
    <x v="0"/>
    <x v="0"/>
  </r>
  <r>
    <x v="3"/>
    <x v="0"/>
    <x v="0"/>
    <x v="0"/>
    <x v="0"/>
    <x v="0"/>
    <x v="2"/>
    <x v="2"/>
    <x v="1"/>
    <x v="2"/>
    <x v="2"/>
    <x v="2"/>
    <x v="0"/>
    <x v="1"/>
    <x v="2"/>
    <x v="0"/>
    <x v="0"/>
    <x v="0"/>
  </r>
  <r>
    <x v="4"/>
    <x v="0"/>
    <x v="0"/>
    <x v="0"/>
    <x v="0"/>
    <x v="0"/>
    <x v="3"/>
    <x v="3"/>
    <x v="0"/>
    <x v="3"/>
    <x v="3"/>
    <x v="2"/>
    <x v="0"/>
    <x v="1"/>
    <x v="2"/>
    <x v="0"/>
    <x v="0"/>
    <x v="0"/>
  </r>
  <r>
    <x v="5"/>
    <x v="0"/>
    <x v="0"/>
    <x v="0"/>
    <x v="0"/>
    <x v="0"/>
    <x v="4"/>
    <x v="4"/>
    <x v="2"/>
    <x v="4"/>
    <x v="4"/>
    <x v="3"/>
    <x v="1"/>
    <x v="2"/>
    <x v="3"/>
    <x v="1"/>
    <x v="1"/>
    <x v="0"/>
  </r>
  <r>
    <x v="6"/>
    <x v="0"/>
    <x v="0"/>
    <x v="0"/>
    <x v="0"/>
    <x v="0"/>
    <x v="5"/>
    <x v="5"/>
    <x v="0"/>
    <x v="5"/>
    <x v="5"/>
    <x v="4"/>
    <x v="1"/>
    <x v="2"/>
    <x v="4"/>
    <x v="0"/>
    <x v="1"/>
    <x v="0"/>
  </r>
  <r>
    <x v="7"/>
    <x v="0"/>
    <x v="0"/>
    <x v="0"/>
    <x v="0"/>
    <x v="0"/>
    <x v="6"/>
    <x v="6"/>
    <x v="1"/>
    <x v="6"/>
    <x v="6"/>
    <x v="5"/>
    <x v="2"/>
    <x v="2"/>
    <x v="5"/>
    <x v="0"/>
    <x v="0"/>
    <x v="0"/>
  </r>
  <r>
    <x v="8"/>
    <x v="0"/>
    <x v="0"/>
    <x v="0"/>
    <x v="0"/>
    <x v="0"/>
    <x v="7"/>
    <x v="7"/>
    <x v="0"/>
    <x v="5"/>
    <x v="7"/>
    <x v="6"/>
    <x v="2"/>
    <x v="2"/>
    <x v="6"/>
    <x v="2"/>
    <x v="1"/>
    <x v="0"/>
  </r>
  <r>
    <x v="9"/>
    <x v="0"/>
    <x v="0"/>
    <x v="0"/>
    <x v="0"/>
    <x v="0"/>
    <x v="8"/>
    <x v="8"/>
    <x v="3"/>
    <x v="7"/>
    <x v="8"/>
    <x v="7"/>
    <x v="2"/>
    <x v="2"/>
    <x v="7"/>
    <x v="0"/>
    <x v="1"/>
    <x v="0"/>
  </r>
  <r>
    <x v="10"/>
    <x v="0"/>
    <x v="0"/>
    <x v="0"/>
    <x v="0"/>
    <x v="0"/>
    <x v="9"/>
    <x v="4"/>
    <x v="4"/>
    <x v="4"/>
    <x v="4"/>
    <x v="7"/>
    <x v="2"/>
    <x v="2"/>
    <x v="7"/>
    <x v="0"/>
    <x v="0"/>
    <x v="0"/>
  </r>
  <r>
    <x v="11"/>
    <x v="0"/>
    <x v="0"/>
    <x v="0"/>
    <x v="0"/>
    <x v="0"/>
    <x v="10"/>
    <x v="9"/>
    <x v="0"/>
    <x v="5"/>
    <x v="9"/>
    <x v="8"/>
    <x v="2"/>
    <x v="2"/>
    <x v="8"/>
    <x v="0"/>
    <x v="1"/>
    <x v="0"/>
  </r>
  <r>
    <x v="12"/>
    <x v="0"/>
    <x v="0"/>
    <x v="0"/>
    <x v="0"/>
    <x v="0"/>
    <x v="8"/>
    <x v="8"/>
    <x v="3"/>
    <x v="7"/>
    <x v="8"/>
    <x v="8"/>
    <x v="2"/>
    <x v="2"/>
    <x v="8"/>
    <x v="0"/>
    <x v="1"/>
    <x v="0"/>
  </r>
  <r>
    <x v="13"/>
    <x v="0"/>
    <x v="0"/>
    <x v="0"/>
    <x v="0"/>
    <x v="0"/>
    <x v="11"/>
    <x v="10"/>
    <x v="5"/>
    <x v="8"/>
    <x v="10"/>
    <x v="8"/>
    <x v="2"/>
    <x v="2"/>
    <x v="8"/>
    <x v="0"/>
    <x v="1"/>
    <x v="0"/>
  </r>
  <r>
    <x v="14"/>
    <x v="0"/>
    <x v="0"/>
    <x v="0"/>
    <x v="0"/>
    <x v="0"/>
    <x v="8"/>
    <x v="8"/>
    <x v="3"/>
    <x v="7"/>
    <x v="8"/>
    <x v="9"/>
    <x v="3"/>
    <x v="2"/>
    <x v="9"/>
    <x v="0"/>
    <x v="0"/>
    <x v="0"/>
  </r>
  <r>
    <x v="15"/>
    <x v="0"/>
    <x v="0"/>
    <x v="0"/>
    <x v="0"/>
    <x v="0"/>
    <x v="12"/>
    <x v="11"/>
    <x v="0"/>
    <x v="9"/>
    <x v="11"/>
    <x v="10"/>
    <x v="3"/>
    <x v="2"/>
    <x v="10"/>
    <x v="0"/>
    <x v="1"/>
    <x v="0"/>
  </r>
  <r>
    <x v="16"/>
    <x v="0"/>
    <x v="0"/>
    <x v="0"/>
    <x v="0"/>
    <x v="0"/>
    <x v="8"/>
    <x v="8"/>
    <x v="3"/>
    <x v="7"/>
    <x v="8"/>
    <x v="11"/>
    <x v="3"/>
    <x v="2"/>
    <x v="11"/>
    <x v="1"/>
    <x v="1"/>
    <x v="0"/>
  </r>
  <r>
    <x v="17"/>
    <x v="0"/>
    <x v="0"/>
    <x v="0"/>
    <x v="0"/>
    <x v="0"/>
    <x v="13"/>
    <x v="12"/>
    <x v="1"/>
    <x v="2"/>
    <x v="12"/>
    <x v="12"/>
    <x v="3"/>
    <x v="2"/>
    <x v="12"/>
    <x v="1"/>
    <x v="1"/>
    <x v="0"/>
  </r>
  <r>
    <x v="18"/>
    <x v="0"/>
    <x v="0"/>
    <x v="0"/>
    <x v="0"/>
    <x v="0"/>
    <x v="14"/>
    <x v="13"/>
    <x v="6"/>
    <x v="10"/>
    <x v="13"/>
    <x v="13"/>
    <x v="3"/>
    <x v="2"/>
    <x v="13"/>
    <x v="1"/>
    <x v="2"/>
    <x v="0"/>
  </r>
  <r>
    <x v="19"/>
    <x v="0"/>
    <x v="0"/>
    <x v="0"/>
    <x v="0"/>
    <x v="0"/>
    <x v="14"/>
    <x v="13"/>
    <x v="6"/>
    <x v="10"/>
    <x v="13"/>
    <x v="13"/>
    <x v="3"/>
    <x v="2"/>
    <x v="13"/>
    <x v="1"/>
    <x v="2"/>
    <x v="0"/>
  </r>
  <r>
    <x v="20"/>
    <x v="0"/>
    <x v="0"/>
    <x v="0"/>
    <x v="0"/>
    <x v="0"/>
    <x v="14"/>
    <x v="13"/>
    <x v="6"/>
    <x v="10"/>
    <x v="13"/>
    <x v="13"/>
    <x v="3"/>
    <x v="2"/>
    <x v="13"/>
    <x v="1"/>
    <x v="2"/>
    <x v="0"/>
  </r>
  <r>
    <x v="21"/>
    <x v="0"/>
    <x v="0"/>
    <x v="0"/>
    <x v="0"/>
    <x v="0"/>
    <x v="14"/>
    <x v="13"/>
    <x v="6"/>
    <x v="10"/>
    <x v="13"/>
    <x v="13"/>
    <x v="3"/>
    <x v="2"/>
    <x v="13"/>
    <x v="1"/>
    <x v="2"/>
    <x v="0"/>
  </r>
  <r>
    <x v="22"/>
    <x v="0"/>
    <x v="0"/>
    <x v="0"/>
    <x v="0"/>
    <x v="0"/>
    <x v="14"/>
    <x v="13"/>
    <x v="6"/>
    <x v="10"/>
    <x v="13"/>
    <x v="13"/>
    <x v="3"/>
    <x v="2"/>
    <x v="13"/>
    <x v="1"/>
    <x v="2"/>
    <x v="0"/>
  </r>
  <r>
    <x v="23"/>
    <x v="0"/>
    <x v="0"/>
    <x v="0"/>
    <x v="0"/>
    <x v="0"/>
    <x v="14"/>
    <x v="13"/>
    <x v="6"/>
    <x v="10"/>
    <x v="13"/>
    <x v="13"/>
    <x v="3"/>
    <x v="2"/>
    <x v="13"/>
    <x v="1"/>
    <x v="2"/>
    <x v="0"/>
  </r>
  <r>
    <x v="24"/>
    <x v="0"/>
    <x v="0"/>
    <x v="0"/>
    <x v="0"/>
    <x v="0"/>
    <x v="14"/>
    <x v="13"/>
    <x v="6"/>
    <x v="10"/>
    <x v="13"/>
    <x v="13"/>
    <x v="3"/>
    <x v="2"/>
    <x v="13"/>
    <x v="1"/>
    <x v="2"/>
    <x v="0"/>
  </r>
  <r>
    <x v="25"/>
    <x v="0"/>
    <x v="0"/>
    <x v="0"/>
    <x v="0"/>
    <x v="0"/>
    <x v="14"/>
    <x v="13"/>
    <x v="6"/>
    <x v="10"/>
    <x v="13"/>
    <x v="13"/>
    <x v="3"/>
    <x v="2"/>
    <x v="13"/>
    <x v="1"/>
    <x v="2"/>
    <x v="0"/>
  </r>
  <r>
    <x v="26"/>
    <x v="0"/>
    <x v="0"/>
    <x v="0"/>
    <x v="0"/>
    <x v="0"/>
    <x v="14"/>
    <x v="13"/>
    <x v="6"/>
    <x v="10"/>
    <x v="13"/>
    <x v="13"/>
    <x v="3"/>
    <x v="2"/>
    <x v="13"/>
    <x v="1"/>
    <x v="2"/>
    <x v="0"/>
  </r>
  <r>
    <x v="27"/>
    <x v="0"/>
    <x v="0"/>
    <x v="0"/>
    <x v="0"/>
    <x v="0"/>
    <x v="14"/>
    <x v="13"/>
    <x v="6"/>
    <x v="10"/>
    <x v="13"/>
    <x v="13"/>
    <x v="3"/>
    <x v="2"/>
    <x v="13"/>
    <x v="1"/>
    <x v="2"/>
    <x v="0"/>
  </r>
  <r>
    <x v="28"/>
    <x v="0"/>
    <x v="0"/>
    <x v="0"/>
    <x v="0"/>
    <x v="0"/>
    <x v="14"/>
    <x v="13"/>
    <x v="6"/>
    <x v="10"/>
    <x v="13"/>
    <x v="13"/>
    <x v="3"/>
    <x v="2"/>
    <x v="13"/>
    <x v="1"/>
    <x v="2"/>
    <x v="0"/>
  </r>
  <r>
    <x v="29"/>
    <x v="0"/>
    <x v="0"/>
    <x v="0"/>
    <x v="0"/>
    <x v="0"/>
    <x v="14"/>
    <x v="13"/>
    <x v="6"/>
    <x v="10"/>
    <x v="13"/>
    <x v="13"/>
    <x v="3"/>
    <x v="2"/>
    <x v="13"/>
    <x v="1"/>
    <x v="2"/>
    <x v="0"/>
  </r>
  <r>
    <x v="30"/>
    <x v="0"/>
    <x v="0"/>
    <x v="0"/>
    <x v="0"/>
    <x v="0"/>
    <x v="14"/>
    <x v="13"/>
    <x v="6"/>
    <x v="10"/>
    <x v="13"/>
    <x v="13"/>
    <x v="3"/>
    <x v="2"/>
    <x v="13"/>
    <x v="1"/>
    <x v="2"/>
    <x v="0"/>
  </r>
  <r>
    <x v="31"/>
    <x v="0"/>
    <x v="0"/>
    <x v="0"/>
    <x v="0"/>
    <x v="0"/>
    <x v="14"/>
    <x v="13"/>
    <x v="6"/>
    <x v="10"/>
    <x v="13"/>
    <x v="13"/>
    <x v="3"/>
    <x v="2"/>
    <x v="13"/>
    <x v="1"/>
    <x v="2"/>
    <x v="0"/>
  </r>
  <r>
    <x v="32"/>
    <x v="0"/>
    <x v="0"/>
    <x v="0"/>
    <x v="0"/>
    <x v="0"/>
    <x v="14"/>
    <x v="13"/>
    <x v="6"/>
    <x v="10"/>
    <x v="13"/>
    <x v="14"/>
    <x v="4"/>
    <x v="2"/>
    <x v="14"/>
    <x v="1"/>
    <x v="2"/>
    <x v="0"/>
  </r>
  <r>
    <x v="33"/>
    <x v="0"/>
    <x v="0"/>
    <x v="0"/>
    <x v="0"/>
    <x v="0"/>
    <x v="15"/>
    <x v="14"/>
    <x v="7"/>
    <x v="9"/>
    <x v="14"/>
    <x v="15"/>
    <x v="4"/>
    <x v="2"/>
    <x v="15"/>
    <x v="0"/>
    <x v="2"/>
    <x v="0"/>
  </r>
  <r>
    <x v="34"/>
    <x v="0"/>
    <x v="0"/>
    <x v="0"/>
    <x v="0"/>
    <x v="0"/>
    <x v="8"/>
    <x v="8"/>
    <x v="3"/>
    <x v="7"/>
    <x v="8"/>
    <x v="15"/>
    <x v="4"/>
    <x v="2"/>
    <x v="15"/>
    <x v="0"/>
    <x v="1"/>
    <x v="0"/>
  </r>
  <r>
    <x v="35"/>
    <x v="0"/>
    <x v="0"/>
    <x v="0"/>
    <x v="0"/>
    <x v="0"/>
    <x v="16"/>
    <x v="15"/>
    <x v="0"/>
    <x v="11"/>
    <x v="15"/>
    <x v="16"/>
    <x v="4"/>
    <x v="2"/>
    <x v="16"/>
    <x v="0"/>
    <x v="0"/>
    <x v="0"/>
  </r>
  <r>
    <x v="36"/>
    <x v="0"/>
    <x v="0"/>
    <x v="0"/>
    <x v="0"/>
    <x v="0"/>
    <x v="17"/>
    <x v="16"/>
    <x v="8"/>
    <x v="12"/>
    <x v="16"/>
    <x v="17"/>
    <x v="4"/>
    <x v="2"/>
    <x v="17"/>
    <x v="0"/>
    <x v="0"/>
    <x v="0"/>
  </r>
  <r>
    <x v="37"/>
    <x v="0"/>
    <x v="0"/>
    <x v="0"/>
    <x v="0"/>
    <x v="0"/>
    <x v="18"/>
    <x v="17"/>
    <x v="9"/>
    <x v="13"/>
    <x v="17"/>
    <x v="17"/>
    <x v="4"/>
    <x v="2"/>
    <x v="17"/>
    <x v="0"/>
    <x v="0"/>
    <x v="0"/>
  </r>
  <r>
    <x v="38"/>
    <x v="0"/>
    <x v="0"/>
    <x v="0"/>
    <x v="0"/>
    <x v="0"/>
    <x v="19"/>
    <x v="18"/>
    <x v="9"/>
    <x v="7"/>
    <x v="18"/>
    <x v="17"/>
    <x v="4"/>
    <x v="2"/>
    <x v="17"/>
    <x v="0"/>
    <x v="1"/>
    <x v="0"/>
  </r>
  <r>
    <x v="39"/>
    <x v="0"/>
    <x v="0"/>
    <x v="0"/>
    <x v="0"/>
    <x v="0"/>
    <x v="1"/>
    <x v="1"/>
    <x v="0"/>
    <x v="1"/>
    <x v="1"/>
    <x v="17"/>
    <x v="4"/>
    <x v="2"/>
    <x v="17"/>
    <x v="0"/>
    <x v="0"/>
    <x v="0"/>
  </r>
  <r>
    <x v="40"/>
    <x v="0"/>
    <x v="0"/>
    <x v="0"/>
    <x v="0"/>
    <x v="0"/>
    <x v="8"/>
    <x v="8"/>
    <x v="3"/>
    <x v="7"/>
    <x v="8"/>
    <x v="18"/>
    <x v="4"/>
    <x v="2"/>
    <x v="18"/>
    <x v="0"/>
    <x v="2"/>
    <x v="0"/>
  </r>
  <r>
    <x v="41"/>
    <x v="0"/>
    <x v="0"/>
    <x v="0"/>
    <x v="0"/>
    <x v="0"/>
    <x v="20"/>
    <x v="19"/>
    <x v="10"/>
    <x v="12"/>
    <x v="19"/>
    <x v="18"/>
    <x v="4"/>
    <x v="2"/>
    <x v="18"/>
    <x v="0"/>
    <x v="1"/>
    <x v="0"/>
  </r>
  <r>
    <x v="42"/>
    <x v="0"/>
    <x v="0"/>
    <x v="0"/>
    <x v="0"/>
    <x v="0"/>
    <x v="12"/>
    <x v="11"/>
    <x v="0"/>
    <x v="9"/>
    <x v="11"/>
    <x v="14"/>
    <x v="4"/>
    <x v="2"/>
    <x v="14"/>
    <x v="0"/>
    <x v="2"/>
    <x v="0"/>
  </r>
  <r>
    <x v="43"/>
    <x v="0"/>
    <x v="0"/>
    <x v="0"/>
    <x v="0"/>
    <x v="0"/>
    <x v="8"/>
    <x v="8"/>
    <x v="3"/>
    <x v="7"/>
    <x v="8"/>
    <x v="14"/>
    <x v="4"/>
    <x v="2"/>
    <x v="14"/>
    <x v="0"/>
    <x v="2"/>
    <x v="0"/>
  </r>
  <r>
    <x v="44"/>
    <x v="0"/>
    <x v="0"/>
    <x v="0"/>
    <x v="0"/>
    <x v="0"/>
    <x v="21"/>
    <x v="18"/>
    <x v="3"/>
    <x v="7"/>
    <x v="18"/>
    <x v="19"/>
    <x v="4"/>
    <x v="2"/>
    <x v="19"/>
    <x v="0"/>
    <x v="1"/>
    <x v="0"/>
  </r>
  <r>
    <x v="45"/>
    <x v="0"/>
    <x v="0"/>
    <x v="0"/>
    <x v="0"/>
    <x v="0"/>
    <x v="22"/>
    <x v="20"/>
    <x v="2"/>
    <x v="14"/>
    <x v="20"/>
    <x v="19"/>
    <x v="4"/>
    <x v="2"/>
    <x v="19"/>
    <x v="0"/>
    <x v="2"/>
    <x v="0"/>
  </r>
  <r>
    <x v="46"/>
    <x v="0"/>
    <x v="0"/>
    <x v="0"/>
    <x v="0"/>
    <x v="0"/>
    <x v="7"/>
    <x v="7"/>
    <x v="0"/>
    <x v="5"/>
    <x v="7"/>
    <x v="19"/>
    <x v="4"/>
    <x v="2"/>
    <x v="19"/>
    <x v="0"/>
    <x v="2"/>
    <x v="0"/>
  </r>
  <r>
    <x v="47"/>
    <x v="0"/>
    <x v="0"/>
    <x v="0"/>
    <x v="0"/>
    <x v="0"/>
    <x v="5"/>
    <x v="5"/>
    <x v="0"/>
    <x v="5"/>
    <x v="5"/>
    <x v="19"/>
    <x v="4"/>
    <x v="2"/>
    <x v="19"/>
    <x v="0"/>
    <x v="2"/>
    <x v="0"/>
  </r>
  <r>
    <x v="48"/>
    <x v="0"/>
    <x v="0"/>
    <x v="0"/>
    <x v="0"/>
    <x v="0"/>
    <x v="20"/>
    <x v="19"/>
    <x v="10"/>
    <x v="12"/>
    <x v="19"/>
    <x v="19"/>
    <x v="4"/>
    <x v="2"/>
    <x v="19"/>
    <x v="0"/>
    <x v="2"/>
    <x v="0"/>
  </r>
  <r>
    <x v="49"/>
    <x v="0"/>
    <x v="0"/>
    <x v="0"/>
    <x v="0"/>
    <x v="0"/>
    <x v="7"/>
    <x v="7"/>
    <x v="0"/>
    <x v="5"/>
    <x v="7"/>
    <x v="20"/>
    <x v="3"/>
    <x v="2"/>
    <x v="20"/>
    <x v="0"/>
    <x v="1"/>
    <x v="0"/>
  </r>
  <r>
    <x v="50"/>
    <x v="0"/>
    <x v="0"/>
    <x v="0"/>
    <x v="0"/>
    <x v="0"/>
    <x v="14"/>
    <x v="13"/>
    <x v="6"/>
    <x v="10"/>
    <x v="13"/>
    <x v="13"/>
    <x v="3"/>
    <x v="2"/>
    <x v="13"/>
    <x v="0"/>
    <x v="2"/>
    <x v="0"/>
  </r>
  <r>
    <x v="51"/>
    <x v="0"/>
    <x v="0"/>
    <x v="0"/>
    <x v="0"/>
    <x v="0"/>
    <x v="14"/>
    <x v="13"/>
    <x v="6"/>
    <x v="10"/>
    <x v="13"/>
    <x v="13"/>
    <x v="3"/>
    <x v="2"/>
    <x v="13"/>
    <x v="0"/>
    <x v="2"/>
    <x v="0"/>
  </r>
  <r>
    <x v="52"/>
    <x v="0"/>
    <x v="0"/>
    <x v="0"/>
    <x v="0"/>
    <x v="0"/>
    <x v="7"/>
    <x v="7"/>
    <x v="0"/>
    <x v="5"/>
    <x v="7"/>
    <x v="12"/>
    <x v="3"/>
    <x v="2"/>
    <x v="12"/>
    <x v="0"/>
    <x v="2"/>
    <x v="0"/>
  </r>
  <r>
    <x v="53"/>
    <x v="0"/>
    <x v="0"/>
    <x v="0"/>
    <x v="0"/>
    <x v="0"/>
    <x v="10"/>
    <x v="9"/>
    <x v="0"/>
    <x v="5"/>
    <x v="9"/>
    <x v="6"/>
    <x v="2"/>
    <x v="2"/>
    <x v="6"/>
    <x v="0"/>
    <x v="1"/>
    <x v="0"/>
  </r>
  <r>
    <x v="54"/>
    <x v="1"/>
    <x v="0"/>
    <x v="1"/>
    <x v="1"/>
    <x v="1"/>
    <x v="23"/>
    <x v="21"/>
    <x v="11"/>
    <x v="15"/>
    <x v="21"/>
    <x v="21"/>
    <x v="5"/>
    <x v="3"/>
    <x v="21"/>
    <x v="3"/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compactData="0" showDrill="1" multipleFieldFilters="0">
  <location ref="A8:C22" firstHeaderRow="1" firstDataRow="1" firstDataCol="2" rowPageCount="4" colPageCount="1"/>
  <pivotFields count="18"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40">
        <item x="9"/>
        <item x="7"/>
        <item x="3"/>
        <item x="12"/>
        <item x="5"/>
        <item m="1" x="27"/>
        <item x="2"/>
        <item x="14"/>
        <item x="1"/>
        <item m="1" x="16"/>
        <item x="4"/>
        <item x="6"/>
        <item x="8"/>
        <item m="1" x="25"/>
        <item m="1" x="21"/>
        <item m="1" x="22"/>
        <item m="1" x="23"/>
        <item x="0"/>
        <item x="15"/>
        <item m="1" x="20"/>
        <item m="1" x="17"/>
        <item m="1" x="31"/>
        <item m="1" x="19"/>
        <item x="13"/>
        <item m="1" x="29"/>
        <item m="1" x="33"/>
        <item m="1" x="18"/>
        <item m="1" x="35"/>
        <item m="1" x="37"/>
        <item m="1" x="32"/>
        <item x="11"/>
        <item m="1" x="38"/>
        <item m="1" x="30"/>
        <item m="1" x="24"/>
        <item m="1" x="26"/>
        <item m="1" x="36"/>
        <item m="1" x="28"/>
        <item m="1" x="34"/>
        <item x="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6">
        <item x="2"/>
        <item h="1" m="1" x="4"/>
        <item h="1" x="3"/>
        <item h="1" x="0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9">
        <item h="1" x="1"/>
        <item x="0"/>
        <item h="1" x="3"/>
        <item m="1" x="7"/>
        <item h="1" m="1" x="6"/>
        <item h="1" m="1" x="4"/>
        <item h="1" m="1" x="5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18">
        <item x="1"/>
        <item x="3"/>
        <item x="0"/>
        <item x="2"/>
        <item m="1" x="15"/>
        <item m="1" x="13"/>
        <item m="1" x="7"/>
        <item m="1" x="6"/>
        <item m="1" x="16"/>
        <item m="1" x="12"/>
        <item m="1" x="14"/>
        <item m="1" x="5"/>
        <item m="1" x="4"/>
        <item m="1" x="8"/>
        <item m="1" x="10"/>
        <item m="1" x="9"/>
        <item m="1" x="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14">
        <item x="0"/>
        <item m="1" x="5"/>
        <item m="1" x="3"/>
        <item m="1" x="1"/>
        <item m="1" x="11"/>
        <item m="1" x="2"/>
        <item m="1" x="7"/>
        <item m="1" x="8"/>
        <item m="1" x="9"/>
        <item m="1" x="10"/>
        <item m="1" x="12"/>
        <item m="1" x="6"/>
        <item m="1"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9"/>
  </rowFields>
  <rowItems count="14">
    <i>
      <x/>
      <x/>
    </i>
    <i r="1">
      <x v="1"/>
    </i>
    <i r="1">
      <x v="3"/>
    </i>
    <i r="1">
      <x v="4"/>
    </i>
    <i r="1">
      <x v="7"/>
    </i>
    <i r="1">
      <x v="8"/>
    </i>
    <i r="1">
      <x v="10"/>
    </i>
    <i r="1">
      <x v="11"/>
    </i>
    <i r="1">
      <x v="12"/>
    </i>
    <i r="1">
      <x v="23"/>
    </i>
    <i r="1">
      <x v="30"/>
    </i>
    <i r="1">
      <x v="38"/>
    </i>
    <i t="default">
      <x/>
    </i>
    <i t="grand">
      <x/>
    </i>
  </rowItems>
  <colItems count="1">
    <i/>
  </colItems>
  <pageFields count="4">
    <pageField fld="17"/>
    <pageField fld="13"/>
    <pageField fld="15"/>
    <pageField fld="16"/>
  </pageFields>
  <dataFields count="1">
    <dataField name="Count of Area AGM" fld="4" subtotal="count" baseField="0" baseItem="0"/>
  </dataFields>
  <formats count="1">
    <format dxfId="0">
      <pivotArea field="1" type="button"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compactData="0" showDrill="1">
  <location ref="BP8:BQ11" firstHeaderRow="1" firstDataRow="1" firstDataCol="1" rowPageCount="3" colPageCount="1"/>
  <pivotFields count="18">
    <pivotField compact="0" defaultSubtotal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defaultSubtotal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defaultSubtotal="0" outline="0" subtotalTop="0" multipleItemSelectionAllowed="1" showAll="0">
      <items count="5">
        <item x="2"/>
        <item h="1" m="1" x="4"/>
        <item h="1" x="3"/>
        <item h="1" x="0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defaultSubtotal="0" outline="0" multipleItemSelectionAllowed="1" showAll="0">
      <items count="8">
        <item h="1" x="1"/>
        <item x="0"/>
        <item h="1" x="3"/>
        <item h="1" m="1" x="7"/>
        <item h="1" m="1" x="6"/>
        <item h="1" m="1" x="4"/>
        <item h="1" m="1" x="5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multipleItemSelectionAllowed="1" showAll="0">
      <items count="17">
        <item h="1" x="0"/>
        <item x="1"/>
        <item h="1" x="3"/>
        <item x="2"/>
        <item h="1" m="1" x="15"/>
        <item h="1" m="1" x="13"/>
        <item h="1" m="1" x="7"/>
        <item h="1" m="1" x="6"/>
        <item h="1" m="1" x="16"/>
        <item h="1" m="1" x="12"/>
        <item h="1" m="1" x="14"/>
        <item h="1" m="1" x="5"/>
        <item h="1" m="1" x="4"/>
        <item h="1" m="1" x="8"/>
        <item h="1" m="1" x="10"/>
        <item h="1" m="1" x="9"/>
        <item h="1" m="1"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defaultSubtotal="0" outline="0" subtotalTop="0" multipleItemSelectionAllowed="1" showAll="0">
      <items count="13">
        <item x="0"/>
        <item m="1" x="5"/>
        <item m="1" x="3"/>
        <item m="1" x="1"/>
        <item m="1" x="11"/>
        <item m="1" x="2"/>
        <item m="1" x="7"/>
        <item m="1" x="8"/>
        <item m="1" x="9"/>
        <item m="1" x="10"/>
        <item m="1" x="12"/>
        <item m="1" x="6"/>
        <item m="1"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6"/>
  </rowFields>
  <rowItems count="3">
    <i>
      <x v="1"/>
    </i>
    <i>
      <x v="3"/>
    </i>
    <i t="grand">
      <x/>
    </i>
  </rowItems>
  <colItems count="1">
    <i/>
  </colItems>
  <pageFields count="3">
    <pageField fld="17"/>
    <pageField fld="13"/>
    <pageField fld="15"/>
  </pageFields>
  <dataFields count="1">
    <dataField name="Count of Area AGM" fld="4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compactData="0" showDrill="1" multipleFieldFilters="0">
  <location ref="Q8:S9" firstHeaderRow="1" firstDataRow="1" firstDataCol="2" rowPageCount="4" colPageCount="1"/>
  <pivotFields count="18"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40">
        <item x="9"/>
        <item x="7"/>
        <item x="3"/>
        <item x="12"/>
        <item x="5"/>
        <item m="1" x="27"/>
        <item x="2"/>
        <item x="14"/>
        <item x="1"/>
        <item m="1" x="16"/>
        <item x="4"/>
        <item x="6"/>
        <item x="8"/>
        <item m="1" x="17"/>
        <item m="1" x="25"/>
        <item m="1" x="31"/>
        <item m="1" x="21"/>
        <item m="1" x="19"/>
        <item m="1" x="20"/>
        <item m="1" x="22"/>
        <item m="1" x="23"/>
        <item x="0"/>
        <item x="15"/>
        <item x="13"/>
        <item m="1" x="29"/>
        <item m="1" x="33"/>
        <item m="1" x="18"/>
        <item m="1" x="35"/>
        <item m="1" x="37"/>
        <item m="1" x="32"/>
        <item x="11"/>
        <item m="1" x="38"/>
        <item m="1" x="30"/>
        <item m="1" x="24"/>
        <item m="1" x="26"/>
        <item m="1" x="36"/>
        <item m="1" x="28"/>
        <item m="1" x="34"/>
        <item x="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6">
        <item h="1" x="2"/>
        <item h="1" m="1" x="4"/>
        <item h="1" x="3"/>
        <item h="1" x="0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9">
        <item x="1"/>
        <item h="1" x="0"/>
        <item h="1" x="3"/>
        <item h="1" m="1" x="7"/>
        <item h="1" m="1" x="6"/>
        <item h="1" m="1" x="4"/>
        <item h="1" m="1" x="5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18">
        <item x="0"/>
        <item x="1"/>
        <item x="3"/>
        <item x="2"/>
        <item m="1" x="15"/>
        <item m="1" x="13"/>
        <item m="1" x="7"/>
        <item m="1" x="6"/>
        <item m="1" x="16"/>
        <item m="1" x="12"/>
        <item m="1" x="14"/>
        <item m="1" x="5"/>
        <item m="1" x="4"/>
        <item m="1" x="8"/>
        <item m="1" x="10"/>
        <item m="1" x="9"/>
        <item m="1" x="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14">
        <item x="0"/>
        <item m="1" x="5"/>
        <item m="1" x="3"/>
        <item m="1" x="1"/>
        <item m="1" x="11"/>
        <item m="1" x="2"/>
        <item m="1" x="7"/>
        <item m="1" x="8"/>
        <item m="1" x="9"/>
        <item m="1" x="10"/>
        <item m="1" x="12"/>
        <item m="1" x="6"/>
        <item m="1"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9"/>
  </rowFields>
  <rowItems count="1">
    <i t="grand">
      <x/>
    </i>
  </rowItems>
  <colItems count="1">
    <i/>
  </colItems>
  <pageFields count="4">
    <pageField fld="17"/>
    <pageField fld="13"/>
    <pageField fld="15"/>
    <pageField fld="16"/>
  </pageFields>
  <dataFields count="1">
    <dataField name="Count of Area AGM" fld="4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compactData="0" showDrill="1" multipleFieldFilters="0">
  <location ref="M8:O9" firstHeaderRow="1" firstDataRow="1" firstDataCol="2" rowPageCount="4" colPageCount="1"/>
  <pivotFields count="18"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40">
        <item x="9"/>
        <item x="7"/>
        <item x="3"/>
        <item x="12"/>
        <item x="5"/>
        <item m="1" x="27"/>
        <item x="2"/>
        <item x="14"/>
        <item x="1"/>
        <item m="1" x="16"/>
        <item x="4"/>
        <item x="6"/>
        <item x="8"/>
        <item m="1" x="17"/>
        <item m="1" x="25"/>
        <item m="1" x="31"/>
        <item m="1" x="21"/>
        <item m="1" x="19"/>
        <item m="1" x="20"/>
        <item m="1" x="22"/>
        <item m="1" x="23"/>
        <item x="0"/>
        <item x="15"/>
        <item x="13"/>
        <item m="1" x="29"/>
        <item m="1" x="33"/>
        <item m="1" x="18"/>
        <item m="1" x="35"/>
        <item m="1" x="37"/>
        <item m="1" x="32"/>
        <item x="11"/>
        <item m="1" x="38"/>
        <item m="1" x="30"/>
        <item m="1" x="24"/>
        <item m="1" x="26"/>
        <item m="1" x="36"/>
        <item m="1" x="28"/>
        <item m="1" x="34"/>
        <item x="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6">
        <item h="1" x="2"/>
        <item h="1" m="1" x="4"/>
        <item x="3"/>
        <item h="1" x="0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9">
        <item x="1"/>
        <item h="1" x="0"/>
        <item h="1" x="3"/>
        <item h="1" m="1" x="7"/>
        <item h="1" m="1" x="6"/>
        <item h="1" m="1" x="4"/>
        <item h="1" m="1" x="5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18">
        <item h="1" x="0"/>
        <item x="1"/>
        <item h="1" x="3"/>
        <item x="2"/>
        <item h="1" m="1" x="15"/>
        <item h="1" m="1" x="13"/>
        <item h="1" m="1" x="7"/>
        <item h="1" m="1" x="6"/>
        <item h="1" m="1" x="16"/>
        <item h="1" m="1" x="12"/>
        <item h="1" m="1" x="14"/>
        <item h="1" m="1" x="5"/>
        <item h="1" m="1" x="4"/>
        <item h="1" m="1" x="8"/>
        <item h="1" m="1" x="10"/>
        <item h="1" m="1" x="9"/>
        <item h="1" m="1" x="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14">
        <item x="0"/>
        <item m="1" x="5"/>
        <item m="1" x="3"/>
        <item m="1" x="1"/>
        <item m="1" x="11"/>
        <item m="1" x="2"/>
        <item m="1" x="7"/>
        <item m="1" x="8"/>
        <item m="1" x="9"/>
        <item m="1" x="10"/>
        <item m="1" x="12"/>
        <item m="1" x="6"/>
        <item m="1"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9"/>
  </rowFields>
  <rowItems count="1">
    <i t="grand">
      <x/>
    </i>
  </rowItems>
  <colItems count="1">
    <i/>
  </colItems>
  <pageFields count="4">
    <pageField fld="17"/>
    <pageField fld="13"/>
    <pageField fld="15"/>
    <pageField fld="16"/>
  </pageFields>
  <dataFields count="1">
    <dataField name="Count of Area AGM" fld="4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compactData="0" showDrill="1" multipleFieldFilters="0">
  <location ref="U8:W9" firstHeaderRow="1" firstDataRow="1" firstDataCol="2" rowPageCount="4" colPageCount="1"/>
  <pivotFields count="18"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40">
        <item x="9"/>
        <item x="7"/>
        <item x="3"/>
        <item x="12"/>
        <item x="5"/>
        <item m="1" x="27"/>
        <item x="2"/>
        <item x="14"/>
        <item x="1"/>
        <item m="1" x="16"/>
        <item x="4"/>
        <item x="6"/>
        <item x="8"/>
        <item m="1" x="17"/>
        <item m="1" x="25"/>
        <item m="1" x="31"/>
        <item m="1" x="21"/>
        <item m="1" x="19"/>
        <item m="1" x="20"/>
        <item m="1" x="22"/>
        <item m="1" x="23"/>
        <item x="0"/>
        <item x="15"/>
        <item x="13"/>
        <item m="1" x="29"/>
        <item m="1" x="33"/>
        <item m="1" x="18"/>
        <item m="1" x="35"/>
        <item m="1" x="37"/>
        <item m="1" x="32"/>
        <item x="11"/>
        <item m="1" x="38"/>
        <item m="1" x="30"/>
        <item m="1" x="24"/>
        <item m="1" x="26"/>
        <item m="1" x="36"/>
        <item m="1" x="28"/>
        <item m="1" x="34"/>
        <item x="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6">
        <item h="1" x="2"/>
        <item h="1" m="1" x="4"/>
        <item h="1" x="3"/>
        <item x="0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9">
        <item x="1"/>
        <item h="1" x="0"/>
        <item h="1" x="3"/>
        <item h="1" m="1" x="7"/>
        <item h="1" m="1" x="6"/>
        <item h="1" m="1" x="4"/>
        <item h="1" m="1" x="5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18">
        <item h="1" x="0"/>
        <item x="1"/>
        <item h="1" x="3"/>
        <item x="2"/>
        <item h="1" m="1" x="15"/>
        <item h="1" m="1" x="13"/>
        <item h="1" m="1" x="7"/>
        <item h="1" m="1" x="6"/>
        <item h="1" m="1" x="16"/>
        <item h="1" m="1" x="12"/>
        <item h="1" m="1" x="14"/>
        <item h="1" m="1" x="5"/>
        <item h="1" m="1" x="4"/>
        <item h="1" m="1" x="8"/>
        <item h="1" m="1" x="10"/>
        <item h="1" m="1" x="9"/>
        <item h="1" m="1" x="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14">
        <item x="0"/>
        <item m="1" x="5"/>
        <item m="1" x="3"/>
        <item m="1" x="1"/>
        <item m="1" x="11"/>
        <item m="1" x="2"/>
        <item m="1" x="7"/>
        <item m="1" x="8"/>
        <item m="1" x="9"/>
        <item m="1" x="10"/>
        <item m="1" x="12"/>
        <item m="1" x="6"/>
        <item m="1"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9"/>
  </rowFields>
  <rowItems count="1">
    <i t="grand">
      <x/>
    </i>
  </rowItems>
  <colItems count="1">
    <i/>
  </colItems>
  <pageFields count="4">
    <pageField fld="17"/>
    <pageField fld="13"/>
    <pageField fld="15"/>
    <pageField fld="16"/>
  </pageFields>
  <dataFields count="1">
    <dataField name="Count of Area AGM" fld="4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compactData="0" showDrill="1" multipleFieldFilters="0">
  <location ref="AG8:AI11" firstHeaderRow="1" firstDataRow="1" firstDataCol="2" rowPageCount="4" colPageCount="1"/>
  <pivotFields count="18"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40">
        <item x="9"/>
        <item x="7"/>
        <item x="3"/>
        <item x="12"/>
        <item x="5"/>
        <item m="1" x="27"/>
        <item x="2"/>
        <item x="14"/>
        <item x="1"/>
        <item m="1" x="16"/>
        <item x="4"/>
        <item x="6"/>
        <item x="8"/>
        <item m="1" x="17"/>
        <item m="1" x="25"/>
        <item m="1" x="31"/>
        <item m="1" x="21"/>
        <item m="1" x="19"/>
        <item m="1" x="20"/>
        <item m="1" x="22"/>
        <item m="1" x="23"/>
        <item x="0"/>
        <item x="15"/>
        <item x="13"/>
        <item m="1" x="29"/>
        <item m="1" x="33"/>
        <item m="1" x="18"/>
        <item m="1" x="35"/>
        <item m="1" x="37"/>
        <item m="1" x="32"/>
        <item x="11"/>
        <item m="1" x="38"/>
        <item m="1" x="30"/>
        <item m="1" x="24"/>
        <item m="1" x="26"/>
        <item m="1" x="36"/>
        <item m="1" x="28"/>
        <item m="1" x="34"/>
        <item x="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6">
        <item h="1" x="2"/>
        <item h="1" m="1" x="4"/>
        <item h="1" x="3"/>
        <item x="0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9">
        <item h="1" x="1"/>
        <item x="0"/>
        <item h="1" x="3"/>
        <item h="1" m="1" x="7"/>
        <item h="1" m="1" x="6"/>
        <item h="1" m="1" x="4"/>
        <item h="1" m="1" x="5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18">
        <item x="0"/>
        <item x="1"/>
        <item x="3"/>
        <item x="2"/>
        <item m="1" x="15"/>
        <item m="1" x="13"/>
        <item m="1" x="7"/>
        <item m="1" x="6"/>
        <item m="1" x="16"/>
        <item m="1" x="12"/>
        <item m="1" x="14"/>
        <item m="1" x="5"/>
        <item m="1" x="4"/>
        <item m="1" x="8"/>
        <item m="1" x="10"/>
        <item m="1" x="9"/>
        <item m="1" x="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14">
        <item x="0"/>
        <item m="1" x="5"/>
        <item m="1" x="3"/>
        <item m="1" x="1"/>
        <item m="1" x="11"/>
        <item m="1" x="2"/>
        <item m="1" x="7"/>
        <item m="1" x="8"/>
        <item m="1" x="9"/>
        <item m="1" x="10"/>
        <item m="1" x="12"/>
        <item m="1" x="6"/>
        <item m="1"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9"/>
  </rowFields>
  <rowItems count="3">
    <i>
      <x/>
      <x v="21"/>
    </i>
    <i t="default">
      <x/>
    </i>
    <i t="grand">
      <x/>
    </i>
  </rowItems>
  <colItems count="1">
    <i/>
  </colItems>
  <pageFields count="4">
    <pageField fld="17"/>
    <pageField fld="13"/>
    <pageField fld="15"/>
    <pageField fld="16"/>
  </pageFields>
  <dataFields count="1">
    <dataField name="Count of Area AGM" fld="4" subtotal="count" baseField="1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2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compactData="0" showDrill="1" multipleFieldFilters="0">
  <location ref="AO8:AQ17" firstHeaderRow="1" firstDataRow="1" firstDataCol="2" rowPageCount="4" colPageCount="1"/>
  <pivotFields count="18"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40">
        <item x="9"/>
        <item x="7"/>
        <item x="3"/>
        <item x="12"/>
        <item x="5"/>
        <item m="1" x="27"/>
        <item x="2"/>
        <item x="14"/>
        <item x="1"/>
        <item m="1" x="16"/>
        <item x="4"/>
        <item x="6"/>
        <item x="8"/>
        <item m="1" x="17"/>
        <item m="1" x="25"/>
        <item m="1" x="31"/>
        <item m="1" x="21"/>
        <item m="1" x="19"/>
        <item m="1" x="20"/>
        <item m="1" x="22"/>
        <item m="1" x="23"/>
        <item x="0"/>
        <item x="15"/>
        <item x="13"/>
        <item m="1" x="29"/>
        <item m="1" x="33"/>
        <item m="1" x="18"/>
        <item m="1" x="35"/>
        <item m="1" x="37"/>
        <item m="1" x="32"/>
        <item x="11"/>
        <item m="1" x="38"/>
        <item m="1" x="30"/>
        <item m="1" x="24"/>
        <item m="1" x="26"/>
        <item m="1" x="36"/>
        <item m="1" x="28"/>
        <item m="1" x="34"/>
        <item x="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6">
        <item x="2"/>
        <item h="1" m="1" x="4"/>
        <item h="1" x="3"/>
        <item h="1" x="0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9">
        <item h="1" x="1"/>
        <item x="0"/>
        <item h="1" x="3"/>
        <item h="1" m="1" x="7"/>
        <item h="1" m="1" x="6"/>
        <item h="1" m="1" x="4"/>
        <item h="1" m="1" x="5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18">
        <item h="1" x="0"/>
        <item x="1"/>
        <item h="1" x="3"/>
        <item x="2"/>
        <item h="1" m="1" x="15"/>
        <item h="1" m="1" x="13"/>
        <item h="1" m="1" x="7"/>
        <item h="1" m="1" x="6"/>
        <item h="1" m="1" x="16"/>
        <item h="1" m="1" x="12"/>
        <item h="1" m="1" x="14"/>
        <item h="1" m="1" x="5"/>
        <item h="1" m="1" x="4"/>
        <item h="1" m="1" x="8"/>
        <item h="1" m="1" x="10"/>
        <item h="1" m="1" x="9"/>
        <item h="1" m="1" x="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14">
        <item x="0"/>
        <item m="1" x="5"/>
        <item m="1" x="3"/>
        <item m="1" x="1"/>
        <item m="1" x="11"/>
        <item m="1" x="2"/>
        <item m="1" x="7"/>
        <item m="1" x="8"/>
        <item m="1" x="9"/>
        <item m="1" x="10"/>
        <item m="1" x="12"/>
        <item m="1" x="6"/>
        <item m="1"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9"/>
  </rowFields>
  <rowItems count="9">
    <i>
      <x/>
      <x/>
    </i>
    <i r="1">
      <x v="1"/>
    </i>
    <i r="1">
      <x v="3"/>
    </i>
    <i r="1">
      <x v="4"/>
    </i>
    <i r="1">
      <x v="7"/>
    </i>
    <i r="1">
      <x v="12"/>
    </i>
    <i r="1">
      <x v="38"/>
    </i>
    <i t="default">
      <x/>
    </i>
    <i t="grand">
      <x/>
    </i>
  </rowItems>
  <colItems count="1">
    <i/>
  </colItems>
  <pageFields count="4">
    <pageField fld="17"/>
    <pageField fld="13"/>
    <pageField fld="15"/>
    <pageField fld="16"/>
  </pageFields>
  <dataFields count="1">
    <dataField name="Count of Area AGM" fld="4" subtotal="count" baseField="1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compactData="0" showDrill="1">
  <location ref="BE8:BG9" firstHeaderRow="1" firstDataRow="1" firstDataCol="2" rowPageCount="4" colPageCount="1"/>
  <pivotFields count="18"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40">
        <item x="9"/>
        <item x="7"/>
        <item x="3"/>
        <item x="12"/>
        <item x="5"/>
        <item m="1" x="27"/>
        <item x="2"/>
        <item x="14"/>
        <item x="1"/>
        <item m="1" x="16"/>
        <item x="4"/>
        <item x="6"/>
        <item x="8"/>
        <item m="1" x="17"/>
        <item m="1" x="25"/>
        <item m="1" x="31"/>
        <item m="1" x="21"/>
        <item m="1" x="19"/>
        <item m="1" x="20"/>
        <item m="1" x="22"/>
        <item m="1" x="23"/>
        <item x="0"/>
        <item x="15"/>
        <item x="13"/>
        <item m="1" x="29"/>
        <item m="1" x="33"/>
        <item m="1" x="18"/>
        <item m="1" x="35"/>
        <item m="1" x="37"/>
        <item m="1" x="32"/>
        <item x="11"/>
        <item m="1" x="38"/>
        <item m="1" x="30"/>
        <item m="1" x="24"/>
        <item m="1" x="26"/>
        <item m="1" x="36"/>
        <item m="1" x="28"/>
        <item m="1" x="34"/>
        <item x="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6">
        <item h="1" x="2"/>
        <item h="1" m="1" x="4"/>
        <item h="1" x="3"/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9">
        <item x="1"/>
        <item h="1" x="0"/>
        <item h="1" x="3"/>
        <item h="1" m="1" x="7"/>
        <item h="1" m="1" x="6"/>
        <item h="1" m="1" x="4"/>
        <item h="1" m="1" x="5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18">
        <item x="0"/>
        <item h="1" x="1"/>
        <item h="1" x="3"/>
        <item h="1" x="2"/>
        <item h="1" m="1" x="15"/>
        <item h="1" m="1" x="13"/>
        <item h="1" m="1" x="7"/>
        <item h="1" m="1" x="6"/>
        <item h="1" m="1" x="16"/>
        <item h="1" m="1" x="12"/>
        <item h="1" m="1" x="14"/>
        <item h="1" m="1" x="5"/>
        <item h="1" m="1" x="4"/>
        <item h="1" m="1" x="8"/>
        <item h="1" m="1" x="10"/>
        <item h="1" m="1" x="9"/>
        <item h="1" m="1" x="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14">
        <item x="0"/>
        <item m="1" x="5"/>
        <item m="1" x="3"/>
        <item m="1" x="1"/>
        <item m="1" x="11"/>
        <item m="1" x="2"/>
        <item m="1" x="7"/>
        <item m="1" x="8"/>
        <item m="1" x="9"/>
        <item m="1" x="10"/>
        <item m="1" x="12"/>
        <item m="1" x="6"/>
        <item m="1"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9"/>
  </rowFields>
  <rowItems count="1">
    <i t="grand">
      <x/>
    </i>
  </rowItems>
  <colItems count="1">
    <i/>
  </colItems>
  <pageFields count="4">
    <pageField fld="17"/>
    <pageField fld="13"/>
    <pageField fld="15"/>
    <pageField fld="16"/>
  </pageFields>
  <dataFields count="1">
    <dataField name="Count of Area AGM" fld="4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compactData="0" showDrill="1" multipleFieldFilters="0">
  <location ref="Y8:AA13" firstHeaderRow="1" firstDataRow="1" firstDataCol="2" rowPageCount="4" colPageCount="1"/>
  <pivotFields count="18"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40">
        <item x="9"/>
        <item x="7"/>
        <item x="3"/>
        <item x="12"/>
        <item x="5"/>
        <item m="1" x="27"/>
        <item x="2"/>
        <item x="14"/>
        <item x="1"/>
        <item m="1" x="16"/>
        <item x="4"/>
        <item x="6"/>
        <item x="8"/>
        <item m="1" x="17"/>
        <item m="1" x="25"/>
        <item m="1" x="31"/>
        <item m="1" x="21"/>
        <item m="1" x="19"/>
        <item m="1" x="20"/>
        <item m="1" x="22"/>
        <item m="1" x="23"/>
        <item x="0"/>
        <item x="15"/>
        <item x="13"/>
        <item m="1" x="29"/>
        <item m="1" x="33"/>
        <item m="1" x="18"/>
        <item m="1" x="35"/>
        <item m="1" x="37"/>
        <item m="1" x="32"/>
        <item x="11"/>
        <item m="1" x="38"/>
        <item m="1" x="30"/>
        <item m="1" x="24"/>
        <item m="1" x="26"/>
        <item m="1" x="36"/>
        <item m="1" x="28"/>
        <item m="1" x="34"/>
        <item x="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6">
        <item h="1" x="2"/>
        <item h="1" m="1" x="4"/>
        <item h="1" x="3"/>
        <item h="1"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9">
        <item h="1" x="1"/>
        <item x="0"/>
        <item h="1" x="3"/>
        <item h="1" m="1" x="7"/>
        <item h="1" m="1" x="6"/>
        <item h="1" m="1" x="4"/>
        <item h="1" m="1" x="5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18">
        <item x="0"/>
        <item x="1"/>
        <item x="3"/>
        <item x="2"/>
        <item m="1" x="15"/>
        <item m="1" x="13"/>
        <item m="1" x="7"/>
        <item m="1" x="6"/>
        <item m="1" x="16"/>
        <item m="1" x="12"/>
        <item m="1" x="14"/>
        <item m="1" x="5"/>
        <item m="1" x="4"/>
        <item m="1" x="8"/>
        <item m="1" x="10"/>
        <item m="1" x="9"/>
        <item m="1" x="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14">
        <item x="0"/>
        <item m="1" x="5"/>
        <item m="1" x="3"/>
        <item m="1" x="1"/>
        <item m="1" x="11"/>
        <item m="1" x="2"/>
        <item m="1" x="7"/>
        <item m="1" x="8"/>
        <item m="1" x="9"/>
        <item m="1" x="10"/>
        <item m="1" x="12"/>
        <item m="1" x="6"/>
        <item m="1"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9"/>
  </rowFields>
  <rowItems count="5">
    <i>
      <x/>
      <x v="2"/>
    </i>
    <i r="1">
      <x v="6"/>
    </i>
    <i r="1">
      <x v="8"/>
    </i>
    <i t="default">
      <x/>
    </i>
    <i t="grand">
      <x/>
    </i>
  </rowItems>
  <colItems count="1">
    <i/>
  </colItems>
  <pageFields count="4">
    <pageField fld="17"/>
    <pageField fld="13"/>
    <pageField fld="15"/>
    <pageField fld="16"/>
  </pageFields>
  <dataFields count="1">
    <dataField name="Count of Area AGM" fld="4" subtotal="count" baseField="1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compactData="0" showDrill="1" multipleFieldFilters="0">
  <location ref="AC8:AE9" firstHeaderRow="1" firstDataRow="1" firstDataCol="2" rowPageCount="4" colPageCount="1"/>
  <pivotFields count="18"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40">
        <item x="9"/>
        <item x="7"/>
        <item x="3"/>
        <item x="12"/>
        <item x="5"/>
        <item m="1" x="27"/>
        <item x="2"/>
        <item x="14"/>
        <item x="1"/>
        <item m="1" x="16"/>
        <item x="4"/>
        <item x="6"/>
        <item x="8"/>
        <item m="1" x="17"/>
        <item m="1" x="25"/>
        <item m="1" x="31"/>
        <item m="1" x="21"/>
        <item m="1" x="19"/>
        <item m="1" x="20"/>
        <item m="1" x="22"/>
        <item m="1" x="23"/>
        <item x="0"/>
        <item x="15"/>
        <item x="13"/>
        <item m="1" x="29"/>
        <item m="1" x="33"/>
        <item m="1" x="18"/>
        <item m="1" x="35"/>
        <item m="1" x="37"/>
        <item m="1" x="32"/>
        <item x="11"/>
        <item m="1" x="38"/>
        <item m="1" x="30"/>
        <item m="1" x="24"/>
        <item m="1" x="26"/>
        <item m="1" x="36"/>
        <item m="1" x="28"/>
        <item m="1" x="34"/>
        <item x="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6">
        <item h="1" x="2"/>
        <item h="1" m="1" x="4"/>
        <item h="1" x="3"/>
        <item h="1"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9">
        <item h="1" x="1"/>
        <item x="0"/>
        <item h="1" x="3"/>
        <item h="1" m="1" x="7"/>
        <item h="1" m="1" x="6"/>
        <item h="1" m="1" x="4"/>
        <item h="1" m="1" x="5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18">
        <item h="1" x="0"/>
        <item x="1"/>
        <item h="1" x="3"/>
        <item x="2"/>
        <item h="1" m="1" x="15"/>
        <item h="1" m="1" x="13"/>
        <item h="1" m="1" x="7"/>
        <item h="1" m="1" x="6"/>
        <item h="1" m="1" x="16"/>
        <item h="1" m="1" x="12"/>
        <item h="1" m="1" x="14"/>
        <item h="1" m="1" x="5"/>
        <item h="1" m="1" x="4"/>
        <item h="1" m="1" x="8"/>
        <item h="1" m="1" x="10"/>
        <item h="1" m="1" x="9"/>
        <item h="1" m="1" x="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14">
        <item x="0"/>
        <item m="1" x="5"/>
        <item m="1" x="3"/>
        <item m="1" x="1"/>
        <item m="1" x="11"/>
        <item m="1" x="2"/>
        <item m="1" x="7"/>
        <item m="1" x="8"/>
        <item m="1" x="9"/>
        <item m="1" x="10"/>
        <item m="1" x="12"/>
        <item m="1" x="6"/>
        <item m="1"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9"/>
  </rowFields>
  <rowItems count="1">
    <i t="grand">
      <x/>
    </i>
  </rowItems>
  <colItems count="1">
    <i/>
  </colItems>
  <pageFields count="4">
    <pageField fld="17"/>
    <pageField fld="13"/>
    <pageField fld="15"/>
    <pageField fld="16"/>
  </pageFields>
  <dataFields count="1">
    <dataField name="Count of Area AGM" fld="4" subtotal="count" baseField="1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2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compactData="0" showDrill="1">
  <location ref="BI8:BK14" firstHeaderRow="1" firstDataRow="1" firstDataCol="2" rowPageCount="4" colPageCount="1"/>
  <pivotFields count="18"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40">
        <item x="9"/>
        <item x="7"/>
        <item x="3"/>
        <item x="12"/>
        <item x="5"/>
        <item m="1" x="27"/>
        <item x="2"/>
        <item x="14"/>
        <item x="1"/>
        <item m="1" x="16"/>
        <item x="4"/>
        <item x="6"/>
        <item x="8"/>
        <item m="1" x="17"/>
        <item m="1" x="25"/>
        <item m="1" x="31"/>
        <item m="1" x="21"/>
        <item m="1" x="19"/>
        <item m="1" x="20"/>
        <item m="1" x="22"/>
        <item m="1" x="23"/>
        <item x="0"/>
        <item x="15"/>
        <item x="13"/>
        <item m="1" x="29"/>
        <item m="1" x="33"/>
        <item m="1" x="18"/>
        <item m="1" x="35"/>
        <item m="1" x="37"/>
        <item m="1" x="32"/>
        <item x="11"/>
        <item m="1" x="38"/>
        <item m="1" x="30"/>
        <item m="1" x="24"/>
        <item m="1" x="26"/>
        <item m="1" x="36"/>
        <item m="1" x="28"/>
        <item m="1" x="34"/>
        <item x="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6">
        <item h="1" x="2"/>
        <item h="1" m="1" x="4"/>
        <item h="1" x="3"/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9">
        <item h="1" x="1"/>
        <item x="0"/>
        <item h="1" x="3"/>
        <item m="1" x="7"/>
        <item h="1" m="1" x="6"/>
        <item h="1" m="1" x="4"/>
        <item h="1" m="1" x="5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18">
        <item x="0"/>
        <item h="1" x="1"/>
        <item h="1" x="3"/>
        <item h="1" x="2"/>
        <item h="1" m="1" x="15"/>
        <item h="1" m="1" x="13"/>
        <item h="1" m="1" x="7"/>
        <item h="1" m="1" x="6"/>
        <item h="1" m="1" x="16"/>
        <item h="1" m="1" x="12"/>
        <item h="1" m="1" x="14"/>
        <item h="1" m="1" x="5"/>
        <item h="1" m="1" x="4"/>
        <item h="1" m="1" x="8"/>
        <item h="1" m="1" x="10"/>
        <item h="1" m="1" x="9"/>
        <item h="1" m="1" x="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14">
        <item x="0"/>
        <item m="1" x="5"/>
        <item m="1" x="3"/>
        <item m="1" x="1"/>
        <item m="1" x="11"/>
        <item m="1" x="2"/>
        <item m="1" x="7"/>
        <item m="1" x="8"/>
        <item m="1" x="9"/>
        <item m="1" x="10"/>
        <item m="1" x="12"/>
        <item m="1" x="6"/>
        <item m="1"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9"/>
  </rowFields>
  <rowItems count="6">
    <i>
      <x/>
      <x v="2"/>
    </i>
    <i r="1">
      <x v="6"/>
    </i>
    <i r="1">
      <x v="8"/>
    </i>
    <i r="1">
      <x v="21"/>
    </i>
    <i t="default">
      <x/>
    </i>
    <i t="grand">
      <x/>
    </i>
  </rowItems>
  <colItems count="1">
    <i/>
  </colItems>
  <pageFields count="4">
    <pageField fld="17"/>
    <pageField fld="13"/>
    <pageField fld="15"/>
    <pageField fld="16"/>
  </pageFields>
  <dataFields count="1">
    <dataField name="Count of Area AGM" fld="4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compactData="0" showDrill="1">
  <location ref="BM8:BN11" firstHeaderRow="1" firstDataRow="1" firstDataCol="1" rowPageCount="3" colPageCount="1"/>
  <pivotFields count="18">
    <pivotField compact="0" defaultSubtotal="0" outline="0" subtotalTop="0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ubtotalTop="0" showAl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ubtotalTop="0" showAl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ubtotalTop="0" showAl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defaultSubtotal="0" outline="0" subtotalTop="0" showAl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ubtotalTop="0" showAl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24">
        <item x="22"/>
        <item x="12"/>
        <item x="18"/>
        <item x="15"/>
        <item x="8"/>
        <item x="19"/>
        <item x="21"/>
        <item x="6"/>
        <item x="16"/>
        <item x="3"/>
        <item x="17"/>
        <item x="20"/>
        <item x="4"/>
        <item x="9"/>
        <item x="1"/>
        <item x="11"/>
        <item x="2"/>
        <item x="13"/>
        <item x="0"/>
        <item x="10"/>
        <item x="5"/>
        <item x="7"/>
        <item x="14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ubtotalTop="0" showAll="0">
      <items count="22">
        <item x="20"/>
        <item x="11"/>
        <item x="17"/>
        <item x="14"/>
        <item x="8"/>
        <item x="18"/>
        <item x="6"/>
        <item x="15"/>
        <item x="3"/>
        <item x="16"/>
        <item x="19"/>
        <item x="4"/>
        <item x="1"/>
        <item x="10"/>
        <item x="2"/>
        <item x="12"/>
        <item x="0"/>
        <item x="9"/>
        <item x="5"/>
        <item x="7"/>
        <item x="13"/>
        <item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12">
        <item x="1"/>
        <item x="3"/>
        <item x="10"/>
        <item x="2"/>
        <item x="4"/>
        <item x="7"/>
        <item x="0"/>
        <item x="5"/>
        <item x="9"/>
        <item x="6"/>
        <item x="8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ubtotalTop="0" showAll="0">
      <items count="39">
        <item x="9"/>
        <item x="13"/>
        <item m="1" x="21"/>
        <item m="1" x="23"/>
        <item x="5"/>
        <item m="1" x="24"/>
        <item x="7"/>
        <item m="1" x="32"/>
        <item m="1" x="30"/>
        <item m="1" x="35"/>
        <item m="1" x="36"/>
        <item x="4"/>
        <item m="1" x="17"/>
        <item m="1" x="26"/>
        <item m="1" x="29"/>
        <item m="1" x="28"/>
        <item x="1"/>
        <item x="6"/>
        <item x="3"/>
        <item m="1" x="18"/>
        <item x="11"/>
        <item m="1" x="19"/>
        <item x="12"/>
        <item x="8"/>
        <item x="2"/>
        <item m="1" x="20"/>
        <item x="14"/>
        <item m="1" x="16"/>
        <item m="1" x="34"/>
        <item m="1" x="31"/>
        <item x="10"/>
        <item m="1" x="27"/>
        <item m="1" x="33"/>
        <item m="1" x="25"/>
        <item m="1" x="38"/>
        <item x="0"/>
        <item m="1" x="22"/>
        <item m="1" x="37"/>
        <item x="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ubtotalTop="0" showAll="0">
      <items count="22">
        <item x="11"/>
        <item x="14"/>
        <item x="17"/>
        <item x="18"/>
        <item x="8"/>
        <item x="4"/>
        <item x="1"/>
        <item x="6"/>
        <item x="3"/>
        <item x="15"/>
        <item x="19"/>
        <item x="16"/>
        <item x="10"/>
        <item x="12"/>
        <item x="2"/>
        <item x="9"/>
        <item x="5"/>
        <item x="7"/>
        <item x="20"/>
        <item x="13"/>
        <item x="0"/>
        <item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ubtotalTop="0" showAll="0">
      <items count="22">
        <item x="15"/>
        <item x="16"/>
        <item x="17"/>
        <item x="18"/>
        <item x="14"/>
        <item x="19"/>
        <item x="20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ubtotalTop="0" showAll="0">
      <items count="7">
        <item m="1" x="6"/>
        <item x="0"/>
        <item x="4"/>
        <item x="3"/>
        <item x="2"/>
        <item x="1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defaultSubtotal="0" outline="0" subtotalTop="0" multipleItemSelectionAllowed="1" showAll="0">
      <items count="5">
        <item x="2"/>
        <item m="1" x="4"/>
        <item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ubtotalTop="0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20"/>
        <item x="19"/>
        <item x="14"/>
        <item x="18"/>
        <item x="17"/>
        <item x="16"/>
        <item x="15"/>
        <item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defaultSubtotal="0" outline="0" multipleItemSelectionAllowed="1" showAll="0">
      <items count="8">
        <item x="1"/>
        <item h="1" x="0"/>
        <item h="1" x="3"/>
        <item h="1" m="1" x="7"/>
        <item h="1" m="1" x="6"/>
        <item h="1" m="1" x="4"/>
        <item h="1" m="1" x="5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multipleItemSelectionAllowed="1" showAll="0">
      <items count="17">
        <item h="1" x="0"/>
        <item x="1"/>
        <item h="1" x="3"/>
        <item x="2"/>
        <item h="1" m="1" x="15"/>
        <item h="1" m="1" x="13"/>
        <item h="1" m="1" x="7"/>
        <item h="1" m="1" x="6"/>
        <item h="1" m="1" x="16"/>
        <item h="1" m="1" x="12"/>
        <item h="1" m="1" x="14"/>
        <item h="1" m="1" x="5"/>
        <item h="1" m="1" x="4"/>
        <item h="1" m="1" x="8"/>
        <item h="1" m="1" x="10"/>
        <item h="1" m="1" x="9"/>
        <item h="1" m="1"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defaultSubtotal="0" outline="0" subtotalTop="0" multipleItemSelectionAllowed="1" showAll="0">
      <items count="13">
        <item x="0"/>
        <item m="1" x="5"/>
        <item m="1" x="3"/>
        <item m="1" x="1"/>
        <item m="1" x="11"/>
        <item m="1" x="2"/>
        <item m="1" x="7"/>
        <item m="1" x="8"/>
        <item m="1" x="9"/>
        <item m="1" x="10"/>
        <item m="1" x="12"/>
        <item m="1" x="6"/>
        <item m="1"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6"/>
  </rowFields>
  <rowItems count="3">
    <i>
      <x v="1"/>
    </i>
    <i>
      <x v="3"/>
    </i>
    <i t="grand">
      <x/>
    </i>
  </rowItems>
  <colItems count="1">
    <i/>
  </colItems>
  <pageFields count="3">
    <pageField fld="17"/>
    <pageField fld="13"/>
    <pageField fld="15"/>
  </pageFields>
  <dataFields count="1">
    <dataField name="Count of Area AGM" fld="4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compactData="0" showDrill="1">
  <location ref="E8:G14" firstHeaderRow="1" firstDataRow="1" firstDataCol="2" rowPageCount="4" colPageCount="1"/>
  <pivotFields count="18"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40">
        <item x="9"/>
        <item x="7"/>
        <item x="3"/>
        <item x="12"/>
        <item x="5"/>
        <item m="1" x="27"/>
        <item x="2"/>
        <item x="14"/>
        <item x="1"/>
        <item m="1" x="16"/>
        <item x="4"/>
        <item x="6"/>
        <item x="8"/>
        <item m="1" x="17"/>
        <item m="1" x="25"/>
        <item m="1" x="31"/>
        <item m="1" x="21"/>
        <item m="1" x="19"/>
        <item m="1" x="20"/>
        <item m="1" x="22"/>
        <item m="1" x="23"/>
        <item x="0"/>
        <item x="15"/>
        <item x="13"/>
        <item m="1" x="29"/>
        <item m="1" x="33"/>
        <item m="1" x="18"/>
        <item m="1" x="35"/>
        <item m="1" x="37"/>
        <item m="1" x="32"/>
        <item x="11"/>
        <item m="1" x="38"/>
        <item m="1" x="30"/>
        <item m="1" x="24"/>
        <item m="1" x="26"/>
        <item m="1" x="36"/>
        <item m="1" x="28"/>
        <item m="1" x="34"/>
        <item x="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6">
        <item x="2"/>
        <item h="1" m="1" x="4"/>
        <item h="1" x="3"/>
        <item h="1" x="0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9">
        <item x="1"/>
        <item h="1" x="0"/>
        <item h="1" x="3"/>
        <item h="1" m="1" x="7"/>
        <item h="1" m="1" x="6"/>
        <item h="1" m="1" x="4"/>
        <item h="1" m="1" x="5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18">
        <item x="0"/>
        <item x="1"/>
        <item x="3"/>
        <item x="2"/>
        <item m="1" x="15"/>
        <item m="1" x="13"/>
        <item m="1" x="7"/>
        <item m="1" x="6"/>
        <item m="1" x="16"/>
        <item m="1" x="12"/>
        <item m="1" x="14"/>
        <item m="1" x="5"/>
        <item m="1" x="4"/>
        <item m="1" x="8"/>
        <item m="1" x="10"/>
        <item m="1" x="9"/>
        <item m="1" x="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14">
        <item x="0"/>
        <item m="1" x="5"/>
        <item m="1" x="3"/>
        <item m="1" x="1"/>
        <item m="1" x="11"/>
        <item m="1" x="2"/>
        <item m="1" x="7"/>
        <item m="1" x="8"/>
        <item m="1" x="9"/>
        <item m="1" x="10"/>
        <item m="1" x="12"/>
        <item m="1" x="6"/>
        <item m="1"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9"/>
  </rowFields>
  <rowItems count="6">
    <i>
      <x/>
      <x v="1"/>
    </i>
    <i r="1">
      <x v="6"/>
    </i>
    <i r="1">
      <x v="10"/>
    </i>
    <i r="1">
      <x v="38"/>
    </i>
    <i t="default">
      <x/>
    </i>
    <i t="grand">
      <x/>
    </i>
  </rowItems>
  <colItems count="1">
    <i/>
  </colItems>
  <pageFields count="4">
    <pageField fld="17"/>
    <pageField fld="13"/>
    <pageField fld="15"/>
    <pageField fld="16"/>
  </pageFields>
  <dataFields count="1">
    <dataField name="Count of Area AGM" fld="4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1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compactData="0" showDrill="1">
  <location ref="BA8:BC9" firstHeaderRow="1" firstDataRow="1" firstDataCol="2" rowPageCount="4" colPageCount="1"/>
  <pivotFields count="18"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40">
        <item x="9"/>
        <item x="7"/>
        <item x="3"/>
        <item x="12"/>
        <item x="5"/>
        <item m="1" x="27"/>
        <item x="2"/>
        <item x="14"/>
        <item x="1"/>
        <item m="1" x="16"/>
        <item x="4"/>
        <item x="6"/>
        <item x="8"/>
        <item m="1" x="17"/>
        <item m="1" x="25"/>
        <item m="1" x="31"/>
        <item m="1" x="21"/>
        <item m="1" x="19"/>
        <item m="1" x="20"/>
        <item m="1" x="22"/>
        <item m="1" x="23"/>
        <item x="0"/>
        <item x="15"/>
        <item x="13"/>
        <item m="1" x="29"/>
        <item m="1" x="33"/>
        <item m="1" x="18"/>
        <item m="1" x="35"/>
        <item m="1" x="37"/>
        <item m="1" x="32"/>
        <item x="11"/>
        <item m="1" x="38"/>
        <item m="1" x="30"/>
        <item m="1" x="24"/>
        <item m="1" x="26"/>
        <item m="1" x="36"/>
        <item m="1" x="28"/>
        <item m="1" x="34"/>
        <item x="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6">
        <item x="2"/>
        <item h="1" m="1" x="4"/>
        <item h="1" x="3"/>
        <item h="1" x="0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9">
        <item x="1"/>
        <item h="1" x="0"/>
        <item h="1" x="3"/>
        <item h="1" m="1" x="7"/>
        <item h="1" m="1" x="6"/>
        <item h="1" m="1" x="4"/>
        <item h="1" m="1" x="5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18">
        <item x="0"/>
        <item h="1" x="1"/>
        <item h="1" x="3"/>
        <item h="1" x="2"/>
        <item h="1" m="1" x="15"/>
        <item h="1" m="1" x="13"/>
        <item h="1" m="1" x="7"/>
        <item h="1" m="1" x="6"/>
        <item h="1" m="1" x="16"/>
        <item h="1" m="1" x="12"/>
        <item h="1" m="1" x="14"/>
        <item h="1" m="1" x="5"/>
        <item h="1" m="1" x="4"/>
        <item h="1" m="1" x="8"/>
        <item h="1" m="1" x="10"/>
        <item h="1" m="1" x="9"/>
        <item h="1" m="1" x="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14">
        <item x="0"/>
        <item m="1" x="5"/>
        <item m="1" x="3"/>
        <item m="1" x="1"/>
        <item m="1" x="11"/>
        <item m="1" x="2"/>
        <item m="1" x="7"/>
        <item m="1" x="8"/>
        <item m="1" x="9"/>
        <item m="1" x="10"/>
        <item m="1" x="12"/>
        <item m="1" x="6"/>
        <item m="1"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9"/>
  </rowFields>
  <rowItems count="1">
    <i t="grand">
      <x/>
    </i>
  </rowItems>
  <colItems count="1">
    <i/>
  </colItems>
  <pageFields count="4">
    <pageField fld="17"/>
    <pageField fld="13"/>
    <pageField fld="15"/>
    <pageField fld="16"/>
  </pageFields>
  <dataFields count="1">
    <dataField name="Count of Area AGM" fld="4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compactData="0" showDrill="1">
  <location ref="AS8:AU14" firstHeaderRow="1" firstDataRow="1" firstDataCol="2" rowPageCount="4" colPageCount="1"/>
  <pivotFields count="18"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40">
        <item x="9"/>
        <item x="7"/>
        <item x="3"/>
        <item x="12"/>
        <item x="5"/>
        <item m="1" x="27"/>
        <item x="2"/>
        <item x="14"/>
        <item x="1"/>
        <item m="1" x="16"/>
        <item x="4"/>
        <item x="6"/>
        <item x="8"/>
        <item m="1" x="17"/>
        <item m="1" x="25"/>
        <item m="1" x="31"/>
        <item m="1" x="21"/>
        <item m="1" x="19"/>
        <item m="1" x="20"/>
        <item m="1" x="22"/>
        <item m="1" x="23"/>
        <item x="0"/>
        <item x="15"/>
        <item x="13"/>
        <item m="1" x="29"/>
        <item m="1" x="33"/>
        <item m="1" x="18"/>
        <item m="1" x="35"/>
        <item m="1" x="37"/>
        <item m="1" x="32"/>
        <item x="11"/>
        <item m="1" x="38"/>
        <item m="1" x="30"/>
        <item m="1" x="24"/>
        <item m="1" x="26"/>
        <item m="1" x="36"/>
        <item m="1" x="28"/>
        <item m="1" x="34"/>
        <item x="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6">
        <item x="2"/>
        <item h="1" m="1" x="4"/>
        <item h="1" x="3"/>
        <item h="1" x="0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9">
        <item x="1"/>
        <item h="1" x="0"/>
        <item h="1" x="3"/>
        <item h="1" m="1" x="7"/>
        <item h="1" m="1" x="6"/>
        <item h="1" m="1" x="4"/>
        <item h="1" m="1" x="5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18">
        <item h="1" x="0"/>
        <item x="1"/>
        <item h="1" x="3"/>
        <item x="2"/>
        <item h="1" m="1" x="15"/>
        <item h="1" m="1" x="13"/>
        <item h="1" m="1" x="7"/>
        <item h="1" m="1" x="6"/>
        <item h="1" m="1" x="16"/>
        <item h="1" m="1" x="12"/>
        <item h="1" m="1" x="14"/>
        <item h="1" m="1" x="5"/>
        <item h="1" m="1" x="4"/>
        <item h="1" m="1" x="8"/>
        <item h="1" m="1" x="10"/>
        <item h="1" m="1" x="9"/>
        <item h="1" m="1" x="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14">
        <item x="0"/>
        <item m="1" x="5"/>
        <item m="1" x="3"/>
        <item m="1" x="1"/>
        <item m="1" x="11"/>
        <item m="1" x="2"/>
        <item m="1" x="7"/>
        <item m="1" x="8"/>
        <item m="1" x="9"/>
        <item m="1" x="10"/>
        <item m="1" x="12"/>
        <item m="1" x="6"/>
        <item m="1"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9"/>
  </rowFields>
  <rowItems count="6">
    <i>
      <x/>
      <x v="1"/>
    </i>
    <i r="1">
      <x v="6"/>
    </i>
    <i r="1">
      <x v="10"/>
    </i>
    <i r="1">
      <x v="38"/>
    </i>
    <i t="default">
      <x/>
    </i>
    <i t="grand">
      <x/>
    </i>
  </rowItems>
  <colItems count="1">
    <i/>
  </colItems>
  <pageFields count="4">
    <pageField fld="17"/>
    <pageField fld="13"/>
    <pageField fld="15"/>
    <pageField fld="16"/>
  </pageFields>
  <dataFields count="1">
    <dataField name="Count of Area AGM" fld="4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compactData="0" showDrill="1" multipleFieldFilters="0">
  <location ref="I8:K9" firstHeaderRow="1" firstDataRow="1" firstDataCol="2" rowPageCount="4" colPageCount="1"/>
  <pivotFields count="18"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40">
        <item x="9"/>
        <item x="7"/>
        <item x="3"/>
        <item x="12"/>
        <item x="5"/>
        <item m="1" x="27"/>
        <item x="2"/>
        <item x="14"/>
        <item x="1"/>
        <item m="1" x="16"/>
        <item x="4"/>
        <item x="6"/>
        <item x="8"/>
        <item m="1" x="17"/>
        <item m="1" x="25"/>
        <item m="1" x="31"/>
        <item m="1" x="21"/>
        <item m="1" x="19"/>
        <item m="1" x="20"/>
        <item m="1" x="22"/>
        <item m="1" x="23"/>
        <item x="0"/>
        <item x="15"/>
        <item x="13"/>
        <item m="1" x="29"/>
        <item m="1" x="33"/>
        <item m="1" x="18"/>
        <item m="1" x="35"/>
        <item m="1" x="37"/>
        <item m="1" x="32"/>
        <item x="11"/>
        <item m="1" x="38"/>
        <item m="1" x="30"/>
        <item m="1" x="24"/>
        <item m="1" x="26"/>
        <item m="1" x="36"/>
        <item m="1" x="28"/>
        <item m="1" x="34"/>
        <item x="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6">
        <item h="1" x="2"/>
        <item h="1" m="1" x="4"/>
        <item x="3"/>
        <item h="1" x="0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9">
        <item x="1"/>
        <item h="1" x="0"/>
        <item h="1" x="3"/>
        <item h="1" m="1" x="7"/>
        <item h="1" m="1" x="6"/>
        <item h="1" m="1" x="4"/>
        <item h="1" m="1" x="5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18">
        <item x="0"/>
        <item x="1"/>
        <item x="3"/>
        <item x="2"/>
        <item m="1" x="15"/>
        <item m="1" x="13"/>
        <item m="1" x="7"/>
        <item m="1" x="6"/>
        <item m="1" x="16"/>
        <item m="1" x="12"/>
        <item m="1" x="14"/>
        <item m="1" x="5"/>
        <item m="1" x="4"/>
        <item m="1" x="8"/>
        <item m="1" x="10"/>
        <item m="1" x="9"/>
        <item m="1" x="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14">
        <item x="0"/>
        <item m="1" x="5"/>
        <item m="1" x="3"/>
        <item m="1" x="1"/>
        <item m="1" x="11"/>
        <item m="1" x="2"/>
        <item m="1" x="7"/>
        <item m="1" x="8"/>
        <item m="1" x="9"/>
        <item m="1" x="10"/>
        <item m="1" x="12"/>
        <item m="1" x="6"/>
        <item m="1"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9"/>
  </rowFields>
  <rowItems count="1">
    <i t="grand">
      <x/>
    </i>
  </rowItems>
  <colItems count="1">
    <i/>
  </colItems>
  <pageFields count="4">
    <pageField fld="17"/>
    <pageField fld="13"/>
    <pageField fld="15"/>
    <pageField fld="16"/>
  </pageFields>
  <dataFields count="1">
    <dataField name="Count of Area AGM" fld="4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PivotTable1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compactData="0" showDrill="1">
  <location ref="AW8:AY17" firstHeaderRow="1" firstDataRow="1" firstDataCol="2" rowPageCount="4" colPageCount="1"/>
  <pivotFields count="18"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40">
        <item x="9"/>
        <item x="7"/>
        <item x="3"/>
        <item x="12"/>
        <item x="5"/>
        <item m="1" x="27"/>
        <item x="2"/>
        <item x="14"/>
        <item x="1"/>
        <item m="1" x="16"/>
        <item x="4"/>
        <item x="6"/>
        <item x="8"/>
        <item m="1" x="17"/>
        <item m="1" x="25"/>
        <item m="1" x="31"/>
        <item m="1" x="21"/>
        <item m="1" x="19"/>
        <item m="1" x="20"/>
        <item m="1" x="22"/>
        <item m="1" x="23"/>
        <item x="0"/>
        <item x="15"/>
        <item x="13"/>
        <item m="1" x="29"/>
        <item m="1" x="33"/>
        <item m="1" x="18"/>
        <item m="1" x="35"/>
        <item m="1" x="37"/>
        <item m="1" x="32"/>
        <item x="11"/>
        <item m="1" x="38"/>
        <item m="1" x="30"/>
        <item m="1" x="24"/>
        <item m="1" x="26"/>
        <item m="1" x="36"/>
        <item m="1" x="28"/>
        <item m="1" x="34"/>
        <item x="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6">
        <item x="2"/>
        <item h="1" m="1" x="4"/>
        <item h="1" x="3"/>
        <item h="1" x="0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9">
        <item h="1" x="1"/>
        <item x="0"/>
        <item h="1" x="3"/>
        <item m="1" x="7"/>
        <item h="1" m="1" x="6"/>
        <item h="1" m="1" x="4"/>
        <item h="1" m="1" x="5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18">
        <item x="0"/>
        <item h="1" x="1"/>
        <item h="1" x="3"/>
        <item h="1" x="2"/>
        <item h="1" m="1" x="15"/>
        <item h="1" m="1" x="13"/>
        <item h="1" m="1" x="7"/>
        <item h="1" m="1" x="6"/>
        <item h="1" m="1" x="16"/>
        <item h="1" m="1" x="12"/>
        <item h="1" m="1" x="14"/>
        <item h="1" m="1" x="5"/>
        <item h="1" m="1" x="4"/>
        <item h="1" m="1" x="8"/>
        <item h="1" m="1" x="10"/>
        <item h="1" m="1" x="9"/>
        <item h="1" m="1" x="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14">
        <item x="0"/>
        <item m="1" x="5"/>
        <item m="1" x="3"/>
        <item m="1" x="1"/>
        <item m="1" x="11"/>
        <item m="1" x="2"/>
        <item m="1" x="7"/>
        <item m="1" x="8"/>
        <item m="1" x="9"/>
        <item m="1" x="10"/>
        <item m="1" x="12"/>
        <item m="1" x="6"/>
        <item m="1"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9"/>
  </rowFields>
  <rowItems count="9">
    <i>
      <x/>
      <x v="1"/>
    </i>
    <i r="1">
      <x v="3"/>
    </i>
    <i r="1">
      <x v="8"/>
    </i>
    <i r="1">
      <x v="10"/>
    </i>
    <i r="1">
      <x v="11"/>
    </i>
    <i r="1">
      <x v="23"/>
    </i>
    <i r="1">
      <x v="30"/>
    </i>
    <i t="default">
      <x/>
    </i>
    <i t="grand">
      <x/>
    </i>
  </rowItems>
  <colItems count="1">
    <i/>
  </colItems>
  <pageFields count="4">
    <pageField fld="17"/>
    <pageField fld="13"/>
    <pageField fld="15"/>
    <pageField fld="16"/>
  </pageFields>
  <dataFields count="1">
    <dataField name="Count of Area AGM" fld="4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PivotTable1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compactData="0" showDrill="1" multipleFieldFilters="0">
  <location ref="AK8:AM9" firstHeaderRow="1" firstDataRow="1" firstDataCol="2" rowPageCount="4" colPageCount="1"/>
  <pivotFields count="18"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40">
        <item x="9"/>
        <item x="7"/>
        <item x="3"/>
        <item x="12"/>
        <item x="5"/>
        <item m="1" x="27"/>
        <item x="2"/>
        <item x="14"/>
        <item x="1"/>
        <item m="1" x="16"/>
        <item x="4"/>
        <item x="6"/>
        <item x="8"/>
        <item m="1" x="17"/>
        <item m="1" x="25"/>
        <item m="1" x="31"/>
        <item m="1" x="21"/>
        <item m="1" x="19"/>
        <item m="1" x="20"/>
        <item m="1" x="22"/>
        <item m="1" x="23"/>
        <item x="0"/>
        <item x="15"/>
        <item x="13"/>
        <item m="1" x="29"/>
        <item m="1" x="33"/>
        <item m="1" x="18"/>
        <item m="1" x="35"/>
        <item m="1" x="37"/>
        <item m="1" x="32"/>
        <item x="11"/>
        <item m="1" x="38"/>
        <item m="1" x="30"/>
        <item m="1" x="24"/>
        <item m="1" x="26"/>
        <item m="1" x="36"/>
        <item m="1" x="28"/>
        <item m="1" x="34"/>
        <item x="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6">
        <item h="1" x="2"/>
        <item h="1" m="1" x="4"/>
        <item h="1" x="3"/>
        <item x="0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9">
        <item h="1" x="1"/>
        <item x="0"/>
        <item h="1" x="3"/>
        <item h="1" m="1" x="7"/>
        <item h="1" m="1" x="6"/>
        <item h="1" m="1" x="4"/>
        <item h="1" m="1" x="5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18">
        <item h="1" x="0"/>
        <item x="1"/>
        <item h="1" x="3"/>
        <item x="2"/>
        <item h="1" m="1" x="15"/>
        <item h="1" m="1" x="13"/>
        <item h="1" m="1" x="7"/>
        <item h="1" m="1" x="6"/>
        <item h="1" m="1" x="16"/>
        <item h="1" m="1" x="12"/>
        <item h="1" m="1" x="14"/>
        <item h="1" m="1" x="5"/>
        <item h="1" m="1" x="4"/>
        <item h="1" m="1" x="8"/>
        <item h="1" m="1" x="10"/>
        <item h="1" m="1" x="9"/>
        <item h="1" m="1" x="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14">
        <item x="0"/>
        <item m="1" x="5"/>
        <item m="1" x="3"/>
        <item m="1" x="1"/>
        <item m="1" x="11"/>
        <item m="1" x="2"/>
        <item m="1" x="7"/>
        <item m="1" x="8"/>
        <item m="1" x="9"/>
        <item m="1" x="10"/>
        <item m="1" x="12"/>
        <item m="1" x="6"/>
        <item m="1"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9"/>
  </rowFields>
  <rowItems count="1">
    <i t="grand">
      <x/>
    </i>
  </rowItems>
  <colItems count="1">
    <i/>
  </colItems>
  <pageFields count="4">
    <pageField fld="17"/>
    <pageField fld="13"/>
    <pageField fld="15"/>
    <pageField fld="16"/>
  </pageFields>
  <dataFields count="1">
    <dataField name="Count of Area AGM" fld="4" subtotal="count" baseField="1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9.xml><?xml version="1.0" encoding="utf-8"?>
<pivotTableDefinition xmlns="http://schemas.openxmlformats.org/spreadsheetml/2006/main" name="PivotTable27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compactData="0" showDrill="1" multipleFieldFilters="0">
  <location ref="E8:F13" firstHeaderRow="1" firstDataRow="1" firstDataCol="1" rowPageCount="4" colPageCount="1"/>
  <pivotFields count="18"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8">
        <item x="2"/>
        <item x="1"/>
        <item m="1" x="6"/>
        <item x="3"/>
        <item x="4"/>
        <item x="5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6">
        <item x="2"/>
        <item h="1" m="1" x="4"/>
        <item h="1" x="3"/>
        <item h="1" x="0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9">
        <item h="1" x="1"/>
        <item x="0"/>
        <item h="1" x="3"/>
        <item h="1" m="1" x="6"/>
        <item h="1" m="1" x="5"/>
        <item h="1" m="1" x="7"/>
        <item h="1" m="1" x="4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16">
        <item h="1" x="0"/>
        <item h="1" x="3"/>
        <item x="1"/>
        <item x="2"/>
        <item h="1" m="1" x="6"/>
        <item h="1" m="1" x="13"/>
        <item h="1" m="1" x="5"/>
        <item h="1" m="1" x="14"/>
        <item h="1" m="1" x="11"/>
        <item h="1" m="1" x="8"/>
        <item h="1" m="1" x="7"/>
        <item h="1" m="1" x="10"/>
        <item h="1" m="1" x="12"/>
        <item h="1" m="1" x="9"/>
        <item h="1" m="1"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14">
        <item x="0"/>
        <item m="1" x="4"/>
        <item m="1" x="1"/>
        <item m="1" x="12"/>
        <item m="1" x="9"/>
        <item m="1" x="10"/>
        <item m="1" x="5"/>
        <item m="1" x="3"/>
        <item m="1" x="11"/>
        <item m="1" x="2"/>
        <item m="1" x="7"/>
        <item m="1" x="8"/>
        <item m="1"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2"/>
  </rowFields>
  <rowItems count="5">
    <i>
      <x/>
    </i>
    <i>
      <x v="1"/>
    </i>
    <i>
      <x v="3"/>
    </i>
    <i>
      <x v="4"/>
    </i>
    <i t="grand">
      <x/>
    </i>
  </rowItems>
  <colItems count="1">
    <i/>
  </colItems>
  <pageFields count="4">
    <pageField fld="17"/>
    <pageField fld="13"/>
    <pageField fld="15"/>
    <pageField fld="16"/>
  </pageFields>
  <dataFields count="1">
    <dataField name="Count of Area AGM" fld="4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0.xml><?xml version="1.0" encoding="utf-8"?>
<pivotTableDefinition xmlns="http://schemas.openxmlformats.org/spreadsheetml/2006/main" name="PivotTable3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compactData="0" showDrill="1" multipleFieldFilters="0">
  <location ref="T8:U9" firstHeaderRow="1" firstDataRow="1" firstDataCol="1" rowPageCount="4" colPageCount="1"/>
  <pivotFields count="18"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40">
        <item x="9"/>
        <item m="1" x="21"/>
        <item x="7"/>
        <item x="4"/>
        <item m="1" x="17"/>
        <item x="1"/>
        <item x="3"/>
        <item x="12"/>
        <item x="14"/>
        <item m="1" x="16"/>
        <item m="1" x="31"/>
        <item m="1" x="25"/>
        <item m="1" x="19"/>
        <item x="5"/>
        <item m="1" x="27"/>
        <item x="15"/>
        <item m="1" x="20"/>
        <item x="6"/>
        <item x="2"/>
        <item x="8"/>
        <item m="1" x="22"/>
        <item x="0"/>
        <item m="1" x="23"/>
        <item x="13"/>
        <item m="1" x="29"/>
        <item m="1" x="33"/>
        <item m="1" x="18"/>
        <item m="1" x="35"/>
        <item m="1" x="37"/>
        <item m="1" x="32"/>
        <item x="11"/>
        <item m="1" x="38"/>
        <item m="1" x="30"/>
        <item m="1" x="24"/>
        <item m="1" x="26"/>
        <item m="1" x="36"/>
        <item m="1" x="28"/>
        <item m="1" x="34"/>
        <item x="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6">
        <item x="2"/>
        <item m="1" x="4"/>
        <item x="3"/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9">
        <item x="1"/>
        <item h="1" x="0"/>
        <item h="1" x="3"/>
        <item h="1" m="1" x="7"/>
        <item h="1" m="1" x="6"/>
        <item h="1" m="1" x="4"/>
        <item h="1" m="1" x="5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18">
        <item h="1" x="3"/>
        <item h="1" x="1"/>
        <item x="0"/>
        <item h="1" x="2"/>
        <item h="1" m="1" x="15"/>
        <item h="1" m="1" x="13"/>
        <item h="1" m="1" x="7"/>
        <item h="1" m="1" x="6"/>
        <item h="1" m="1" x="16"/>
        <item h="1" m="1" x="12"/>
        <item h="1" m="1" x="14"/>
        <item h="1" m="1" x="5"/>
        <item h="1" m="1" x="4"/>
        <item h="1" m="1" x="8"/>
        <item h="1" m="1" x="10"/>
        <item h="1" m="1" x="9"/>
        <item h="1" m="1" x="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14">
        <item x="0"/>
        <item m="1" x="5"/>
        <item m="1" x="3"/>
        <item m="1" x="1"/>
        <item m="1" x="11"/>
        <item m="1" x="2"/>
        <item m="1" x="7"/>
        <item m="1" x="8"/>
        <item m="1" x="9"/>
        <item m="1" x="10"/>
        <item m="1" x="12"/>
        <item m="1" x="6"/>
        <item m="1"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9"/>
  </rowFields>
  <rowItems count="1">
    <i t="grand">
      <x/>
    </i>
  </rowItems>
  <colItems count="1">
    <i/>
  </colItems>
  <pageFields count="4">
    <pageField fld="17"/>
    <pageField fld="13"/>
    <pageField fld="15"/>
    <pageField fld="16"/>
  </pageFields>
  <dataFields count="1">
    <dataField name="Count of Area AGM" fld="4" subtotal="count" baseField="0" baseItem="0"/>
  </dataFields>
  <formats count="2">
    <format dxfId="1">
      <pivotArea outline="0" fieldPosition="0">
        <references count="1">
          <reference field="9" count="1" selected="0">
            <x v="18"/>
          </reference>
        </references>
      </pivotArea>
    </format>
    <format dxfId="2">
      <pivotArea dataOnly="0" labelOnly="1" outline="0" fieldPosition="0">
        <references count="1">
          <reference field="9" count="1">
            <x v="18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1.xml><?xml version="1.0" encoding="utf-8"?>
<pivotTableDefinition xmlns="http://schemas.openxmlformats.org/spreadsheetml/2006/main" name="PivotTable2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compactData="0" showDrill="1" multipleFieldFilters="0">
  <location ref="L8:Q17" firstHeaderRow="1" firstDataRow="2" firstDataCol="1" rowPageCount="4" colPageCount="1"/>
  <pivotFields count="18"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40">
        <item x="9"/>
        <item x="7"/>
        <item x="3"/>
        <item x="12"/>
        <item x="5"/>
        <item m="1" x="27"/>
        <item x="2"/>
        <item x="14"/>
        <item x="1"/>
        <item m="1" x="16"/>
        <item x="4"/>
        <item x="6"/>
        <item x="8"/>
        <item m="1" x="17"/>
        <item m="1" x="25"/>
        <item m="1" x="31"/>
        <item m="1" x="21"/>
        <item m="1" x="19"/>
        <item m="1" x="20"/>
        <item x="15"/>
        <item m="1" x="22"/>
        <item x="0"/>
        <item m="1" x="23"/>
        <item x="13"/>
        <item m="1" x="29"/>
        <item m="1" x="33"/>
        <item m="1" x="18"/>
        <item m="1" x="35"/>
        <item m="1" x="37"/>
        <item m="1" x="32"/>
        <item x="11"/>
        <item m="1" x="38"/>
        <item m="1" x="30"/>
        <item m="1" x="24"/>
        <item m="1" x="26"/>
        <item m="1" x="36"/>
        <item m="1" x="28"/>
        <item m="1" x="34"/>
        <item x="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ubtotalTop="0" showAll="0">
      <items count="8">
        <item x="2"/>
        <item x="1"/>
        <item m="1" x="6"/>
        <item x="5"/>
        <item x="3"/>
        <item x="4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6">
        <item x="2"/>
        <item m="1" x="4"/>
        <item h="1" x="3"/>
        <item h="1" x="0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9">
        <item h="1" x="1"/>
        <item x="0"/>
        <item h="1" x="3"/>
        <item h="1" m="1" x="7"/>
        <item h="1" m="1" x="6"/>
        <item h="1" m="1" x="4"/>
        <item h="1" m="1" x="5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18">
        <item h="1" x="0"/>
        <item h="1" x="3"/>
        <item x="1"/>
        <item x="2"/>
        <item h="1" m="1" x="15"/>
        <item h="1" m="1" x="13"/>
        <item h="1" m="1" x="7"/>
        <item h="1" m="1" x="6"/>
        <item h="1" m="1" x="16"/>
        <item h="1" m="1" x="12"/>
        <item h="1" m="1" x="14"/>
        <item h="1" m="1" x="5"/>
        <item h="1" m="1" x="4"/>
        <item h="1" m="1" x="8"/>
        <item h="1" m="1" x="10"/>
        <item h="1" m="1" x="9"/>
        <item h="1" m="1" x="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14">
        <item x="0"/>
        <item m="1" x="5"/>
        <item m="1" x="3"/>
        <item m="1" x="1"/>
        <item m="1" x="11"/>
        <item m="1" x="2"/>
        <item m="1" x="7"/>
        <item m="1" x="8"/>
        <item m="1" x="9"/>
        <item m="1" x="10"/>
        <item m="1" x="12"/>
        <item m="1" x="6"/>
        <item m="1"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9"/>
  </rowFields>
  <rowItems count="8">
    <i>
      <x/>
    </i>
    <i>
      <x v="1"/>
    </i>
    <i>
      <x v="3"/>
    </i>
    <i>
      <x v="4"/>
    </i>
    <i>
      <x v="7"/>
    </i>
    <i>
      <x v="12"/>
    </i>
    <i>
      <x v="38"/>
    </i>
    <i t="grand">
      <x/>
    </i>
  </rowItems>
  <colFields count="1">
    <field x="12"/>
  </colFields>
  <colItems count="5">
    <i>
      <x/>
    </i>
    <i>
      <x v="1"/>
    </i>
    <i>
      <x v="4"/>
    </i>
    <i>
      <x v="5"/>
    </i>
    <i t="grand">
      <x/>
    </i>
  </colItems>
  <pageFields count="4">
    <pageField fld="17"/>
    <pageField fld="13"/>
    <pageField fld="15"/>
    <pageField fld="16"/>
  </pageFields>
  <dataFields count="1">
    <dataField name="Count of Area AGM" fld="4" subtotal="count" baseField="0" baseItem="0"/>
  </dataFields>
  <formats count="7">
    <format dxfId="3">
      <pivotArea outline="0" collapsedLevelsAreSubtotals="1" fieldPosition="0"/>
    </format>
    <format dxfId="4">
      <pivotArea field="12" type="button" dataOnly="0" labelOnly="1" outline="0" fieldPosition="0"/>
    </format>
    <format dxfId="5">
      <pivotArea type="topRight" dataOnly="0" labelOnly="1" outline="0" fieldPosition="0"/>
    </format>
    <format dxfId="6">
      <pivotArea dataOnly="0" labelOnly="1" outline="0" fieldPosition="0">
        <references count="1">
          <reference field="12" count="0"/>
        </references>
      </pivotArea>
    </format>
    <format dxfId="7">
      <pivotArea dataOnly="0" labelOnly="1" grandCol="1" outline="0" fieldPosition="0"/>
    </format>
    <format dxfId="8">
      <pivotArea grandRow="1" outline="0" collapsedLevelsAreSubtotals="1" fieldPosition="0"/>
    </format>
    <format dxfId="9">
      <pivotArea dataOnly="0" labelOnly="1" grandRow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2.xml><?xml version="1.0" encoding="utf-8"?>
<pivotTableDefinition xmlns="http://schemas.openxmlformats.org/spreadsheetml/2006/main" name="PivotTable3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compactData="0" showDrill="1" multipleFieldFilters="0">
  <location ref="W8:X19" firstHeaderRow="1" firstDataRow="1" firstDataCol="1" rowPageCount="4" colPageCount="1"/>
  <pivotFields count="18"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40">
        <item x="9"/>
        <item m="1" x="21"/>
        <item x="7"/>
        <item x="4"/>
        <item m="1" x="17"/>
        <item x="1"/>
        <item x="3"/>
        <item x="12"/>
        <item x="14"/>
        <item m="1" x="16"/>
        <item m="1" x="31"/>
        <item m="1" x="25"/>
        <item m="1" x="19"/>
        <item x="5"/>
        <item m="1" x="27"/>
        <item x="15"/>
        <item m="1" x="20"/>
        <item x="6"/>
        <item x="2"/>
        <item x="8"/>
        <item m="1" x="22"/>
        <item x="0"/>
        <item m="1" x="23"/>
        <item x="13"/>
        <item m="1" x="29"/>
        <item m="1" x="33"/>
        <item m="1" x="18"/>
        <item m="1" x="35"/>
        <item m="1" x="37"/>
        <item m="1" x="32"/>
        <item x="11"/>
        <item m="1" x="38"/>
        <item m="1" x="30"/>
        <item m="1" x="24"/>
        <item m="1" x="26"/>
        <item m="1" x="36"/>
        <item m="1" x="28"/>
        <item m="1" x="34"/>
        <item x="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6">
        <item x="2"/>
        <item m="1" x="4"/>
        <item x="3"/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9">
        <item h="1" x="1"/>
        <item x="0"/>
        <item h="1" x="3"/>
        <item h="1" m="1" x="7"/>
        <item h="1" m="1" x="6"/>
        <item h="1" m="1" x="4"/>
        <item h="1" m="1" x="5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18">
        <item h="1" x="3"/>
        <item h="1" x="1"/>
        <item x="0"/>
        <item h="1" x="2"/>
        <item h="1" m="1" x="15"/>
        <item h="1" m="1" x="13"/>
        <item h="1" m="1" x="7"/>
        <item h="1" m="1" x="6"/>
        <item h="1" m="1" x="16"/>
        <item h="1" m="1" x="12"/>
        <item h="1" m="1" x="14"/>
        <item h="1" m="1" x="5"/>
        <item h="1" m="1" x="4"/>
        <item h="1" m="1" x="8"/>
        <item h="1" m="1" x="10"/>
        <item h="1" m="1" x="9"/>
        <item h="1" m="1" x="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14">
        <item x="0"/>
        <item m="1" x="5"/>
        <item m="1" x="3"/>
        <item m="1" x="1"/>
        <item m="1" x="11"/>
        <item m="1" x="2"/>
        <item m="1" x="7"/>
        <item m="1" x="8"/>
        <item m="1" x="9"/>
        <item m="1" x="10"/>
        <item m="1" x="12"/>
        <item m="1" x="6"/>
        <item m="1"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9"/>
  </rowFields>
  <rowItems count="11">
    <i>
      <x v="2"/>
    </i>
    <i>
      <x v="3"/>
    </i>
    <i>
      <x v="5"/>
    </i>
    <i>
      <x v="6"/>
    </i>
    <i>
      <x v="7"/>
    </i>
    <i>
      <x v="17"/>
    </i>
    <i>
      <x v="18"/>
    </i>
    <i>
      <x v="21"/>
    </i>
    <i>
      <x v="23"/>
    </i>
    <i>
      <x v="30"/>
    </i>
    <i t="grand">
      <x/>
    </i>
  </rowItems>
  <colItems count="1">
    <i/>
  </colItems>
  <pageFields count="4">
    <pageField fld="17"/>
    <pageField fld="13"/>
    <pageField fld="15"/>
    <pageField fld="16"/>
  </pageFields>
  <dataFields count="1">
    <dataField name="Count of Area AGM" fld="4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3.xml><?xml version="1.0" encoding="utf-8"?>
<pivotTableDefinition xmlns="http://schemas.openxmlformats.org/spreadsheetml/2006/main" name="PivotTable3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compactData="0" showDrill="1" multipleFieldFilters="0">
  <location ref="V8:W13" firstHeaderRow="1" firstDataRow="1" firstDataCol="1" rowPageCount="4" colPageCount="1"/>
  <pivotFields count="18"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40">
        <item x="9"/>
        <item x="7"/>
        <item x="3"/>
        <item x="12"/>
        <item x="5"/>
        <item m="1" x="27"/>
        <item x="2"/>
        <item x="14"/>
        <item x="1"/>
        <item m="1" x="16"/>
        <item x="4"/>
        <item x="6"/>
        <item x="8"/>
        <item m="1" x="17"/>
        <item m="1" x="25"/>
        <item m="1" x="31"/>
        <item m="1" x="21"/>
        <item m="1" x="19"/>
        <item m="1" x="20"/>
        <item m="1" x="22"/>
        <item x="0"/>
        <item m="1" x="23"/>
        <item x="15"/>
        <item x="13"/>
        <item m="1" x="29"/>
        <item m="1" x="33"/>
        <item m="1" x="18"/>
        <item m="1" x="35"/>
        <item m="1" x="37"/>
        <item m="1" x="32"/>
        <item x="11"/>
        <item m="1" x="38"/>
        <item m="1" x="30"/>
        <item m="1" x="24"/>
        <item m="1" x="26"/>
        <item m="1" x="36"/>
        <item m="1" x="28"/>
        <item m="1" x="34"/>
        <item x="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6">
        <item x="2"/>
        <item m="1" x="4"/>
        <item x="3"/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9">
        <item x="1"/>
        <item h="1" x="0"/>
        <item h="1" x="3"/>
        <item h="1" m="1" x="7"/>
        <item h="1" m="1" x="6"/>
        <item h="1" m="1" x="4"/>
        <item h="1" m="1" x="5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18">
        <item h="1" x="0"/>
        <item x="1"/>
        <item h="1" x="3"/>
        <item x="2"/>
        <item h="1" m="1" x="15"/>
        <item h="1" m="1" x="13"/>
        <item h="1" m="1" x="7"/>
        <item h="1" m="1" x="6"/>
        <item h="1" m="1" x="16"/>
        <item h="1" m="1" x="12"/>
        <item h="1" m="1" x="14"/>
        <item h="1" m="1" x="5"/>
        <item h="1" m="1" x="4"/>
        <item h="1" m="1" x="8"/>
        <item h="1" m="1" x="10"/>
        <item h="1" m="1" x="9"/>
        <item h="1" m="1" x="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14">
        <item x="0"/>
        <item m="1" x="5"/>
        <item m="1" x="3"/>
        <item m="1" x="1"/>
        <item m="1" x="11"/>
        <item m="1" x="2"/>
        <item m="1" x="7"/>
        <item m="1" x="8"/>
        <item m="1" x="9"/>
        <item m="1" x="10"/>
        <item m="1" x="12"/>
        <item m="1" x="6"/>
        <item m="1"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9"/>
  </rowFields>
  <rowItems count="5">
    <i>
      <x v="1"/>
    </i>
    <i>
      <x v="6"/>
    </i>
    <i>
      <x v="10"/>
    </i>
    <i>
      <x v="38"/>
    </i>
    <i t="grand">
      <x/>
    </i>
  </rowItems>
  <colItems count="1">
    <i/>
  </colItems>
  <pageFields count="4">
    <pageField fld="17"/>
    <pageField fld="13"/>
    <pageField fld="15"/>
    <pageField fld="16"/>
  </pageFields>
  <dataFields count="1">
    <dataField name="Count of Area AGM" fld="4" subtotal="count" baseField="1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4.xml><?xml version="1.0" encoding="utf-8"?>
<pivotTableDefinition xmlns="http://schemas.openxmlformats.org/spreadsheetml/2006/main" name="PivotTable3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compactData="0" showDrill="1" multipleFieldFilters="0">
  <location ref="Y8:Z16" firstHeaderRow="1" firstDataRow="1" firstDataCol="1" rowPageCount="4" colPageCount="1"/>
  <pivotFields count="18"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40">
        <item x="9"/>
        <item x="7"/>
        <item x="3"/>
        <item x="12"/>
        <item x="5"/>
        <item m="1" x="27"/>
        <item x="2"/>
        <item x="14"/>
        <item x="1"/>
        <item m="1" x="16"/>
        <item x="4"/>
        <item x="6"/>
        <item x="8"/>
        <item m="1" x="17"/>
        <item m="1" x="25"/>
        <item m="1" x="31"/>
        <item m="1" x="21"/>
        <item m="1" x="19"/>
        <item m="1" x="20"/>
        <item m="1" x="22"/>
        <item x="0"/>
        <item m="1" x="23"/>
        <item x="15"/>
        <item x="13"/>
        <item m="1" x="29"/>
        <item m="1" x="33"/>
        <item m="1" x="18"/>
        <item m="1" x="35"/>
        <item m="1" x="37"/>
        <item m="1" x="32"/>
        <item x="11"/>
        <item m="1" x="38"/>
        <item m="1" x="30"/>
        <item m="1" x="24"/>
        <item m="1" x="26"/>
        <item m="1" x="36"/>
        <item m="1" x="28"/>
        <item m="1" x="34"/>
        <item x="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6">
        <item x="2"/>
        <item h="1" m="1" x="4"/>
        <item h="1" x="3"/>
        <item h="1" x="0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9">
        <item h="1" x="1"/>
        <item x="0"/>
        <item h="1" x="3"/>
        <item m="1" x="7"/>
        <item h="1" m="1" x="6"/>
        <item h="1" m="1" x="4"/>
        <item h="1" m="1" x="5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18">
        <item h="1" x="0"/>
        <item x="1"/>
        <item h="1" x="3"/>
        <item x="2"/>
        <item h="1" m="1" x="15"/>
        <item h="1" m="1" x="13"/>
        <item h="1" m="1" x="7"/>
        <item h="1" m="1" x="6"/>
        <item h="1" m="1" x="16"/>
        <item h="1" m="1" x="12"/>
        <item h="1" m="1" x="14"/>
        <item h="1" m="1" x="5"/>
        <item h="1" m="1" x="4"/>
        <item h="1" m="1" x="8"/>
        <item h="1" m="1" x="10"/>
        <item h="1" m="1" x="9"/>
        <item h="1" m="1" x="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>
      <items count="14">
        <item x="0"/>
        <item m="1" x="5"/>
        <item m="1" x="3"/>
        <item m="1" x="1"/>
        <item m="1" x="11"/>
        <item m="1" x="2"/>
        <item m="1" x="7"/>
        <item m="1" x="8"/>
        <item m="1" x="9"/>
        <item m="1" x="10"/>
        <item m="1" x="12"/>
        <item m="1" x="6"/>
        <item m="1"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9"/>
  </rowFields>
  <rowItems count="8">
    <i>
      <x/>
    </i>
    <i>
      <x v="1"/>
    </i>
    <i>
      <x v="3"/>
    </i>
    <i>
      <x v="4"/>
    </i>
    <i>
      <x v="7"/>
    </i>
    <i>
      <x v="12"/>
    </i>
    <i>
      <x v="38"/>
    </i>
    <i t="grand">
      <x/>
    </i>
  </rowItems>
  <colItems count="1">
    <i/>
  </colItems>
  <pageFields count="4">
    <pageField fld="17"/>
    <pageField fld="13"/>
    <pageField fld="15"/>
    <pageField fld="16"/>
  </pageFields>
  <dataFields count="1">
    <dataField name="Count of Area AGM" fld="4" subtotal="count" baseField="1" baseItem="0"/>
  </dataFields>
  <formats count="4">
    <format dxfId="10">
      <pivotArea grandRow="1" outline="0" collapsedLevelsAreSubtotals="1" fieldPosition="0"/>
    </format>
    <format dxfId="11">
      <pivotArea dataOnly="0" labelOnly="1" grandRow="1" outline="0" fieldPosition="0"/>
    </format>
    <format dxfId="12">
      <pivotArea grandRow="1" outline="0" collapsedLevelsAreSubtotals="1" fieldPosition="0"/>
    </format>
    <format dxfId="13">
      <pivotArea dataOnly="0" labelOnly="1" grandRow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8" Type="http://schemas.openxmlformats.org/officeDocument/2006/relationships/pivotTable" Target="../pivotTables/pivotTable18.xml"/><Relationship Id="rId17" Type="http://schemas.openxmlformats.org/officeDocument/2006/relationships/pivotTable" Target="../pivotTables/pivotTable17.xml"/><Relationship Id="rId16" Type="http://schemas.openxmlformats.org/officeDocument/2006/relationships/pivotTable" Target="../pivotTables/pivotTable16.xml"/><Relationship Id="rId15" Type="http://schemas.openxmlformats.org/officeDocument/2006/relationships/pivotTable" Target="../pivotTables/pivotTable15.xml"/><Relationship Id="rId14" Type="http://schemas.openxmlformats.org/officeDocument/2006/relationships/pivotTable" Target="../pivotTables/pivotTable14.xml"/><Relationship Id="rId13" Type="http://schemas.openxmlformats.org/officeDocument/2006/relationships/pivotTable" Target="../pivotTables/pivotTable13.xml"/><Relationship Id="rId12" Type="http://schemas.openxmlformats.org/officeDocument/2006/relationships/pivotTable" Target="../pivotTables/pivotTable12.xml"/><Relationship Id="rId11" Type="http://schemas.openxmlformats.org/officeDocument/2006/relationships/pivotTable" Target="../pivotTables/pivotTable11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2.xml"/><Relationship Id="rId2" Type="http://schemas.openxmlformats.org/officeDocument/2006/relationships/pivotTable" Target="../pivotTables/pivotTable21.xml"/><Relationship Id="rId1" Type="http://schemas.openxmlformats.org/officeDocument/2006/relationships/pivotTable" Target="../pivotTables/pivotTable20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4.xml"/><Relationship Id="rId1" Type="http://schemas.openxmlformats.org/officeDocument/2006/relationships/pivotTable" Target="../pivotTables/pivotTable2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K83"/>
  <sheetViews>
    <sheetView showGridLines="0" zoomScale="85" zoomScaleNormal="85" topLeftCell="A13" workbookViewId="0">
      <selection activeCell="J30" sqref="J30"/>
    </sheetView>
  </sheetViews>
  <sheetFormatPr defaultColWidth="9.18095238095238" defaultRowHeight="12.75"/>
  <cols>
    <col min="1" max="1" width="4.72380952380952" style="608" customWidth="1"/>
    <col min="2" max="2" width="4.72380952380952" style="609" customWidth="1"/>
    <col min="3" max="8" width="9.18095238095238" style="608"/>
    <col min="9" max="9" width="24.8190476190476" style="608" customWidth="1"/>
    <col min="10" max="10" width="30.8190476190476" style="608" customWidth="1"/>
    <col min="11" max="16384" width="9.18095238095238" style="608"/>
  </cols>
  <sheetData>
    <row r="5" spans="2:11">
      <c r="B5" s="614" t="s">
        <v>0</v>
      </c>
      <c r="C5" s="611" t="s">
        <v>1</v>
      </c>
    </row>
    <row r="7" ht="51" spans="2:11">
      <c r="C7" s="612" t="s">
        <v>2</v>
      </c>
      <c r="D7" s="612" t="s">
        <v>3</v>
      </c>
      <c r="E7" s="612" t="s">
        <v>4</v>
      </c>
      <c r="F7" s="612" t="s">
        <v>5</v>
      </c>
      <c r="G7" s="612" t="s">
        <v>6</v>
      </c>
      <c r="H7" s="613" t="s">
        <v>7</v>
      </c>
      <c r="I7" s="612" t="s">
        <v>8</v>
      </c>
      <c r="J7" s="612" t="s">
        <v>9</v>
      </c>
      <c r="K7" s="612" t="s">
        <v>10</v>
      </c>
    </row>
    <row r="8" spans="2:11">
      <c r="I8" s="608" t="s">
        <v>11</v>
      </c>
      <c r="J8" s="608" t="s">
        <v>12</v>
      </c>
    </row>
    <row r="9" spans="2:11">
      <c r="I9" s="608" t="s">
        <v>13</v>
      </c>
      <c r="J9" s="608" t="s">
        <v>14</v>
      </c>
    </row>
    <row r="10" spans="2:11">
      <c r="I10" s="608" t="s">
        <v>15</v>
      </c>
      <c r="J10" s="608" t="s">
        <v>16</v>
      </c>
    </row>
    <row r="11" spans="2:11">
      <c r="I11" s="608" t="s">
        <v>17</v>
      </c>
    </row>
    <row r="12" spans="2:11">
      <c r="I12" s="608" t="s">
        <v>18</v>
      </c>
    </row>
    <row r="14" spans="2:11">
      <c r="B14" s="614" t="s">
        <v>19</v>
      </c>
    </row>
    <row r="17" spans="2:6">
      <c r="F17" s="611" t="s">
        <v>20</v>
      </c>
    </row>
    <row r="22" spans="2:6">
      <c r="B22" s="614" t="s">
        <v>21</v>
      </c>
      <c r="C22" s="611" t="s">
        <v>22</v>
      </c>
    </row>
    <row r="23" spans="2:6">
      <c r="B23" s="614" t="s">
        <v>23</v>
      </c>
      <c r="C23" s="611" t="s">
        <v>24</v>
      </c>
    </row>
    <row r="33" spans="2:3">
      <c r="B33" s="614" t="s">
        <v>25</v>
      </c>
      <c r="C33" s="611" t="s">
        <v>26</v>
      </c>
    </row>
    <row r="50" spans="2:3">
      <c r="B50" s="614" t="s">
        <v>27</v>
      </c>
      <c r="C50" s="611" t="s">
        <v>28</v>
      </c>
    </row>
    <row r="66" spans="2:3">
      <c r="B66" s="614" t="s">
        <v>29</v>
      </c>
      <c r="C66" s="611" t="s">
        <v>30</v>
      </c>
    </row>
    <row r="83" spans="2:3">
      <c r="B83" s="614" t="s">
        <v>31</v>
      </c>
      <c r="C83" s="611" t="s">
        <v>32</v>
      </c>
    </row>
  </sheetData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  <pageSetUpPr fitToPage="1"/>
  </sheetPr>
  <dimension ref="B1:AS100"/>
  <sheetViews>
    <sheetView showGridLines="0" tabSelected="1" zoomScale="90" zoomScaleNormal="90" zoomScaleSheetLayoutView="25" topLeftCell="A8" workbookViewId="0">
      <selection activeCell="G6" sqref="G6:H6"/>
    </sheetView>
  </sheetViews>
  <sheetFormatPr defaultColWidth="8.72380952380952" defaultRowHeight="14.25"/>
  <cols>
    <col min="1" max="2" width="2.72380952380952" style="302" customWidth="1"/>
    <col min="3" max="3" width="10.2666666666667" style="302" customWidth="1"/>
    <col min="4" max="4" width="5.54285714285714" style="302" customWidth="1"/>
    <col min="5" max="5" width="10.2666666666667" style="302" customWidth="1"/>
    <col min="6" max="11" width="10.1809523809524" style="302" customWidth="1"/>
    <col min="12" max="12" width="0.723809523809524" style="302" customWidth="1"/>
    <col min="13" max="13" width="9.54285714285714" style="302" customWidth="1"/>
    <col min="14" max="14" width="9.45714285714286" style="302" customWidth="1"/>
    <col min="15" max="15" width="10.7238095238095" style="302" customWidth="1"/>
    <col min="16" max="16" width="1.72380952380952" style="302" customWidth="1"/>
    <col min="17" max="21" width="9.72380952380952" style="302" customWidth="1"/>
    <col min="22" max="22" width="10.2666666666667" style="302" customWidth="1"/>
    <col min="23" max="23" width="1.72380952380952" style="302" customWidth="1"/>
    <col min="24" max="24" width="10.5428571428571" style="302" customWidth="1"/>
    <col min="25" max="25" width="2.54285714285714" style="302" customWidth="1"/>
    <col min="26" max="28" width="10.5428571428571" style="302" customWidth="1"/>
    <col min="29" max="29" width="5.45714285714286" style="302" customWidth="1"/>
    <col min="30" max="30" width="33.7238095238095" style="302" customWidth="1"/>
    <col min="31" max="31" width="8.81904761904762" style="302" customWidth="1"/>
    <col min="32" max="32" width="7.72380952380952" style="302" customWidth="1"/>
    <col min="33" max="37" width="7" style="302" customWidth="1"/>
    <col min="38" max="38" width="2.72380952380952" style="302" customWidth="1"/>
    <col min="39" max="39" width="12.2666666666667" style="302" customWidth="1"/>
    <col min="40" max="16384" width="8.72380952380952" style="302"/>
  </cols>
  <sheetData>
    <row r="1" ht="6" customHeight="1" spans="2:42">
      <c r="O1" s="615" t="s">
        <v>33</v>
      </c>
    </row>
    <row r="2" ht="27.75" spans="2:42">
      <c r="B2" s="363" t="s">
        <v>34</v>
      </c>
      <c r="C2" s="364"/>
      <c r="D2" s="364"/>
      <c r="E2" s="364"/>
      <c r="F2" s="364"/>
      <c r="G2" s="364"/>
      <c r="H2" s="364"/>
      <c r="I2" s="364"/>
      <c r="J2" s="364"/>
      <c r="K2" s="364"/>
      <c r="L2" s="364"/>
      <c r="M2" s="364"/>
      <c r="N2" s="364"/>
      <c r="O2" s="364"/>
      <c r="P2" s="364"/>
      <c r="Q2" s="364"/>
      <c r="R2" s="365">
        <f>OS!A6</f>
        <v>46244</v>
      </c>
      <c r="S2" s="365"/>
      <c r="T2" s="365"/>
      <c r="U2" s="365"/>
      <c r="V2" s="364"/>
      <c r="W2" s="364"/>
      <c r="X2" s="364"/>
      <c r="Y2" s="364"/>
      <c r="Z2" s="364"/>
      <c r="AA2" s="364"/>
      <c r="AB2" s="364"/>
      <c r="AC2" s="364"/>
      <c r="AD2" s="364"/>
      <c r="AE2" s="364"/>
      <c r="AF2" s="364"/>
      <c r="AG2" s="364"/>
      <c r="AH2" s="364"/>
      <c r="AI2" s="364"/>
      <c r="AJ2" s="364"/>
      <c r="AK2" s="366"/>
    </row>
    <row r="3" ht="6" customHeight="1" spans="2:42">
      <c r="B3" s="367"/>
      <c r="C3" s="367"/>
    </row>
    <row r="4" ht="22.5" customHeight="1" spans="2:42">
      <c r="B4" s="368"/>
      <c r="C4" s="369" t="s">
        <v>35</v>
      </c>
      <c r="D4" s="370"/>
      <c r="E4" s="370"/>
      <c r="F4" s="370"/>
      <c r="G4" s="370"/>
      <c r="H4" s="370"/>
      <c r="I4" s="370"/>
      <c r="J4" s="370"/>
      <c r="K4" s="370"/>
      <c r="L4" s="370"/>
      <c r="M4" s="370"/>
      <c r="N4" s="370"/>
      <c r="O4" s="370"/>
      <c r="P4" s="370"/>
      <c r="Q4" s="371"/>
      <c r="R4" s="371"/>
      <c r="S4" s="371"/>
      <c r="T4" s="371"/>
      <c r="U4" s="371"/>
      <c r="V4" s="371"/>
      <c r="W4" s="371"/>
      <c r="X4" s="371"/>
      <c r="Y4" s="371"/>
      <c r="Z4" s="371"/>
      <c r="AA4" s="370"/>
      <c r="AB4" s="370"/>
      <c r="AC4" s="370"/>
      <c r="AD4" s="372" t="s">
        <v>36</v>
      </c>
      <c r="AE4" s="370"/>
      <c r="AF4" s="370"/>
      <c r="AG4" s="370"/>
      <c r="AH4" s="370"/>
      <c r="AI4" s="373"/>
      <c r="AJ4" s="370"/>
      <c r="AK4" s="374"/>
      <c r="AM4" s="375" t="s">
        <v>37</v>
      </c>
      <c r="AN4" s="375"/>
      <c r="AP4" s="376">
        <v>0.85</v>
      </c>
    </row>
    <row r="5" ht="22.5" customHeight="1" spans="2:42">
      <c r="B5" s="377"/>
      <c r="C5" s="378"/>
      <c r="N5" s="379"/>
      <c r="O5" s="379"/>
      <c r="P5" s="379"/>
      <c r="Y5" s="379"/>
      <c r="Z5" s="379"/>
      <c r="AA5" s="380"/>
      <c r="AD5" s="381"/>
      <c r="AE5" s="382"/>
      <c r="AI5" s="380"/>
      <c r="AK5" s="383"/>
      <c r="AM5" s="375"/>
      <c r="AN5" s="375"/>
    </row>
    <row r="6" ht="22.5" customHeight="1" spans="2:42">
      <c r="B6" s="377"/>
      <c r="G6" s="384">
        <f>SUM(G7:G21)</f>
        <v>53</v>
      </c>
      <c r="H6" s="384"/>
      <c r="N6" s="379"/>
      <c r="O6" s="379"/>
      <c r="P6" s="379"/>
      <c r="Q6" s="379"/>
      <c r="R6" s="379"/>
      <c r="S6" s="379"/>
      <c r="T6" s="379"/>
      <c r="U6" s="379"/>
      <c r="V6" s="379"/>
      <c r="W6" s="379"/>
      <c r="X6" s="385"/>
      <c r="Y6" s="379"/>
      <c r="Z6" s="386"/>
      <c r="AD6" s="375" t="s">
        <v>38</v>
      </c>
      <c r="AE6" s="387">
        <v>92</v>
      </c>
      <c r="AG6" s="380"/>
      <c r="AJ6" s="380"/>
      <c r="AK6" s="383"/>
      <c r="AM6" s="375" t="s">
        <v>39</v>
      </c>
      <c r="AN6" s="375">
        <v>87</v>
      </c>
      <c r="AP6" s="380">
        <f>AE6-AE7</f>
        <v>39</v>
      </c>
    </row>
    <row r="7" ht="22.5" customHeight="1" spans="2:42">
      <c r="B7" s="377"/>
      <c r="C7" s="388">
        <f>AE10-X22</f>
        <v>123</v>
      </c>
      <c r="E7" s="388">
        <f>C7</f>
        <v>123</v>
      </c>
      <c r="G7" s="389">
        <f>GETPIVOTDATA("Area AGM",'Pvt OS'!$AG$8)</f>
        <v>1</v>
      </c>
      <c r="H7" s="390"/>
      <c r="N7" s="391" t="s">
        <v>40</v>
      </c>
      <c r="O7" s="392"/>
      <c r="P7" s="392"/>
      <c r="Q7" s="393">
        <f>O14/G6</f>
        <v>0.792452830188679</v>
      </c>
      <c r="R7" s="394"/>
      <c r="S7" s="47"/>
      <c r="T7" s="379"/>
      <c r="U7" s="379"/>
      <c r="V7" s="379"/>
      <c r="W7" s="379"/>
      <c r="X7" s="385"/>
      <c r="Y7" s="379"/>
      <c r="Z7" s="386"/>
      <c r="AA7" s="395"/>
      <c r="AD7" s="244" t="s">
        <v>41</v>
      </c>
      <c r="AE7" s="396">
        <f>SUM(X16:X22)</f>
        <v>53</v>
      </c>
      <c r="AF7" s="397">
        <f>AE7/AE9</f>
        <v>0.576086956521739</v>
      </c>
      <c r="AG7" s="398"/>
      <c r="AH7" s="385"/>
      <c r="AI7" s="380"/>
      <c r="AJ7" s="379"/>
      <c r="AK7" s="399"/>
      <c r="AM7" s="375" t="s">
        <v>42</v>
      </c>
      <c r="AN7" s="375">
        <v>2185</v>
      </c>
    </row>
    <row r="8" ht="22.5" customHeight="1" spans="2:42">
      <c r="B8" s="377"/>
      <c r="C8" s="400">
        <f>C7-C19</f>
        <v>81</v>
      </c>
      <c r="E8" s="401">
        <f>C8</f>
        <v>81</v>
      </c>
      <c r="G8" s="402"/>
      <c r="H8" s="403">
        <f>GETPIVOTDATA("Area AGM",'Pvt OS'!$AK$8)</f>
        <v>0</v>
      </c>
      <c r="N8" s="379"/>
      <c r="O8" s="404"/>
      <c r="P8" s="379"/>
      <c r="Q8" s="379"/>
      <c r="R8" s="379"/>
      <c r="S8" s="47"/>
      <c r="T8" s="379"/>
      <c r="U8" s="379"/>
      <c r="V8" s="379"/>
      <c r="W8" s="379"/>
      <c r="X8" s="385"/>
      <c r="Y8" s="385"/>
      <c r="Z8" s="385"/>
      <c r="AA8" s="380"/>
      <c r="AB8" s="380"/>
      <c r="AD8" s="251" t="s">
        <v>43</v>
      </c>
      <c r="AE8" s="405">
        <f>X58</f>
        <v>39</v>
      </c>
      <c r="AF8" s="406">
        <f>AE8/$AE$9</f>
        <v>0.423913043478261</v>
      </c>
      <c r="AH8" s="407"/>
      <c r="AI8" s="407"/>
      <c r="AJ8" s="379"/>
      <c r="AK8" s="399"/>
      <c r="AM8" s="375" t="s">
        <v>44</v>
      </c>
      <c r="AN8" s="408">
        <f>AN7-AE7</f>
        <v>2132</v>
      </c>
    </row>
    <row r="9" ht="22.5" customHeight="1" spans="2:42">
      <c r="B9" s="377"/>
      <c r="C9" s="409"/>
      <c r="E9" s="410"/>
      <c r="G9" s="411">
        <f>GETPIVOTDATA("Area AGM",'Pvt OS'!$Y$8)</f>
        <v>4</v>
      </c>
      <c r="H9" s="412"/>
      <c r="J9" s="375">
        <f>GETPIVOTDATA("Area AGM",'Pvt OS'!$BI$8)</f>
        <v>5</v>
      </c>
      <c r="S9" s="380"/>
      <c r="X9" s="388">
        <f>AE6</f>
        <v>92</v>
      </c>
      <c r="Y9" s="388"/>
      <c r="Z9" s="388"/>
      <c r="AA9" s="388"/>
      <c r="AB9" s="388"/>
      <c r="AD9" s="413" t="s">
        <v>45</v>
      </c>
      <c r="AE9" s="414">
        <f>AE7+AE8</f>
        <v>92</v>
      </c>
      <c r="AF9" s="415">
        <f>AE9/AE6</f>
        <v>1</v>
      </c>
      <c r="AG9" s="407"/>
      <c r="AH9" s="416"/>
      <c r="AI9" s="385"/>
      <c r="AJ9" s="385"/>
      <c r="AK9" s="399"/>
      <c r="AN9" s="302">
        <v>2185</v>
      </c>
    </row>
    <row r="10" ht="22.5" customHeight="1" spans="2:42">
      <c r="B10" s="377"/>
      <c r="C10" s="409"/>
      <c r="E10" s="410"/>
      <c r="G10" s="417"/>
      <c r="H10" s="418">
        <f>GETPIVOTDATA("Area AGM",'Pvt OS'!$AC$8)</f>
        <v>0</v>
      </c>
      <c r="J10" s="375">
        <f>SUM(H9:H10)</f>
        <v>0</v>
      </c>
      <c r="M10" s="419"/>
      <c r="N10" s="419"/>
      <c r="O10" s="419"/>
      <c r="P10" s="420"/>
      <c r="Q10" s="421"/>
      <c r="R10" s="419"/>
      <c r="W10" s="420"/>
      <c r="X10" s="422">
        <f>X9-SUM(X16:X22)</f>
        <v>39</v>
      </c>
      <c r="Y10" s="388"/>
      <c r="Z10" s="388"/>
      <c r="AA10" s="388"/>
      <c r="AB10" s="388"/>
      <c r="AD10" s="423" t="s">
        <v>46</v>
      </c>
      <c r="AE10" s="424">
        <f>'Action Plan'!F27</f>
        <v>133</v>
      </c>
      <c r="AH10" s="416"/>
      <c r="AI10" s="385"/>
      <c r="AJ10" s="379"/>
      <c r="AK10" s="399"/>
      <c r="AN10" s="380">
        <f>AN9-AE9</f>
        <v>2093</v>
      </c>
    </row>
    <row r="11" ht="22.5" customHeight="1" spans="2:42">
      <c r="B11" s="377"/>
      <c r="C11" s="409"/>
      <c r="E11" s="410"/>
      <c r="G11" s="425">
        <f>GETPIVOTDATA("Area AGM",'Pvt OS'!$Q$8)</f>
        <v>0</v>
      </c>
      <c r="H11" s="426"/>
      <c r="J11" s="427">
        <f>SUM(K11:K14)</f>
        <v>7</v>
      </c>
      <c r="K11" s="428">
        <f>GETPIVOTDATA("Area AGM",'Pvt OS'!$BE$8)</f>
        <v>0</v>
      </c>
      <c r="Q11" s="406"/>
      <c r="X11" s="429"/>
      <c r="Y11" s="388"/>
      <c r="Z11" s="388"/>
      <c r="AA11" s="388"/>
      <c r="AB11" s="388"/>
      <c r="AD11" s="375" t="s">
        <v>47</v>
      </c>
      <c r="AE11" s="430">
        <f>AE9/AE10</f>
        <v>0.691729323308271</v>
      </c>
      <c r="AH11" s="379"/>
      <c r="AI11" s="385"/>
      <c r="AJ11" s="379"/>
      <c r="AK11" s="399"/>
      <c r="AM11" s="380">
        <f>2125-AE7</f>
        <v>2072</v>
      </c>
      <c r="AN11" s="302">
        <f>AM11/2125</f>
        <v>0.975058823529412</v>
      </c>
    </row>
    <row r="12" ht="22.5" customHeight="1" spans="2:42">
      <c r="B12" s="377"/>
      <c r="C12" s="409"/>
      <c r="E12" s="410"/>
      <c r="G12" s="431"/>
      <c r="H12" s="432">
        <f>GETPIVOTDATA("Area AGM",'Pvt OS'!$U$8)</f>
        <v>0</v>
      </c>
      <c r="J12" s="428"/>
      <c r="K12" s="428"/>
      <c r="Q12" s="406"/>
      <c r="X12" s="429"/>
      <c r="Y12" s="388"/>
      <c r="Z12" s="388"/>
      <c r="AA12" s="388"/>
      <c r="AB12" s="388"/>
      <c r="AE12" s="433"/>
      <c r="AF12" s="434"/>
      <c r="AK12" s="383"/>
    </row>
    <row r="13" ht="22.5" customHeight="1" spans="2:42">
      <c r="B13" s="377"/>
      <c r="C13" s="409"/>
      <c r="E13" s="410"/>
      <c r="G13" s="425">
        <f>GETPIVOTDATA("Area AGM",'Pvt OS'!$I$8)</f>
        <v>0</v>
      </c>
      <c r="H13" s="426"/>
      <c r="J13" s="428"/>
      <c r="K13" s="375">
        <f>GETPIVOTDATA("Area AGM",'Pvt OS'!$BA$8)</f>
        <v>0</v>
      </c>
      <c r="Q13" s="406"/>
      <c r="X13" s="429"/>
      <c r="Y13" s="388"/>
      <c r="Z13" s="388"/>
      <c r="AA13" s="388"/>
      <c r="AB13" s="388"/>
      <c r="AE13" s="433"/>
      <c r="AF13" s="434"/>
      <c r="AK13" s="383"/>
    </row>
    <row r="14" ht="22.5" customHeight="1" spans="2:42">
      <c r="B14" s="377"/>
      <c r="C14" s="409"/>
      <c r="E14" s="410"/>
      <c r="G14" s="431"/>
      <c r="H14" s="432">
        <f>GETPIVOTDATA("Area AGM",'Pvt OS'!$M$8)</f>
        <v>0</v>
      </c>
      <c r="J14" s="428"/>
      <c r="K14" s="375">
        <f>GETPIVOTDATA("Area AGM",'Pvt OS'!$AW$8)</f>
        <v>7</v>
      </c>
      <c r="O14" s="388">
        <f>SUM(O15:O20)</f>
        <v>42</v>
      </c>
      <c r="P14" s="435"/>
      <c r="Q14" s="436"/>
      <c r="U14" s="437" t="s">
        <v>48</v>
      </c>
      <c r="V14" s="435">
        <f>SUM(X16:X22)</f>
        <v>53</v>
      </c>
      <c r="W14" s="435"/>
      <c r="X14" s="438"/>
      <c r="Y14" s="388"/>
      <c r="Z14" s="388"/>
      <c r="AA14" s="388"/>
      <c r="AB14" s="388"/>
      <c r="AK14" s="383"/>
    </row>
    <row r="15" ht="22.5" customHeight="1" spans="2:42">
      <c r="B15" s="377"/>
      <c r="C15" s="409"/>
      <c r="E15" s="410"/>
      <c r="G15" s="439">
        <f>SUM(H15:H20)</f>
        <v>48</v>
      </c>
      <c r="H15" s="440">
        <f>GETPIVOTDATA("Area AGM",'Pvt OS'!$E$8)</f>
        <v>18</v>
      </c>
      <c r="J15" s="441">
        <f>SUM(K15:K21)</f>
        <v>42</v>
      </c>
      <c r="K15" s="442">
        <f>H12+H14</f>
        <v>0</v>
      </c>
      <c r="O15" s="443">
        <f>J15-O19</f>
        <v>26</v>
      </c>
      <c r="P15" s="435"/>
      <c r="W15" s="435"/>
      <c r="X15" s="444">
        <f>X16-O14</f>
        <v>1</v>
      </c>
      <c r="Y15" s="435"/>
      <c r="Z15" s="435"/>
      <c r="AA15" s="435"/>
      <c r="AB15" s="435"/>
      <c r="AC15" s="445"/>
      <c r="AD15" s="435"/>
      <c r="AK15" s="383"/>
      <c r="AM15" s="302">
        <f>88%*AE6</f>
        <v>80.96</v>
      </c>
      <c r="AN15" s="302">
        <v>1960</v>
      </c>
    </row>
    <row r="16" ht="22.5" customHeight="1" spans="2:42">
      <c r="B16" s="377"/>
      <c r="C16" s="409"/>
      <c r="E16" s="410"/>
      <c r="G16" s="446"/>
      <c r="H16" s="446"/>
      <c r="J16" s="447"/>
      <c r="K16" s="448">
        <f>GETPIVOTDATA("Area AGM",'Pvt OS'!$AS$8)</f>
        <v>18</v>
      </c>
      <c r="O16" s="449"/>
      <c r="P16" s="435"/>
      <c r="V16" s="450">
        <f>ROUND($O$14*V$78,0)</f>
        <v>13</v>
      </c>
      <c r="W16" s="435"/>
      <c r="X16" s="451">
        <f>SUM(Q21,R20,S19,T18,U17,V16)</f>
        <v>43</v>
      </c>
      <c r="Y16" s="435"/>
      <c r="Z16" s="435"/>
      <c r="AA16" s="435"/>
      <c r="AB16" s="435"/>
      <c r="AC16" s="435"/>
      <c r="AD16" s="435"/>
      <c r="AF16" s="452"/>
      <c r="AK16" s="383"/>
      <c r="AN16" s="380">
        <f>AN15-AE6</f>
        <v>1868</v>
      </c>
      <c r="AP16" s="302">
        <f>X22+O14</f>
        <v>52</v>
      </c>
    </row>
    <row r="17" ht="22.5" customHeight="1" spans="2:42">
      <c r="B17" s="377"/>
      <c r="C17" s="409"/>
      <c r="E17" s="410"/>
      <c r="G17" s="446"/>
      <c r="H17" s="446"/>
      <c r="J17" s="447"/>
      <c r="K17" s="453"/>
      <c r="O17" s="449"/>
      <c r="P17" s="435"/>
      <c r="S17" s="435"/>
      <c r="T17" s="435"/>
      <c r="U17" s="450">
        <f>ROUND($O$14*U$78,0)</f>
        <v>11</v>
      </c>
      <c r="V17" s="454"/>
      <c r="W17" s="435"/>
      <c r="X17" s="451"/>
      <c r="Y17" s="435"/>
      <c r="Z17" s="435"/>
      <c r="AA17" s="435"/>
      <c r="AB17" s="435"/>
      <c r="AC17" s="435"/>
      <c r="AD17" s="435"/>
      <c r="AF17" s="452"/>
      <c r="AK17" s="383"/>
      <c r="AP17" s="302">
        <v>1800</v>
      </c>
    </row>
    <row r="18" ht="22.5" customHeight="1" spans="2:42">
      <c r="B18" s="377"/>
      <c r="C18" s="455"/>
      <c r="E18" s="456"/>
      <c r="G18" s="446"/>
      <c r="H18" s="431"/>
      <c r="J18" s="447"/>
      <c r="K18" s="453"/>
      <c r="O18" s="457"/>
      <c r="P18" s="435"/>
      <c r="R18" s="454"/>
      <c r="S18" s="435"/>
      <c r="T18" s="450">
        <f>ROUND($O$14*T$78,0)</f>
        <v>10</v>
      </c>
      <c r="U18" s="454"/>
      <c r="W18" s="435"/>
      <c r="X18" s="451"/>
      <c r="Y18" s="435"/>
      <c r="Z18" s="435"/>
      <c r="AA18" s="435"/>
      <c r="AB18" s="435"/>
      <c r="AK18" s="383"/>
      <c r="AP18" s="302">
        <f>AP17-AP16</f>
        <v>1748</v>
      </c>
    </row>
    <row r="19" ht="22.5" customHeight="1" spans="2:42">
      <c r="B19" s="377"/>
      <c r="C19" s="444">
        <f>J15</f>
        <v>42</v>
      </c>
      <c r="E19" s="444">
        <f>C19</f>
        <v>42</v>
      </c>
      <c r="G19" s="446"/>
      <c r="H19" s="439">
        <f>GETPIVOTDATA("Area AGM",'Pvt OS'!$A$8)</f>
        <v>30</v>
      </c>
      <c r="J19" s="447"/>
      <c r="K19" s="441">
        <f>GETPIVOTDATA("Area AGM",'Pvt OS'!$AO$8)</f>
        <v>24</v>
      </c>
      <c r="O19" s="443">
        <f>IFERROR(GETPIVOTDATA("Area AGM",'Pvt OS'!$BM$8,"Status Supply","Match Supply Stock On Hand"),0)+IFERROR(GETPIVOTDATA("Area AGM",'Pvt OS'!$BP$8,"Status Supply","Match Supply Stock On Hand"),0)</f>
        <v>16</v>
      </c>
      <c r="P19" s="435"/>
      <c r="R19" s="454"/>
      <c r="S19" s="450">
        <f>ROUND($O$14*S$78,0)</f>
        <v>9</v>
      </c>
      <c r="T19" s="454"/>
      <c r="W19" s="435"/>
      <c r="X19" s="451"/>
      <c r="Y19" s="435"/>
      <c r="Z19" s="435"/>
      <c r="AA19" s="435"/>
      <c r="AB19" s="435"/>
      <c r="AK19" s="383"/>
    </row>
    <row r="20" ht="22.5" customHeight="1" spans="2:42">
      <c r="B20" s="377"/>
      <c r="C20" s="449"/>
      <c r="E20" s="449"/>
      <c r="G20" s="446"/>
      <c r="H20" s="446"/>
      <c r="J20" s="447"/>
      <c r="K20" s="447"/>
      <c r="O20" s="449"/>
      <c r="P20" s="435"/>
      <c r="R20" s="450">
        <f>ROUND($O$14*R$78,0)</f>
        <v>0</v>
      </c>
      <c r="S20" s="454" t="s">
        <v>49</v>
      </c>
      <c r="W20" s="435"/>
      <c r="X20" s="451"/>
      <c r="Y20" s="435"/>
      <c r="Z20" s="435"/>
      <c r="AA20" s="435"/>
      <c r="AB20" s="435"/>
      <c r="AK20" s="383"/>
    </row>
    <row r="21" ht="22.5" customHeight="1" spans="2:42">
      <c r="B21" s="377"/>
      <c r="C21" s="457"/>
      <c r="E21" s="457"/>
      <c r="G21" s="431"/>
      <c r="H21" s="431"/>
      <c r="J21" s="458"/>
      <c r="K21" s="458"/>
      <c r="O21" s="457"/>
      <c r="P21" s="435"/>
      <c r="Q21" s="450">
        <f>ROUND($O$14*Q$78,0)</f>
        <v>0</v>
      </c>
      <c r="R21" s="454"/>
      <c r="S21" s="382"/>
      <c r="V21" s="435"/>
      <c r="W21" s="435"/>
      <c r="X21" s="459"/>
      <c r="Y21" s="435"/>
      <c r="Z21" s="435"/>
      <c r="AA21" s="435"/>
      <c r="AB21" s="435"/>
      <c r="AK21" s="383"/>
    </row>
    <row r="22" ht="22.5" customHeight="1" spans="2:42">
      <c r="B22" s="377"/>
      <c r="C22" s="460"/>
      <c r="E22" s="460"/>
      <c r="G22" s="460" t="s">
        <v>50</v>
      </c>
      <c r="H22" s="460"/>
      <c r="J22" s="460"/>
      <c r="K22" s="460"/>
      <c r="O22" s="460"/>
      <c r="Q22" s="461">
        <v>3</v>
      </c>
      <c r="R22" s="461">
        <v>7</v>
      </c>
      <c r="S22" s="461"/>
      <c r="T22" s="462"/>
      <c r="U22" s="462"/>
      <c r="V22" s="462"/>
      <c r="X22" s="463">
        <f>SUM(Q22:V22)</f>
        <v>10</v>
      </c>
      <c r="Y22" s="302" t="s">
        <v>51</v>
      </c>
      <c r="AK22" s="383"/>
    </row>
    <row r="23" ht="15" customHeight="1" spans="2:42">
      <c r="B23" s="377"/>
      <c r="C23" s="464" t="s">
        <v>52</v>
      </c>
      <c r="D23" s="465"/>
      <c r="E23" s="464" t="s">
        <v>53</v>
      </c>
      <c r="F23" s="465"/>
      <c r="G23" s="464" t="s">
        <v>54</v>
      </c>
      <c r="H23" s="464"/>
      <c r="I23" s="465"/>
      <c r="J23" s="464" t="s">
        <v>55</v>
      </c>
      <c r="K23" s="464"/>
      <c r="M23" s="465"/>
      <c r="N23" s="465"/>
      <c r="O23" s="465"/>
      <c r="P23" s="465"/>
      <c r="Q23" s="616" t="s">
        <v>56</v>
      </c>
      <c r="R23" s="617" t="s">
        <v>57</v>
      </c>
      <c r="S23" s="617" t="s">
        <v>58</v>
      </c>
      <c r="T23" s="617" t="s">
        <v>59</v>
      </c>
      <c r="U23" s="617" t="s">
        <v>60</v>
      </c>
      <c r="V23" s="617" t="s">
        <v>61</v>
      </c>
      <c r="W23" s="465"/>
      <c r="AK23" s="383"/>
    </row>
    <row r="24" ht="15" customHeight="1" spans="2:42">
      <c r="B24" s="377"/>
      <c r="C24" s="467"/>
      <c r="E24" s="467"/>
      <c r="G24" s="435"/>
      <c r="H24" s="435"/>
      <c r="J24" s="464"/>
      <c r="K24" s="464"/>
      <c r="O24" s="468"/>
      <c r="P24" s="468"/>
      <c r="Q24" s="469"/>
      <c r="R24" s="469"/>
      <c r="S24" s="469"/>
      <c r="T24" s="469"/>
      <c r="U24" s="469"/>
      <c r="V24" s="469"/>
      <c r="W24" s="469"/>
      <c r="X24" s="470"/>
      <c r="Y24" s="471"/>
      <c r="Z24" s="471"/>
      <c r="AA24" s="471"/>
      <c r="AB24" s="471"/>
      <c r="AK24" s="383"/>
    </row>
    <row r="25" hidden="1" spans="2:42">
      <c r="B25" s="377"/>
      <c r="O25" s="437" t="s">
        <v>62</v>
      </c>
      <c r="R25" s="469"/>
      <c r="AK25" s="383"/>
    </row>
    <row r="26" hidden="1" spans="2:42">
      <c r="B26" s="377"/>
      <c r="O26" s="437" t="s">
        <v>63</v>
      </c>
      <c r="R26" s="469"/>
      <c r="AK26" s="383"/>
    </row>
    <row r="27" hidden="1" spans="2:42">
      <c r="B27" s="377"/>
      <c r="O27" s="437" t="s">
        <v>64</v>
      </c>
      <c r="R27" s="469"/>
      <c r="AK27" s="383"/>
    </row>
    <row r="28" ht="8.25" customHeight="1" spans="2:42">
      <c r="B28" s="377"/>
      <c r="O28" s="437"/>
      <c r="R28" s="469"/>
      <c r="AK28" s="383"/>
    </row>
    <row r="29" spans="2:42">
      <c r="B29" s="377"/>
      <c r="O29" s="437"/>
      <c r="R29" s="469"/>
      <c r="AK29" s="383"/>
    </row>
    <row r="30" spans="2:42">
      <c r="B30" s="377"/>
      <c r="AK30" s="383"/>
    </row>
    <row r="31" spans="2:42">
      <c r="B31" s="377"/>
      <c r="O31" s="437"/>
      <c r="R31" s="469"/>
      <c r="AK31" s="383"/>
    </row>
    <row r="32" spans="2:42">
      <c r="B32" s="377"/>
      <c r="O32" s="437"/>
      <c r="R32" s="469"/>
      <c r="AK32" s="383"/>
    </row>
    <row r="33" ht="60" customHeight="1" spans="2:45">
      <c r="B33" s="472"/>
      <c r="C33" s="473"/>
      <c r="D33" s="473"/>
      <c r="E33" s="473"/>
      <c r="F33" s="382"/>
      <c r="G33" s="473"/>
      <c r="H33" s="473"/>
      <c r="I33" s="382"/>
      <c r="J33" s="474"/>
      <c r="K33" s="474"/>
      <c r="L33" s="474"/>
      <c r="M33" s="382"/>
      <c r="N33" s="382"/>
      <c r="O33" s="475"/>
      <c r="P33" s="476"/>
      <c r="Q33" s="477"/>
      <c r="R33" s="477"/>
      <c r="S33" s="477"/>
      <c r="T33" s="477"/>
      <c r="U33" s="477"/>
      <c r="V33" s="477"/>
      <c r="W33" s="476"/>
      <c r="X33" s="382"/>
      <c r="Y33" s="382"/>
      <c r="Z33" s="382"/>
      <c r="AA33" s="382"/>
      <c r="AB33" s="382"/>
      <c r="AC33" s="382"/>
      <c r="AD33" s="382"/>
      <c r="AE33" s="382"/>
      <c r="AF33" s="382"/>
      <c r="AG33" s="382"/>
      <c r="AH33" s="382"/>
      <c r="AI33" s="382"/>
      <c r="AJ33" s="382"/>
      <c r="AK33" s="478"/>
    </row>
    <row r="34" ht="6" customHeight="1" spans="2:45">
      <c r="R34" s="479"/>
      <c r="S34" s="479">
        <v>0.4</v>
      </c>
      <c r="T34" s="479">
        <v>0.6</v>
      </c>
      <c r="U34" s="479"/>
      <c r="V34" s="398" t="e">
        <f>3948-AE7-#REF!</f>
        <v>#REF!</v>
      </c>
    </row>
    <row r="35" ht="17.25" customHeight="1" spans="2:45">
      <c r="B35" s="368"/>
      <c r="C35" s="480" t="s">
        <v>65</v>
      </c>
      <c r="D35" s="370"/>
      <c r="E35" s="370"/>
      <c r="F35" s="370"/>
      <c r="G35" s="370"/>
      <c r="H35" s="370"/>
      <c r="I35" s="370"/>
      <c r="J35" s="370"/>
      <c r="K35" s="370"/>
      <c r="L35" s="370"/>
      <c r="M35" s="370"/>
      <c r="N35" s="370"/>
      <c r="O35" s="370"/>
      <c r="P35" s="370"/>
      <c r="Q35" s="371"/>
      <c r="R35" s="481"/>
      <c r="S35" s="481"/>
      <c r="T35" s="370"/>
      <c r="U35" s="370"/>
      <c r="V35" s="370"/>
      <c r="W35" s="370"/>
      <c r="X35" s="370"/>
      <c r="Y35" s="370"/>
      <c r="Z35" s="370"/>
      <c r="AA35" s="370"/>
      <c r="AB35" s="370"/>
      <c r="AC35" s="370"/>
      <c r="AD35" s="370"/>
      <c r="AE35" s="370"/>
      <c r="AF35" s="370"/>
      <c r="AG35" s="370"/>
      <c r="AH35" s="370"/>
      <c r="AI35" s="370"/>
      <c r="AJ35" s="370"/>
      <c r="AK35" s="374"/>
    </row>
    <row r="36" ht="10.5" customHeight="1" spans="2:45">
      <c r="B36" s="377"/>
      <c r="J36" s="482"/>
      <c r="M36" s="483"/>
      <c r="N36" s="483"/>
      <c r="O36" s="484"/>
      <c r="P36" s="485"/>
      <c r="Q36" s="485"/>
      <c r="R36" s="485"/>
      <c r="S36" s="485"/>
      <c r="T36" s="485"/>
      <c r="U36" s="485"/>
      <c r="V36" s="485"/>
      <c r="Y36" s="388"/>
      <c r="Z36" s="388"/>
      <c r="AA36" s="388"/>
      <c r="AB36" s="388"/>
      <c r="AK36" s="383"/>
      <c r="AR36" s="486" t="s">
        <v>66</v>
      </c>
      <c r="AS36" s="487"/>
    </row>
    <row r="37" ht="18" customHeight="1" spans="2:45">
      <c r="B37" s="377"/>
      <c r="C37" s="488" t="s">
        <v>67</v>
      </c>
      <c r="D37" s="485"/>
      <c r="E37" s="485"/>
      <c r="F37" s="485"/>
      <c r="G37" s="485"/>
      <c r="H37" s="485"/>
      <c r="I37" s="485"/>
      <c r="J37" s="485"/>
      <c r="M37" s="483"/>
      <c r="N37" s="483"/>
      <c r="O37" s="488"/>
      <c r="P37" s="485"/>
      <c r="Q37" s="485"/>
      <c r="R37" s="485"/>
      <c r="S37" s="485"/>
      <c r="T37" s="485"/>
      <c r="U37" s="485"/>
      <c r="V37" s="485"/>
      <c r="AL37" s="377"/>
      <c r="AR37" s="489" t="s">
        <v>68</v>
      </c>
      <c r="AS37" s="490"/>
    </row>
    <row r="38" ht="15" customHeight="1" spans="2:45">
      <c r="B38" s="377"/>
      <c r="C38" s="484"/>
      <c r="D38" s="485"/>
      <c r="E38" s="485"/>
      <c r="F38" s="240" t="s">
        <v>56</v>
      </c>
      <c r="G38" s="240" t="s">
        <v>57</v>
      </c>
      <c r="H38" s="240" t="s">
        <v>58</v>
      </c>
      <c r="I38" s="240" t="s">
        <v>59</v>
      </c>
      <c r="J38" s="240" t="s">
        <v>60</v>
      </c>
      <c r="K38" s="240" t="s">
        <v>61</v>
      </c>
      <c r="M38" s="483"/>
      <c r="N38" s="483"/>
      <c r="O38" s="488"/>
      <c r="P38" s="485"/>
      <c r="Q38" s="485"/>
      <c r="R38" s="485"/>
      <c r="S38" s="485"/>
      <c r="T38" s="485"/>
      <c r="U38" s="485"/>
      <c r="V38" s="485"/>
      <c r="X38" s="388">
        <f>X39+X44</f>
        <v>114</v>
      </c>
      <c r="AL38" s="377"/>
    </row>
    <row r="39" ht="15" customHeight="1" spans="2:45">
      <c r="B39" s="377"/>
      <c r="C39" s="484"/>
      <c r="D39" s="485"/>
      <c r="E39" s="491" t="s">
        <v>69</v>
      </c>
      <c r="F39" s="492" t="s">
        <v>70</v>
      </c>
      <c r="G39" s="492"/>
      <c r="H39" s="492"/>
      <c r="I39" s="492"/>
      <c r="J39" s="493" t="s">
        <v>71</v>
      </c>
      <c r="K39" s="494"/>
      <c r="M39" s="482"/>
      <c r="N39" s="482"/>
      <c r="O39" s="488"/>
      <c r="P39" s="485"/>
      <c r="Q39" s="485"/>
      <c r="R39" s="485"/>
      <c r="S39" s="485"/>
      <c r="T39" s="485"/>
      <c r="U39" s="485"/>
      <c r="V39" s="495">
        <f>K50</f>
        <v>19</v>
      </c>
      <c r="X39" s="496">
        <f>V39+U42</f>
        <v>38</v>
      </c>
      <c r="Z39" s="497" t="s">
        <v>72</v>
      </c>
      <c r="AA39" s="498" t="s">
        <v>73</v>
      </c>
      <c r="AB39" s="499" t="s">
        <v>74</v>
      </c>
      <c r="AL39" s="377"/>
    </row>
    <row r="40" ht="15" customHeight="1" spans="2:45">
      <c r="B40" s="377"/>
      <c r="C40" s="500" t="s">
        <v>75</v>
      </c>
      <c r="D40" s="501"/>
      <c r="E40" s="502">
        <v>122</v>
      </c>
      <c r="F40" s="503">
        <f>SUM(F41:I41)</f>
        <v>80</v>
      </c>
      <c r="G40" s="504"/>
      <c r="H40" s="504"/>
      <c r="I40" s="505"/>
      <c r="J40" s="503">
        <f>SUM(J41:K41)</f>
        <v>42</v>
      </c>
      <c r="K40" s="505"/>
      <c r="M40" s="482"/>
      <c r="N40" s="482"/>
      <c r="O40" s="488"/>
      <c r="P40" s="485"/>
      <c r="Q40" s="485"/>
      <c r="R40" s="485"/>
      <c r="S40" s="485"/>
      <c r="T40" s="485"/>
      <c r="U40" s="485"/>
      <c r="V40" s="506"/>
      <c r="X40" s="507"/>
      <c r="Z40" s="508"/>
      <c r="AA40" s="509"/>
      <c r="AB40" s="510"/>
      <c r="AL40" s="377"/>
    </row>
    <row r="41" ht="15" customHeight="1" spans="2:45">
      <c r="B41" s="377"/>
      <c r="C41" s="511"/>
      <c r="D41" s="512"/>
      <c r="E41" s="513"/>
      <c r="F41" s="240">
        <f>F82</f>
        <v>20</v>
      </c>
      <c r="G41" s="240">
        <v>20</v>
      </c>
      <c r="H41" s="240">
        <v>20</v>
      </c>
      <c r="I41" s="240">
        <f>I82</f>
        <v>20</v>
      </c>
      <c r="J41" s="240">
        <v>20</v>
      </c>
      <c r="K41" s="240">
        <v>22</v>
      </c>
      <c r="M41" s="482"/>
      <c r="N41" s="482"/>
      <c r="O41" s="488"/>
      <c r="P41" s="485"/>
      <c r="Q41" s="485"/>
      <c r="R41" s="485"/>
      <c r="S41" s="485"/>
      <c r="T41" s="485"/>
      <c r="U41" s="485"/>
      <c r="V41" s="514"/>
      <c r="X41" s="507"/>
      <c r="Z41" s="515"/>
      <c r="AA41" s="516"/>
      <c r="AB41" s="517"/>
      <c r="AL41" s="377"/>
    </row>
    <row r="42" ht="15" customHeight="1" spans="2:45">
      <c r="B42" s="377"/>
      <c r="C42" s="518" t="s">
        <v>76</v>
      </c>
      <c r="D42" s="519"/>
      <c r="E42" s="520">
        <f>SUM(F42:K42)</f>
        <v>54</v>
      </c>
      <c r="F42" s="521">
        <v>30</v>
      </c>
      <c r="G42" s="521">
        <v>24</v>
      </c>
      <c r="H42" s="521"/>
      <c r="I42" s="521"/>
      <c r="J42" s="522"/>
      <c r="K42" s="523"/>
      <c r="M42" s="482"/>
      <c r="N42" s="482"/>
      <c r="O42" s="488"/>
      <c r="P42" s="485"/>
      <c r="Q42" s="485"/>
      <c r="R42" s="485"/>
      <c r="S42" s="485"/>
      <c r="T42" s="485"/>
      <c r="U42" s="495">
        <f>J50</f>
        <v>19</v>
      </c>
      <c r="V42" s="485"/>
      <c r="X42" s="507"/>
      <c r="Z42" s="524">
        <v>1727</v>
      </c>
      <c r="AA42" s="525">
        <f>X39</f>
        <v>38</v>
      </c>
      <c r="AB42" s="526">
        <f>AA42/Z42</f>
        <v>0.0220034742327736</v>
      </c>
      <c r="AL42" s="377"/>
    </row>
    <row r="43" ht="15" customHeight="1" spans="2:45">
      <c r="B43" s="377"/>
      <c r="C43" s="527" t="s">
        <v>68</v>
      </c>
      <c r="D43" s="528"/>
      <c r="E43" s="520"/>
      <c r="F43" s="529">
        <f t="shared" ref="F43:K43" si="0">F42-F41</f>
        <v>10</v>
      </c>
      <c r="G43" s="529">
        <f t="shared" si="0"/>
        <v>4</v>
      </c>
      <c r="H43" s="529">
        <f t="shared" si="0"/>
        <v>-20</v>
      </c>
      <c r="I43" s="529">
        <f t="shared" si="0"/>
        <v>-20</v>
      </c>
      <c r="J43" s="530">
        <f t="shared" si="0"/>
        <v>-20</v>
      </c>
      <c r="K43" s="531">
        <f t="shared" si="0"/>
        <v>-22</v>
      </c>
      <c r="M43" s="482"/>
      <c r="N43" s="482"/>
      <c r="O43" s="488"/>
      <c r="P43" s="485"/>
      <c r="Q43" s="485"/>
      <c r="R43" s="485"/>
      <c r="S43" s="485"/>
      <c r="T43" s="485"/>
      <c r="U43" s="514"/>
      <c r="V43" s="485"/>
      <c r="X43" s="507"/>
      <c r="AL43" s="377"/>
    </row>
    <row r="44" ht="3.75" customHeight="1" spans="2:45">
      <c r="B44" s="377"/>
      <c r="E44" s="532"/>
      <c r="F44" s="532"/>
      <c r="G44" s="532"/>
      <c r="H44" s="532"/>
      <c r="I44" s="532"/>
      <c r="J44" s="533"/>
      <c r="K44" s="533"/>
      <c r="O44" s="488"/>
      <c r="P44" s="485"/>
      <c r="Q44" s="485"/>
      <c r="R44" s="485"/>
      <c r="S44" s="485"/>
      <c r="T44" s="534">
        <f>I50</f>
        <v>19</v>
      </c>
      <c r="U44" s="485"/>
      <c r="V44" s="485"/>
      <c r="X44" s="535">
        <f>SUM(Q51,R48,S46,T44)</f>
        <v>76</v>
      </c>
      <c r="Y44" s="435"/>
      <c r="Z44" s="435"/>
      <c r="AA44" s="435"/>
      <c r="AB44" s="435"/>
      <c r="AK44" s="383"/>
    </row>
    <row r="45" ht="15" customHeight="1" spans="2:45">
      <c r="B45" s="377"/>
      <c r="C45" s="536" t="s">
        <v>77</v>
      </c>
      <c r="D45" s="537"/>
      <c r="E45" s="235">
        <f>SUM(F45:K45)</f>
        <v>6</v>
      </c>
      <c r="F45" s="240">
        <f>ROUND($M$47*F41,0)</f>
        <v>1</v>
      </c>
      <c r="G45" s="240">
        <f t="shared" ref="G45:K45" si="1">ROUND($M$47*G41,0)</f>
        <v>1</v>
      </c>
      <c r="H45" s="240">
        <f t="shared" si="1"/>
        <v>1</v>
      </c>
      <c r="I45" s="240">
        <f t="shared" si="1"/>
        <v>1</v>
      </c>
      <c r="J45" s="240">
        <f t="shared" si="1"/>
        <v>1</v>
      </c>
      <c r="K45" s="240">
        <f t="shared" si="1"/>
        <v>1</v>
      </c>
      <c r="M45" s="538" t="s">
        <v>78</v>
      </c>
      <c r="N45" s="539"/>
      <c r="O45" s="488"/>
      <c r="P45" s="485"/>
      <c r="Q45" s="485"/>
      <c r="R45" s="485"/>
      <c r="S45" s="485"/>
      <c r="T45" s="540"/>
      <c r="U45" s="485"/>
      <c r="V45" s="485"/>
      <c r="X45" s="541"/>
      <c r="AK45" s="383"/>
    </row>
    <row r="46" ht="15" customHeight="1" spans="2:45">
      <c r="B46" s="377"/>
      <c r="C46" s="518" t="s">
        <v>79</v>
      </c>
      <c r="D46" s="519"/>
      <c r="E46" s="520">
        <f>SUM(F46:K46)</f>
        <v>0</v>
      </c>
      <c r="F46" s="542">
        <v>0</v>
      </c>
      <c r="G46" s="523">
        <v>0</v>
      </c>
      <c r="H46" s="523">
        <v>0</v>
      </c>
      <c r="I46" s="523">
        <v>0</v>
      </c>
      <c r="J46" s="523">
        <v>0</v>
      </c>
      <c r="K46" s="523"/>
      <c r="M46" s="543" t="s">
        <v>80</v>
      </c>
      <c r="N46" s="544" t="s">
        <v>81</v>
      </c>
      <c r="O46" s="488"/>
      <c r="P46" s="485"/>
      <c r="Q46" s="485"/>
      <c r="R46" s="485"/>
      <c r="S46" s="534">
        <f>H50</f>
        <v>19</v>
      </c>
      <c r="T46" s="485"/>
      <c r="U46" s="485"/>
      <c r="V46" s="485"/>
      <c r="X46" s="541"/>
      <c r="AK46" s="383"/>
    </row>
    <row r="47" ht="17.25" customHeight="1" spans="2:45">
      <c r="B47" s="377"/>
      <c r="C47" s="527" t="s">
        <v>82</v>
      </c>
      <c r="D47" s="528"/>
      <c r="E47" s="520"/>
      <c r="F47" s="545">
        <f>IFERROR(F46/F42,0)</f>
        <v>0</v>
      </c>
      <c r="G47" s="545">
        <f t="shared" ref="G47:K47" si="2">IFERROR(G46/G42,0)</f>
        <v>0</v>
      </c>
      <c r="H47" s="545">
        <f t="shared" si="2"/>
        <v>0</v>
      </c>
      <c r="I47" s="545">
        <f t="shared" si="2"/>
        <v>0</v>
      </c>
      <c r="J47" s="545">
        <f t="shared" si="2"/>
        <v>0</v>
      </c>
      <c r="K47" s="545">
        <f t="shared" si="2"/>
        <v>0</v>
      </c>
      <c r="M47" s="546">
        <v>0.04</v>
      </c>
      <c r="N47" s="546">
        <v>0.02</v>
      </c>
      <c r="O47" s="488"/>
      <c r="P47" s="485"/>
      <c r="Q47" s="485"/>
      <c r="R47" s="485"/>
      <c r="S47" s="540"/>
      <c r="T47" s="485"/>
      <c r="U47" s="485"/>
      <c r="V47" s="485"/>
      <c r="X47" s="541"/>
      <c r="AK47" s="383"/>
    </row>
    <row r="48" ht="3.75" customHeight="1" spans="2:45">
      <c r="B48" s="377"/>
      <c r="C48" s="547"/>
      <c r="D48" s="547"/>
      <c r="E48" s="547"/>
      <c r="J48" s="485"/>
      <c r="K48" s="485"/>
      <c r="O48" s="488"/>
      <c r="P48" s="485"/>
      <c r="Q48" s="485"/>
      <c r="R48" s="534">
        <f>G50</f>
        <v>19</v>
      </c>
      <c r="S48" s="485"/>
      <c r="T48" s="485"/>
      <c r="U48" s="485"/>
      <c r="V48" s="485"/>
      <c r="X48" s="541"/>
      <c r="AK48" s="383"/>
    </row>
    <row r="49" ht="15.75" customHeight="1" spans="2:37">
      <c r="B49" s="377"/>
      <c r="C49" s="500" t="s">
        <v>83</v>
      </c>
      <c r="D49" s="501"/>
      <c r="E49" s="548">
        <f>SUM(F50:K50)</f>
        <v>114</v>
      </c>
      <c r="F49" s="549">
        <f>SUM(F50:I50)</f>
        <v>76</v>
      </c>
      <c r="G49" s="550"/>
      <c r="H49" s="550"/>
      <c r="I49" s="551"/>
      <c r="J49" s="552">
        <f>SUM(J50:K50)</f>
        <v>38</v>
      </c>
      <c r="K49" s="553"/>
      <c r="O49" s="488"/>
      <c r="P49" s="485"/>
      <c r="Q49" s="485"/>
      <c r="R49" s="540"/>
      <c r="S49" s="485"/>
      <c r="T49" s="485"/>
      <c r="U49" s="485"/>
      <c r="V49" s="485"/>
      <c r="X49" s="541"/>
      <c r="AK49" s="383"/>
    </row>
    <row r="50" ht="16.5" customHeight="1" spans="2:37">
      <c r="B50" s="377"/>
      <c r="C50" s="511"/>
      <c r="D50" s="512"/>
      <c r="E50" s="554"/>
      <c r="F50" s="555">
        <f t="shared" ref="F50:K51" si="3">F41-F45</f>
        <v>19</v>
      </c>
      <c r="G50" s="513">
        <f t="shared" si="3"/>
        <v>19</v>
      </c>
      <c r="H50" s="513">
        <f t="shared" si="3"/>
        <v>19</v>
      </c>
      <c r="I50" s="556">
        <f t="shared" si="3"/>
        <v>19</v>
      </c>
      <c r="J50" s="557">
        <f>J41-J45</f>
        <v>19</v>
      </c>
      <c r="K50" s="558">
        <f>K41-K45-2</f>
        <v>19</v>
      </c>
      <c r="O50" s="488"/>
      <c r="P50" s="485"/>
      <c r="Q50" s="485"/>
      <c r="R50" s="559"/>
      <c r="S50" s="485"/>
      <c r="T50" s="485"/>
      <c r="U50" s="485"/>
      <c r="V50" s="485"/>
      <c r="X50" s="541"/>
      <c r="AK50" s="383"/>
    </row>
    <row r="51" ht="18" spans="2:37">
      <c r="B51" s="377"/>
      <c r="C51" s="518" t="s">
        <v>66</v>
      </c>
      <c r="D51" s="519"/>
      <c r="E51" s="560">
        <f>SUM(F51:K51)</f>
        <v>54</v>
      </c>
      <c r="F51" s="561">
        <f t="shared" si="3"/>
        <v>30</v>
      </c>
      <c r="G51" s="521">
        <f t="shared" si="3"/>
        <v>24</v>
      </c>
      <c r="H51" s="521">
        <f t="shared" si="3"/>
        <v>0</v>
      </c>
      <c r="I51" s="562">
        <f t="shared" si="3"/>
        <v>0</v>
      </c>
      <c r="J51" s="561">
        <f t="shared" si="3"/>
        <v>0</v>
      </c>
      <c r="K51" s="563">
        <f t="shared" si="3"/>
        <v>0</v>
      </c>
      <c r="O51" s="488"/>
      <c r="P51" s="485"/>
      <c r="Q51" s="534">
        <f>F50</f>
        <v>19</v>
      </c>
      <c r="R51" s="485"/>
      <c r="S51" s="485"/>
      <c r="T51" s="485"/>
      <c r="U51" s="485"/>
      <c r="V51" s="485"/>
      <c r="X51" s="541"/>
      <c r="AK51" s="383"/>
    </row>
    <row r="52" ht="18.75" spans="2:37">
      <c r="B52" s="377"/>
      <c r="C52" s="527" t="s">
        <v>68</v>
      </c>
      <c r="D52" s="528"/>
      <c r="E52" s="560"/>
      <c r="F52" s="564">
        <f t="shared" ref="F52:K52" si="4">F51-F50</f>
        <v>11</v>
      </c>
      <c r="G52" s="565">
        <f t="shared" si="4"/>
        <v>5</v>
      </c>
      <c r="H52" s="565">
        <f t="shared" si="4"/>
        <v>-19</v>
      </c>
      <c r="I52" s="566">
        <f t="shared" si="4"/>
        <v>-19</v>
      </c>
      <c r="J52" s="567">
        <f t="shared" si="4"/>
        <v>-19</v>
      </c>
      <c r="K52" s="568">
        <f t="shared" si="4"/>
        <v>-19</v>
      </c>
      <c r="O52" s="488"/>
      <c r="P52" s="485"/>
      <c r="Q52" s="540"/>
      <c r="R52" s="485"/>
      <c r="S52" s="485"/>
      <c r="T52" s="485"/>
      <c r="U52" s="485"/>
      <c r="V52" s="485"/>
      <c r="X52" s="541"/>
      <c r="AK52" s="383"/>
    </row>
    <row r="53" ht="18" spans="2:37">
      <c r="B53" s="377"/>
      <c r="J53" s="482"/>
      <c r="O53" s="488"/>
      <c r="P53" s="485"/>
      <c r="Q53" s="463">
        <f>Q51</f>
        <v>19</v>
      </c>
      <c r="R53" s="463">
        <f>R48+Q53</f>
        <v>38</v>
      </c>
      <c r="S53" s="463">
        <f>S46+R53</f>
        <v>57</v>
      </c>
      <c r="T53" s="463">
        <f>T44+S53</f>
        <v>76</v>
      </c>
      <c r="U53" s="463">
        <f>U42+T53</f>
        <v>95</v>
      </c>
      <c r="V53" s="463">
        <f>V39+U53</f>
        <v>114</v>
      </c>
      <c r="W53" s="368"/>
      <c r="X53" s="370"/>
      <c r="Y53" s="435"/>
      <c r="Z53" s="435"/>
      <c r="AA53" s="435"/>
      <c r="AB53" s="435"/>
      <c r="AK53" s="383"/>
    </row>
    <row r="54" spans="2:37">
      <c r="B54" s="377"/>
      <c r="Q54" s="569" t="s">
        <v>56</v>
      </c>
      <c r="R54" s="569" t="s">
        <v>57</v>
      </c>
      <c r="S54" s="569" t="s">
        <v>58</v>
      </c>
      <c r="T54" s="569" t="s">
        <v>59</v>
      </c>
      <c r="U54" s="569" t="s">
        <v>60</v>
      </c>
      <c r="V54" s="569" t="s">
        <v>61</v>
      </c>
      <c r="AK54" s="383"/>
    </row>
    <row r="55" ht="15.75" customHeight="1" spans="2:37">
      <c r="B55" s="377"/>
      <c r="C55" s="488" t="s">
        <v>84</v>
      </c>
      <c r="O55" s="488" t="s">
        <v>85</v>
      </c>
      <c r="Q55" s="379"/>
      <c r="R55" s="570"/>
      <c r="S55" s="570"/>
      <c r="AK55" s="383"/>
    </row>
    <row r="56" customHeight="1" spans="2:37">
      <c r="B56" s="377"/>
      <c r="C56" s="571">
        <f>SUM(C57:C64)</f>
        <v>81</v>
      </c>
      <c r="E56" s="395"/>
      <c r="AK56" s="383"/>
    </row>
    <row r="57" ht="29.15" customHeight="1" spans="2:37">
      <c r="B57" s="377"/>
      <c r="C57" s="572">
        <f>H8</f>
        <v>0</v>
      </c>
      <c r="E57" s="572">
        <f>C57</f>
        <v>0</v>
      </c>
      <c r="F57" s="573"/>
      <c r="G57" s="574"/>
      <c r="H57" s="570"/>
      <c r="Q57" s="573"/>
      <c r="R57" s="573"/>
      <c r="S57" s="574"/>
      <c r="T57" s="570"/>
      <c r="AK57" s="383"/>
    </row>
    <row r="58" ht="24.65" customHeight="1" spans="2:37">
      <c r="B58" s="377"/>
      <c r="C58" s="575">
        <f>H10</f>
        <v>0</v>
      </c>
      <c r="E58" s="575">
        <f>C58</f>
        <v>0</v>
      </c>
      <c r="F58" s="573"/>
      <c r="G58" s="574"/>
      <c r="H58" s="570"/>
      <c r="K58" s="435"/>
      <c r="O58" s="576"/>
      <c r="T58" s="435"/>
      <c r="V58" s="450">
        <f>ROUND($Z$80*V$80,0)</f>
        <v>12</v>
      </c>
      <c r="X58" s="577">
        <f>SUM(Q65,R64,S63,T62,U60,V58)</f>
        <v>39</v>
      </c>
      <c r="Y58" s="578"/>
      <c r="Z58" s="578"/>
      <c r="AA58" s="578"/>
      <c r="AB58" s="578"/>
      <c r="AK58" s="383"/>
    </row>
    <row r="59" ht="24.65" customHeight="1" spans="2:37">
      <c r="B59" s="377"/>
      <c r="C59" s="401">
        <f>E8</f>
        <v>81</v>
      </c>
      <c r="H59" s="570"/>
      <c r="J59" s="454"/>
      <c r="K59" s="579">
        <f>V74</f>
        <v>17</v>
      </c>
      <c r="Q59" s="573"/>
      <c r="R59" s="573"/>
      <c r="S59" s="574"/>
      <c r="T59" s="570"/>
      <c r="U59" s="435"/>
      <c r="V59" s="450"/>
      <c r="X59" s="577"/>
      <c r="Y59" s="578"/>
      <c r="Z59" s="578"/>
      <c r="AA59" s="578"/>
      <c r="AB59" s="578"/>
      <c r="AK59" s="383"/>
    </row>
    <row r="60" ht="28.5" customHeight="1" spans="2:37">
      <c r="B60" s="377"/>
      <c r="C60" s="410"/>
      <c r="G60" s="454"/>
      <c r="H60" s="570"/>
      <c r="J60" s="579">
        <f>U74</f>
        <v>12</v>
      </c>
      <c r="K60" s="454"/>
      <c r="S60" s="574"/>
      <c r="T60" s="570"/>
      <c r="U60" s="450">
        <f>ROUND($Z$80*U$80,0)</f>
        <v>10</v>
      </c>
      <c r="X60" s="577"/>
      <c r="Y60" s="578"/>
      <c r="Z60" s="578"/>
      <c r="AA60" s="578"/>
      <c r="AB60" s="578"/>
      <c r="AK60" s="383"/>
    </row>
    <row r="61" ht="25.5" customHeight="1" spans="2:37">
      <c r="B61" s="377"/>
      <c r="C61" s="410"/>
      <c r="H61" s="435"/>
      <c r="I61" s="579">
        <f>T74</f>
        <v>15</v>
      </c>
      <c r="J61" s="454"/>
      <c r="K61" s="580"/>
      <c r="T61" s="435"/>
      <c r="U61" s="450"/>
      <c r="V61" s="454"/>
      <c r="X61" s="577"/>
      <c r="AK61" s="383"/>
    </row>
    <row r="62" ht="25.5" customHeight="1" spans="2:37">
      <c r="B62" s="377"/>
      <c r="C62" s="410"/>
      <c r="G62" s="454"/>
      <c r="H62" s="579">
        <f>S74</f>
        <v>14</v>
      </c>
      <c r="I62" s="454"/>
      <c r="J62" s="454"/>
      <c r="K62" s="580"/>
      <c r="S62" s="454"/>
      <c r="T62" s="450">
        <f>ROUND($Z$80*T$80,0)</f>
        <v>9</v>
      </c>
      <c r="U62" s="454"/>
      <c r="V62" s="454"/>
      <c r="X62" s="577"/>
      <c r="AK62" s="383"/>
    </row>
    <row r="63" ht="23.25" customHeight="1" spans="2:37">
      <c r="B63" s="377"/>
      <c r="C63" s="410"/>
      <c r="E63" s="454"/>
      <c r="F63" s="454"/>
      <c r="G63" s="579">
        <f>R74</f>
        <v>9</v>
      </c>
      <c r="H63" s="454"/>
      <c r="I63" s="454"/>
      <c r="J63" s="454"/>
      <c r="Q63" s="454"/>
      <c r="S63" s="450">
        <f>ROUND($Z$80*S$80,0)</f>
        <v>8</v>
      </c>
      <c r="T63" s="454"/>
      <c r="U63" s="454"/>
      <c r="V63" s="454"/>
      <c r="W63" s="580"/>
      <c r="X63" s="577"/>
      <c r="AK63" s="383"/>
    </row>
    <row r="64" ht="23.25" customHeight="1" spans="2:37">
      <c r="B64" s="377"/>
      <c r="C64" s="410"/>
      <c r="E64" s="454"/>
      <c r="F64" s="579">
        <f>Q74</f>
        <v>6</v>
      </c>
      <c r="G64" s="454"/>
      <c r="H64" s="454"/>
      <c r="I64" s="454"/>
      <c r="J64" s="485"/>
      <c r="K64" s="485"/>
      <c r="Q64" s="454"/>
      <c r="R64" s="450">
        <f>ROUND($Z$80*R$80,0)</f>
        <v>0</v>
      </c>
      <c r="S64" s="454"/>
      <c r="T64" s="454"/>
      <c r="U64" s="454"/>
      <c r="V64" s="454"/>
      <c r="W64" s="580"/>
      <c r="X64" s="577"/>
      <c r="Y64" s="388"/>
      <c r="Z64" s="388"/>
      <c r="AA64" s="388"/>
      <c r="AB64" s="388"/>
      <c r="AK64" s="383"/>
    </row>
    <row r="65" ht="23.25" customHeight="1" spans="2:45">
      <c r="B65" s="472"/>
      <c r="C65" s="456"/>
      <c r="D65" s="382"/>
      <c r="E65" s="581">
        <f>'Action Plan'!B27</f>
        <v>38</v>
      </c>
      <c r="F65" s="454"/>
      <c r="G65" s="454"/>
      <c r="H65" s="454"/>
      <c r="I65" s="454"/>
      <c r="J65" s="582"/>
      <c r="K65" s="583"/>
      <c r="L65" s="382"/>
      <c r="M65" s="382"/>
      <c r="Q65" s="450">
        <f>ROUND($Z$80*Q$80,0)</f>
        <v>0</v>
      </c>
      <c r="R65" s="454"/>
      <c r="S65" s="454"/>
      <c r="T65" s="454"/>
      <c r="U65" s="454"/>
      <c r="V65" s="454"/>
      <c r="X65" s="584"/>
      <c r="Y65" s="388"/>
      <c r="Z65" s="388"/>
      <c r="AA65" s="388"/>
      <c r="AB65" s="388"/>
      <c r="AK65" s="383"/>
    </row>
    <row r="66" ht="16.5" customHeight="1" spans="2:45">
      <c r="B66" s="377"/>
      <c r="C66" s="585" t="s">
        <v>86</v>
      </c>
      <c r="E66" s="586">
        <f>E65+E57+E58</f>
        <v>38</v>
      </c>
      <c r="F66" s="586">
        <f>F64+E66</f>
        <v>44</v>
      </c>
      <c r="G66" s="586">
        <f>G63+F66</f>
        <v>53</v>
      </c>
      <c r="H66" s="586">
        <f>H62+G66</f>
        <v>67</v>
      </c>
      <c r="I66" s="586">
        <f>I61+H66</f>
        <v>82</v>
      </c>
      <c r="J66" s="586">
        <f>J60+I66</f>
        <v>94</v>
      </c>
      <c r="K66" s="463">
        <f>K59+J66</f>
        <v>111</v>
      </c>
      <c r="L66" s="587" t="s">
        <v>87</v>
      </c>
      <c r="M66" s="588"/>
      <c r="Q66" s="463">
        <f>Q65</f>
        <v>0</v>
      </c>
      <c r="R66" s="463">
        <f>R64+Q66</f>
        <v>0</v>
      </c>
      <c r="S66" s="463">
        <f>S63+R66</f>
        <v>8</v>
      </c>
      <c r="T66" s="463">
        <f>T62+S66</f>
        <v>17</v>
      </c>
      <c r="U66" s="463">
        <f>U60+T66</f>
        <v>27</v>
      </c>
      <c r="V66" s="463">
        <f>V58+U66</f>
        <v>39</v>
      </c>
      <c r="W66" s="589" t="s">
        <v>87</v>
      </c>
      <c r="X66" s="370"/>
      <c r="Y66" s="388"/>
      <c r="Z66" s="388"/>
      <c r="AA66" s="388"/>
      <c r="AB66" s="388"/>
      <c r="AK66" s="383"/>
    </row>
    <row r="67" ht="16.5" customHeight="1" spans="2:45">
      <c r="B67" s="377"/>
      <c r="C67" s="464"/>
      <c r="E67" s="586"/>
      <c r="F67" s="586"/>
      <c r="G67" s="586"/>
      <c r="H67" s="586"/>
      <c r="I67" s="586"/>
      <c r="J67" s="586"/>
      <c r="K67" s="463"/>
      <c r="L67" s="587"/>
      <c r="M67" s="588"/>
      <c r="Q67" s="590">
        <f t="shared" ref="Q67:V67" si="5">Q66/F66</f>
        <v>0</v>
      </c>
      <c r="R67" s="590">
        <f t="shared" si="5"/>
        <v>0</v>
      </c>
      <c r="S67" s="590">
        <f t="shared" si="5"/>
        <v>0.119402985074627</v>
      </c>
      <c r="T67" s="590">
        <f t="shared" si="5"/>
        <v>0.207317073170732</v>
      </c>
      <c r="U67" s="590">
        <f t="shared" si="5"/>
        <v>0.287234042553192</v>
      </c>
      <c r="V67" s="590">
        <f t="shared" si="5"/>
        <v>0.351351351351351</v>
      </c>
      <c r="W67" s="587" t="s">
        <v>88</v>
      </c>
      <c r="Y67" s="388"/>
      <c r="Z67" s="388"/>
      <c r="AA67" s="388"/>
      <c r="AB67" s="388"/>
      <c r="AK67" s="383"/>
    </row>
    <row r="68" ht="30" customHeight="1" spans="2:45">
      <c r="B68" s="472"/>
      <c r="C68" s="382"/>
      <c r="D68" s="382"/>
      <c r="E68" s="591" t="s">
        <v>89</v>
      </c>
      <c r="F68" s="592" t="s">
        <v>56</v>
      </c>
      <c r="G68" s="592" t="s">
        <v>57</v>
      </c>
      <c r="H68" s="592" t="s">
        <v>58</v>
      </c>
      <c r="I68" s="592" t="s">
        <v>59</v>
      </c>
      <c r="J68" s="592" t="s">
        <v>60</v>
      </c>
      <c r="K68" s="592" t="s">
        <v>61</v>
      </c>
      <c r="L68" s="382"/>
      <c r="M68" s="593"/>
      <c r="N68" s="593"/>
      <c r="O68" s="594"/>
      <c r="P68" s="595"/>
      <c r="Q68" s="592" t="s">
        <v>56</v>
      </c>
      <c r="R68" s="592" t="s">
        <v>57</v>
      </c>
      <c r="S68" s="592" t="s">
        <v>58</v>
      </c>
      <c r="T68" s="592" t="s">
        <v>59</v>
      </c>
      <c r="U68" s="592" t="s">
        <v>60</v>
      </c>
      <c r="V68" s="592" t="s">
        <v>61</v>
      </c>
      <c r="W68" s="382"/>
      <c r="X68" s="382"/>
      <c r="Y68" s="384"/>
      <c r="Z68" s="384"/>
      <c r="AA68" s="384"/>
      <c r="AB68" s="384"/>
      <c r="AC68" s="382"/>
      <c r="AD68" s="382"/>
      <c r="AE68" s="382"/>
      <c r="AF68" s="382"/>
      <c r="AG68" s="382"/>
      <c r="AH68" s="382"/>
      <c r="AI68" s="382"/>
      <c r="AJ68" s="382"/>
      <c r="AK68" s="478"/>
      <c r="AR68" s="596" t="s">
        <v>83</v>
      </c>
      <c r="AS68" s="597"/>
    </row>
    <row r="71" spans="2:45">
      <c r="K71" s="302">
        <f>Q21+R20+S19+Q65+R64+S63</f>
        <v>17</v>
      </c>
      <c r="Q71" s="598" t="s">
        <v>56</v>
      </c>
      <c r="R71" s="598" t="s">
        <v>57</v>
      </c>
      <c r="S71" s="598" t="s">
        <v>58</v>
      </c>
      <c r="T71" s="598" t="s">
        <v>59</v>
      </c>
      <c r="U71" s="598" t="s">
        <v>60</v>
      </c>
      <c r="V71" s="598" t="s">
        <v>61</v>
      </c>
      <c r="W71" s="599"/>
      <c r="X71" s="598" t="s">
        <v>90</v>
      </c>
      <c r="AD71" s="302">
        <f>1913-2050</f>
        <v>-137</v>
      </c>
    </row>
    <row r="72" spans="2:45">
      <c r="O72" s="599" t="s">
        <v>91</v>
      </c>
      <c r="Q72" s="240">
        <f>SUM(Q73:Q75)</f>
        <v>57</v>
      </c>
      <c r="R72" s="240">
        <f t="shared" ref="R72:V72" si="6">SUM(R73:R75)</f>
        <v>14</v>
      </c>
      <c r="S72" s="240">
        <f t="shared" si="6"/>
        <v>14</v>
      </c>
      <c r="T72" s="240">
        <f t="shared" si="6"/>
        <v>15</v>
      </c>
      <c r="U72" s="240">
        <f t="shared" si="6"/>
        <v>12</v>
      </c>
      <c r="V72" s="240">
        <f t="shared" si="6"/>
        <v>17</v>
      </c>
      <c r="W72" s="375"/>
      <c r="X72" s="240">
        <f t="shared" ref="X72:X75" si="7">SUM(Q72:V72)</f>
        <v>129</v>
      </c>
    </row>
    <row r="73" spans="2:45">
      <c r="O73" s="599" t="s">
        <v>92</v>
      </c>
      <c r="Q73" s="240">
        <v>38</v>
      </c>
      <c r="R73" s="240"/>
      <c r="S73" s="240"/>
      <c r="T73" s="240"/>
      <c r="U73" s="240"/>
      <c r="V73" s="240"/>
      <c r="W73" s="375"/>
      <c r="X73" s="240">
        <f t="shared" si="7"/>
        <v>38</v>
      </c>
      <c r="AD73" s="302">
        <f>V16+AD71</f>
        <v>-124</v>
      </c>
    </row>
    <row r="74" spans="2:45">
      <c r="O74" s="599" t="s">
        <v>93</v>
      </c>
      <c r="Q74" s="600">
        <v>6</v>
      </c>
      <c r="R74" s="600">
        <v>9</v>
      </c>
      <c r="S74" s="600">
        <v>14</v>
      </c>
      <c r="T74" s="600">
        <v>15</v>
      </c>
      <c r="U74" s="600">
        <v>12</v>
      </c>
      <c r="V74" s="600">
        <v>17</v>
      </c>
      <c r="W74" s="375"/>
      <c r="X74" s="240">
        <f t="shared" si="7"/>
        <v>73</v>
      </c>
    </row>
    <row r="75" spans="2:45">
      <c r="O75" s="599" t="s">
        <v>94</v>
      </c>
      <c r="Q75" s="600">
        <v>13</v>
      </c>
      <c r="R75" s="600">
        <v>5</v>
      </c>
      <c r="S75" s="600"/>
      <c r="T75" s="600"/>
      <c r="U75" s="600"/>
      <c r="V75" s="600"/>
      <c r="W75" s="240"/>
      <c r="X75" s="240">
        <f t="shared" si="7"/>
        <v>18</v>
      </c>
    </row>
    <row r="78" ht="30" customHeight="1" spans="2:45">
      <c r="Q78" s="601"/>
      <c r="R78" s="601"/>
      <c r="S78" s="602">
        <v>0.21</v>
      </c>
      <c r="T78" s="603">
        <v>0.23</v>
      </c>
      <c r="U78" s="603">
        <v>0.26</v>
      </c>
      <c r="V78" s="603">
        <v>0.3</v>
      </c>
      <c r="W78" s="604"/>
      <c r="X78" s="605">
        <f>SUM(Q78:V78)</f>
        <v>1</v>
      </c>
    </row>
    <row r="79" spans="2:45">
      <c r="E79" s="302">
        <f>'Action Plan'!C27</f>
        <v>76</v>
      </c>
      <c r="F79" s="302">
        <f>ROUND($E$79*F81,0)</f>
        <v>15</v>
      </c>
      <c r="G79" s="302">
        <f t="shared" ref="G79:K79" si="8">ROUND($E$79*G81,0)</f>
        <v>11</v>
      </c>
      <c r="H79" s="302">
        <f t="shared" si="8"/>
        <v>11</v>
      </c>
      <c r="I79" s="302">
        <f t="shared" si="8"/>
        <v>15</v>
      </c>
      <c r="J79" s="302">
        <f t="shared" si="8"/>
        <v>11</v>
      </c>
      <c r="K79" s="302">
        <f t="shared" si="8"/>
        <v>11</v>
      </c>
      <c r="T79" s="27"/>
      <c r="U79" s="27"/>
      <c r="V79" s="27"/>
    </row>
    <row r="80" ht="27.65" customHeight="1" spans="2:45">
      <c r="Q80" s="601"/>
      <c r="R80" s="601"/>
      <c r="S80" s="602">
        <v>0.21</v>
      </c>
      <c r="T80" s="603">
        <v>0.23</v>
      </c>
      <c r="U80" s="603">
        <v>0.26</v>
      </c>
      <c r="V80" s="603">
        <v>0.3</v>
      </c>
      <c r="W80" s="604"/>
      <c r="X80" s="605">
        <f>SUM(Q80:V80)</f>
        <v>1</v>
      </c>
      <c r="Z80" s="380">
        <f>AB80-AE7</f>
        <v>39</v>
      </c>
      <c r="AB80" s="380">
        <f>AE6</f>
        <v>92</v>
      </c>
    </row>
    <row r="81" spans="5:26">
      <c r="E81" s="302">
        <f>ROUND(AE6/91.3%,0)</f>
        <v>101</v>
      </c>
      <c r="F81" s="469">
        <v>0.2</v>
      </c>
      <c r="G81" s="469">
        <v>0.15</v>
      </c>
      <c r="H81" s="469">
        <v>0.15</v>
      </c>
      <c r="I81" s="469">
        <v>0.2</v>
      </c>
      <c r="J81" s="469">
        <v>0.15</v>
      </c>
      <c r="K81" s="469">
        <v>0.15</v>
      </c>
      <c r="L81" s="469"/>
      <c r="M81" s="469">
        <f>SUM(F81:K81)</f>
        <v>1</v>
      </c>
      <c r="Q81" s="469">
        <v>0.2</v>
      </c>
      <c r="R81" s="469">
        <v>0.1</v>
      </c>
      <c r="S81" s="469">
        <v>0.1</v>
      </c>
      <c r="T81" s="469">
        <v>0.2</v>
      </c>
      <c r="U81" s="469">
        <v>0.2</v>
      </c>
      <c r="V81" s="469">
        <v>0.2</v>
      </c>
      <c r="W81" s="469">
        <f t="shared" ref="W81" si="9">SUM(W78,W80)</f>
        <v>0</v>
      </c>
      <c r="X81" s="605">
        <f>SUM(Q81:V81)</f>
        <v>1</v>
      </c>
    </row>
    <row r="82" spans="5:26">
      <c r="F82" s="302">
        <f t="shared" ref="F82:K82" si="10">ROUND($E$81*F81,0)</f>
        <v>20</v>
      </c>
      <c r="G82" s="302">
        <f t="shared" si="10"/>
        <v>15</v>
      </c>
      <c r="H82" s="302">
        <f t="shared" si="10"/>
        <v>15</v>
      </c>
      <c r="I82" s="302">
        <f t="shared" si="10"/>
        <v>20</v>
      </c>
      <c r="J82" s="302">
        <f t="shared" si="10"/>
        <v>15</v>
      </c>
      <c r="K82" s="302">
        <f t="shared" si="10"/>
        <v>15</v>
      </c>
      <c r="L82" s="302">
        <f t="shared" ref="L82" si="11">ROUND($E$81*L81,0)</f>
        <v>0</v>
      </c>
      <c r="Z82" s="302">
        <v>145</v>
      </c>
    </row>
    <row r="83" spans="5:26">
      <c r="Q83" s="302">
        <f>Q22</f>
        <v>3</v>
      </c>
      <c r="R83" s="302">
        <f>R20</f>
        <v>0</v>
      </c>
      <c r="S83" s="302">
        <f>S19</f>
        <v>9</v>
      </c>
      <c r="T83" s="302">
        <f>T18</f>
        <v>10</v>
      </c>
      <c r="U83" s="302">
        <f>U17</f>
        <v>11</v>
      </c>
      <c r="V83" s="302">
        <f>V16</f>
        <v>13</v>
      </c>
    </row>
    <row r="84" spans="5:26">
      <c r="Q84" s="302">
        <f>Q65</f>
        <v>0</v>
      </c>
      <c r="R84" s="302">
        <f>R64</f>
        <v>0</v>
      </c>
      <c r="S84" s="302">
        <f>S63</f>
        <v>8</v>
      </c>
      <c r="T84" s="302">
        <f>T62</f>
        <v>9</v>
      </c>
      <c r="U84" s="302">
        <f>U60</f>
        <v>10</v>
      </c>
      <c r="V84" s="302">
        <f>V58</f>
        <v>12</v>
      </c>
    </row>
    <row r="85" spans="5:26">
      <c r="Q85" s="302">
        <f>SUM(Q83:Q84)</f>
        <v>3</v>
      </c>
      <c r="R85" s="302">
        <f t="shared" ref="R85:V85" si="12">SUM(R83:R84)</f>
        <v>0</v>
      </c>
      <c r="S85" s="302">
        <f t="shared" si="12"/>
        <v>17</v>
      </c>
      <c r="T85" s="302">
        <f t="shared" si="12"/>
        <v>19</v>
      </c>
      <c r="U85" s="302">
        <f t="shared" si="12"/>
        <v>21</v>
      </c>
      <c r="V85" s="302">
        <f t="shared" si="12"/>
        <v>25</v>
      </c>
      <c r="X85" s="302">
        <f>SUM(Q85:V85)</f>
        <v>85</v>
      </c>
    </row>
    <row r="86" spans="5:26">
      <c r="Q86" s="469">
        <f>Q85/$X$85</f>
        <v>0.0352941176470588</v>
      </c>
      <c r="R86" s="469">
        <f t="shared" ref="R86:V86" si="13">R85/$X$85</f>
        <v>0</v>
      </c>
      <c r="S86" s="469">
        <f t="shared" si="13"/>
        <v>0.2</v>
      </c>
      <c r="T86" s="469">
        <f t="shared" si="13"/>
        <v>0.223529411764706</v>
      </c>
      <c r="U86" s="469">
        <f t="shared" si="13"/>
        <v>0.247058823529412</v>
      </c>
      <c r="V86" s="469">
        <f t="shared" si="13"/>
        <v>0.294117647058824</v>
      </c>
    </row>
    <row r="87" spans="5:26">
      <c r="S87" s="376">
        <f>SUM(Q86:S86)</f>
        <v>0.235294117647059</v>
      </c>
      <c r="U87" s="376">
        <f>SUM(Q86:U86)</f>
        <v>0.705882352941177</v>
      </c>
    </row>
    <row r="88" spans="5:26">
      <c r="K88" s="302">
        <f>100/6</f>
        <v>16.6666666666667</v>
      </c>
      <c r="Q88" s="302">
        <v>0.125</v>
      </c>
      <c r="R88" s="302">
        <v>0.125</v>
      </c>
      <c r="S88" s="302">
        <v>0.13</v>
      </c>
      <c r="T88" s="302">
        <v>0.2</v>
      </c>
      <c r="U88" s="302">
        <v>0.21</v>
      </c>
      <c r="V88" s="302">
        <v>0.21</v>
      </c>
    </row>
    <row r="93" ht="15" spans="5:26">
      <c r="O93" s="606">
        <f>SUM(Q93:S93)</f>
        <v>17</v>
      </c>
      <c r="Q93" s="302">
        <f>Q65+Q21</f>
        <v>0</v>
      </c>
      <c r="R93" s="302">
        <f>R64+R20</f>
        <v>0</v>
      </c>
      <c r="S93" s="302">
        <f>S63+S19</f>
        <v>17</v>
      </c>
      <c r="T93" s="302">
        <f>T62+T18</f>
        <v>19</v>
      </c>
      <c r="U93" s="302">
        <f>U60+U17</f>
        <v>21</v>
      </c>
      <c r="V93" s="302">
        <f>V58+V16</f>
        <v>25</v>
      </c>
      <c r="X93" s="302">
        <f>SUM(Q93:V93)</f>
        <v>82</v>
      </c>
    </row>
    <row r="94" ht="15" spans="5:26">
      <c r="O94" s="607">
        <f>SUM(Q94:S94)</f>
        <v>0.207317073170732</v>
      </c>
      <c r="Q94" s="469">
        <f>Q93/$X$93</f>
        <v>0</v>
      </c>
      <c r="R94" s="469">
        <f t="shared" ref="R94:V94" si="14">R93/$X$93</f>
        <v>0</v>
      </c>
      <c r="S94" s="469">
        <f t="shared" si="14"/>
        <v>0.207317073170732</v>
      </c>
      <c r="T94" s="469">
        <f t="shared" si="14"/>
        <v>0.231707317073171</v>
      </c>
      <c r="U94" s="469">
        <f t="shared" si="14"/>
        <v>0.25609756097561</v>
      </c>
      <c r="V94" s="469">
        <f t="shared" si="14"/>
        <v>0.304878048780488</v>
      </c>
    </row>
    <row r="97" spans="19:26">
      <c r="S97" s="302">
        <f>SUM(Q93:S93)</f>
        <v>17</v>
      </c>
      <c r="T97" s="302">
        <f>S97+T93</f>
        <v>36</v>
      </c>
      <c r="X97" s="302">
        <f>ROUND(Z97*X93,0)</f>
        <v>25</v>
      </c>
      <c r="Z97" s="376">
        <v>0.3</v>
      </c>
    </row>
    <row r="98" spans="19:26">
      <c r="X98" s="302">
        <f>ROUND(Z98*X93,0)</f>
        <v>49</v>
      </c>
      <c r="Z98" s="376">
        <v>0.6</v>
      </c>
    </row>
    <row r="100" spans="19:26">
      <c r="S100" s="469">
        <f>S97/2150</f>
        <v>0.00790697674418605</v>
      </c>
      <c r="T100" s="302">
        <f>T97/X93</f>
        <v>0.439024390243902</v>
      </c>
    </row>
  </sheetData>
  <mergeCells count="62">
    <mergeCell ref="R2:U2"/>
    <mergeCell ref="G6:H6"/>
    <mergeCell ref="G23:H23"/>
    <mergeCell ref="J23:K23"/>
    <mergeCell ref="AR36:AS36"/>
    <mergeCell ref="AR37:AS37"/>
    <mergeCell ref="F39:I39"/>
    <mergeCell ref="J39:K39"/>
    <mergeCell ref="F40:I40"/>
    <mergeCell ref="J40:K40"/>
    <mergeCell ref="M45:N45"/>
    <mergeCell ref="F49:I49"/>
    <mergeCell ref="J49:K49"/>
    <mergeCell ref="AR68:AS68"/>
    <mergeCell ref="C8:C18"/>
    <mergeCell ref="C19:C21"/>
    <mergeCell ref="C59:C65"/>
    <mergeCell ref="C66:C67"/>
    <mergeCell ref="E8:E18"/>
    <mergeCell ref="E19:E21"/>
    <mergeCell ref="E40:E41"/>
    <mergeCell ref="E49:E50"/>
    <mergeCell ref="E66:E67"/>
    <mergeCell ref="F66:F67"/>
    <mergeCell ref="G7:G8"/>
    <mergeCell ref="G9:G10"/>
    <mergeCell ref="G11:G12"/>
    <mergeCell ref="G13:G14"/>
    <mergeCell ref="G15:G21"/>
    <mergeCell ref="G66:G67"/>
    <mergeCell ref="H15:H18"/>
    <mergeCell ref="H19:H21"/>
    <mergeCell ref="H66:H67"/>
    <mergeCell ref="I66:I67"/>
    <mergeCell ref="J11:J14"/>
    <mergeCell ref="J15:J21"/>
    <mergeCell ref="J66:J67"/>
    <mergeCell ref="K11:K12"/>
    <mergeCell ref="K16:K18"/>
    <mergeCell ref="K19:K21"/>
    <mergeCell ref="K66:K67"/>
    <mergeCell ref="O15:O18"/>
    <mergeCell ref="O19:O21"/>
    <mergeCell ref="Q51:Q52"/>
    <mergeCell ref="R48:R50"/>
    <mergeCell ref="S46:S47"/>
    <mergeCell ref="T44:T45"/>
    <mergeCell ref="U42:U43"/>
    <mergeCell ref="U60:U61"/>
    <mergeCell ref="V39:V41"/>
    <mergeCell ref="V58:V59"/>
    <mergeCell ref="X10:X14"/>
    <mergeCell ref="X16:X21"/>
    <mergeCell ref="X39:X43"/>
    <mergeCell ref="X44:X52"/>
    <mergeCell ref="X58:X65"/>
    <mergeCell ref="Z39:Z41"/>
    <mergeCell ref="AA39:AA41"/>
    <mergeCell ref="AB39:AB41"/>
    <mergeCell ref="L66:M67"/>
    <mergeCell ref="C40:D41"/>
    <mergeCell ref="C49:D50"/>
  </mergeCells>
  <printOptions horizontalCentered="1" verticalCentered="1"/>
  <pageMargins left="0" right="0" top="0" bottom="0" header="0" footer="0"/>
  <pageSetup paperSize="8" scale="66" orientation="landscape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I9"/>
  <sheetViews>
    <sheetView showGridLines="0" workbookViewId="0">
      <selection activeCell="C5" sqref="C5:I9"/>
    </sheetView>
  </sheetViews>
  <sheetFormatPr defaultColWidth="9" defaultRowHeight="15"/>
  <cols>
    <col min="3" max="3" width="14.1809523809524" customWidth="1"/>
  </cols>
  <sheetData>
    <row r="5" spans="3:9">
      <c r="C5" t="s">
        <v>95</v>
      </c>
      <c r="D5" s="618" t="s">
        <v>56</v>
      </c>
      <c r="E5" s="619" t="s">
        <v>57</v>
      </c>
      <c r="F5" s="619" t="s">
        <v>58</v>
      </c>
      <c r="G5" s="359" t="s">
        <v>59</v>
      </c>
      <c r="H5" s="359" t="s">
        <v>60</v>
      </c>
      <c r="I5" s="359" t="s">
        <v>96</v>
      </c>
    </row>
    <row r="6" spans="3:9">
      <c r="C6" s="360" t="s">
        <v>97</v>
      </c>
      <c r="D6" s="361"/>
      <c r="E6" s="361"/>
      <c r="F6" s="361"/>
      <c r="G6" s="362"/>
      <c r="H6" s="362"/>
      <c r="I6" s="362"/>
    </row>
    <row r="7" spans="3:9">
      <c r="C7" s="360" t="s">
        <v>62</v>
      </c>
      <c r="D7" s="361"/>
      <c r="E7" s="361"/>
      <c r="F7" s="361"/>
      <c r="G7" s="362"/>
      <c r="H7" s="362"/>
      <c r="I7" s="362"/>
    </row>
    <row r="8" spans="3:9">
      <c r="C8" s="360" t="s">
        <v>98</v>
      </c>
      <c r="D8" s="361"/>
      <c r="E8" s="361"/>
      <c r="F8" s="361"/>
      <c r="G8" s="362"/>
      <c r="H8" s="362"/>
      <c r="I8" s="362"/>
    </row>
    <row r="9" spans="3:9">
      <c r="C9" s="360" t="s">
        <v>68</v>
      </c>
      <c r="D9" s="362">
        <f t="shared" ref="D9:H9" si="0">D8-D6</f>
        <v>0</v>
      </c>
      <c r="E9" s="362">
        <f t="shared" si="0"/>
        <v>0</v>
      </c>
      <c r="F9" s="362">
        <f t="shared" si="0"/>
        <v>0</v>
      </c>
      <c r="G9" s="362">
        <f t="shared" si="0"/>
        <v>0</v>
      </c>
      <c r="H9" s="362">
        <f t="shared" si="0"/>
        <v>0</v>
      </c>
      <c r="I9" s="362">
        <f>I7-I6</f>
        <v>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B2:BH67"/>
  <sheetViews>
    <sheetView showGridLines="0" zoomScale="85" zoomScaleNormal="85" topLeftCell="A2" workbookViewId="0">
      <selection activeCell="AE24" sqref="AE24"/>
    </sheetView>
  </sheetViews>
  <sheetFormatPr defaultColWidth="9.18095238095238" defaultRowHeight="15"/>
  <cols>
    <col min="1" max="1" width="9.18095238095238" style="225"/>
    <col min="2" max="2" width="13.4571428571429" style="225" customWidth="1"/>
    <col min="3" max="7" width="8.18095238095238" style="225" customWidth="1"/>
    <col min="8" max="8" width="8.18095238095238" style="225" hidden="1" customWidth="1"/>
    <col min="9" max="11" width="8.18095238095238" style="225" customWidth="1"/>
    <col min="12" max="12" width="27.8190476190476" style="225" customWidth="1"/>
    <col min="13" max="15" width="5.18095238095238" style="225" customWidth="1"/>
    <col min="16" max="16" width="12.2666666666667" style="226" customWidth="1"/>
    <col min="17" max="17" width="9.81904761904762" style="227" customWidth="1"/>
    <col min="18" max="18" width="10.4571428571429" style="225" customWidth="1"/>
    <col min="19" max="19" width="14.4571428571429" style="225" customWidth="1"/>
    <col min="20" max="20" width="9.45714285714286" style="228" customWidth="1"/>
    <col min="21" max="22" width="9.45714285714286" style="228" hidden="1" customWidth="1" outlineLevel="1"/>
    <col min="23" max="36" width="8.45714285714286" style="228" hidden="1" customWidth="1" outlineLevel="1"/>
    <col min="37" max="38" width="8.45714285714286" style="225" hidden="1" customWidth="1" outlineLevel="1"/>
    <col min="39" max="39" width="9.45714285714286" style="228" customWidth="1" collapsed="1"/>
    <col min="40" max="43" width="8.45714285714286" style="225" hidden="1" customWidth="1" outlineLevel="1"/>
    <col min="44" max="46" width="9.45714285714286" style="228" hidden="1" customWidth="1" outlineLevel="1"/>
    <col min="47" max="47" width="6.81904761904762" style="225" customWidth="1" collapsed="1"/>
    <col min="48" max="51" width="6.81904761904762" style="225" customWidth="1"/>
    <col min="52" max="52" width="10.7238095238095" style="225" customWidth="1"/>
    <col min="53" max="56" width="9.45714285714286" style="225" hidden="1" customWidth="1" outlineLevel="1"/>
    <col min="57" max="57" width="1.45714285714286" style="225" customWidth="1" collapsed="1"/>
    <col min="58" max="16384" width="9.18095238095238" style="225"/>
  </cols>
  <sheetData>
    <row r="2" spans="2:16">
      <c r="D2" s="227" t="s">
        <v>99</v>
      </c>
      <c r="E2" s="227" t="s">
        <v>100</v>
      </c>
      <c r="F2" s="227" t="s">
        <v>101</v>
      </c>
      <c r="G2" s="227" t="s">
        <v>102</v>
      </c>
      <c r="H2" s="227" t="s">
        <v>103</v>
      </c>
      <c r="J2" s="227" t="s">
        <v>104</v>
      </c>
      <c r="K2" s="227" t="s">
        <v>105</v>
      </c>
    </row>
    <row r="3" spans="2:16">
      <c r="B3" s="229" t="s">
        <v>106</v>
      </c>
      <c r="C3" s="230"/>
      <c r="D3" s="230"/>
      <c r="E3" s="230"/>
      <c r="F3" s="230"/>
      <c r="G3" s="230"/>
      <c r="H3" s="230"/>
      <c r="I3" s="230"/>
      <c r="J3" s="230"/>
      <c r="K3" s="230"/>
      <c r="L3" s="230"/>
    </row>
    <row r="4" ht="16.5" customHeight="1" spans="2:16">
      <c r="B4" s="231" t="s">
        <v>107</v>
      </c>
      <c r="C4" s="232" t="s">
        <v>108</v>
      </c>
      <c r="D4" s="233"/>
      <c r="E4" s="233"/>
      <c r="F4" s="233"/>
      <c r="G4" s="234"/>
      <c r="H4" s="235"/>
      <c r="I4" s="232" t="s">
        <v>109</v>
      </c>
      <c r="J4" s="233"/>
      <c r="K4" s="233"/>
      <c r="L4" s="234"/>
    </row>
    <row r="5" spans="2:16">
      <c r="B5" s="236"/>
      <c r="C5" s="237"/>
      <c r="D5" s="238"/>
      <c r="E5" s="238"/>
      <c r="F5" s="238"/>
      <c r="G5" s="239"/>
      <c r="H5" s="240"/>
      <c r="I5" s="237"/>
      <c r="J5" s="238"/>
      <c r="K5" s="238"/>
      <c r="L5" s="239"/>
    </row>
    <row r="6" spans="2:16">
      <c r="B6" s="241"/>
      <c r="C6" s="241"/>
      <c r="D6" s="242" t="s">
        <v>110</v>
      </c>
      <c r="E6" s="242" t="s">
        <v>111</v>
      </c>
      <c r="F6" s="242" t="s">
        <v>112</v>
      </c>
      <c r="G6" s="242" t="s">
        <v>113</v>
      </c>
      <c r="H6" s="240" t="s">
        <v>114</v>
      </c>
      <c r="I6" s="241"/>
      <c r="J6" s="242" t="s">
        <v>115</v>
      </c>
      <c r="K6" s="242" t="s">
        <v>116</v>
      </c>
      <c r="L6" s="243" t="s">
        <v>117</v>
      </c>
    </row>
    <row r="7" ht="16.5" customHeight="1" spans="2:16">
      <c r="B7" s="244" t="s">
        <v>118</v>
      </c>
      <c r="C7" s="245">
        <f>SUM(D7:G7)</f>
        <v>0</v>
      </c>
      <c r="D7" s="245">
        <f>IFERROR(GETPIVOTDATA("Area AGM",#REF!,"Dealer",""&amp;$S$18&amp;"","Model",""&amp;$B7&amp;"","Umur Outstansing",""&amp;D$2&amp;""),0)</f>
        <v>0</v>
      </c>
      <c r="E7" s="245">
        <f>IFERROR(GETPIVOTDATA("Area AGM",#REF!,"Dealer",""&amp;$S$18&amp;"","Model",""&amp;$B7&amp;"","Umur Outstansing",""&amp;E$2&amp;""),0)</f>
        <v>0</v>
      </c>
      <c r="F7" s="245">
        <f>IFERROR(GETPIVOTDATA("Area AGM",#REF!,"Dealer",""&amp;$S$18&amp;"","Model",""&amp;$B7&amp;"","Umur Outstansing",""&amp;F$2&amp;""),0)</f>
        <v>0</v>
      </c>
      <c r="G7" s="245">
        <f>IFERROR(GETPIVOTDATA("Area AGM",#REF!,"Dealer",""&amp;$S$18&amp;"","Model",""&amp;$B7&amp;"","Umur Outstansing",""&amp;G$2&amp;""),0)</f>
        <v>0</v>
      </c>
      <c r="H7" s="245">
        <f>IFERROR(GETPIVOTDATA("Area AGM",#REF!,"Dealer",""&amp;$S$18&amp;"","Model",""&amp;$B7&amp;"","Umur Outstansing",""&amp;H$2&amp;""),0)</f>
        <v>0</v>
      </c>
      <c r="I7" s="245">
        <f t="shared" ref="I7:I16" si="0">SUM(J7:K7)</f>
        <v>0</v>
      </c>
      <c r="J7" s="245">
        <f>IFERROR(GETPIVOTDATA("Area AGM",#REF!,"Dealer",""&amp;$S$18&amp;"","Model",""&amp;$B7&amp;""),0)</f>
        <v>0</v>
      </c>
      <c r="K7" s="245">
        <f>IFERROR(GETPIVOTDATA("Area AGM",#REF!,"Dealer",""&amp;$S$18&amp;"","Model",""&amp;$B7&amp;""),0)</f>
        <v>0</v>
      </c>
      <c r="L7" s="620" t="s">
        <v>119</v>
      </c>
      <c r="P7" s="226" t="s">
        <v>120</v>
      </c>
    </row>
    <row r="8" ht="16.5" customHeight="1" spans="2:16">
      <c r="B8" s="247" t="s">
        <v>121</v>
      </c>
      <c r="C8" s="248">
        <f t="shared" ref="C8:C15" si="1">SUM(D8:G8)</f>
        <v>0</v>
      </c>
      <c r="D8" s="248">
        <f>IFERROR(GETPIVOTDATA("Area AGM",#REF!,"Dealer",""&amp;$S$18&amp;"","Model",""&amp;$B8&amp;"","Umur Outstansing",""&amp;D$2&amp;""),0)</f>
        <v>0</v>
      </c>
      <c r="E8" s="248">
        <f>IFERROR(GETPIVOTDATA("Area AGM",#REF!,"Dealer",""&amp;$S$18&amp;"","Model",""&amp;$B8&amp;"","Umur Outstansing",""&amp;E$2&amp;""),0)</f>
        <v>0</v>
      </c>
      <c r="F8" s="248">
        <f>IFERROR(GETPIVOTDATA("Area AGM",#REF!,"Dealer",""&amp;$S$18&amp;"","Model",""&amp;$B8&amp;"","Umur Outstansing",""&amp;F$2&amp;""),0)</f>
        <v>0</v>
      </c>
      <c r="G8" s="248">
        <f>IFERROR(GETPIVOTDATA("Area AGM",#REF!,"Dealer",""&amp;$S$18&amp;"","Model",""&amp;$B8&amp;"","Umur Outstansing",""&amp;G$2&amp;""),0)</f>
        <v>0</v>
      </c>
      <c r="H8" s="248">
        <f>IFERROR(GETPIVOTDATA("Area AGM",#REF!,"Dealer",""&amp;$S$18&amp;"","Model",""&amp;$B8&amp;"","Umur Outstansing",""&amp;H$2&amp;""),0)</f>
        <v>0</v>
      </c>
      <c r="I8" s="248">
        <f t="shared" si="0"/>
        <v>0</v>
      </c>
      <c r="J8" s="248">
        <f>IFERROR(GETPIVOTDATA("Area AGM",#REF!,"Dealer",""&amp;$S$18&amp;"","Model",""&amp;$B8&amp;""),0)</f>
        <v>0</v>
      </c>
      <c r="K8" s="248">
        <f>IFERROR(GETPIVOTDATA("Area AGM",#REF!,"Dealer",""&amp;$S$18&amp;"","Model",""&amp;$B8&amp;""),0)</f>
        <v>0</v>
      </c>
      <c r="L8" s="249"/>
      <c r="P8" s="226" t="s">
        <v>122</v>
      </c>
    </row>
    <row r="9" spans="2:16">
      <c r="B9" s="250" t="s">
        <v>123</v>
      </c>
      <c r="C9" s="248">
        <f t="shared" si="1"/>
        <v>0</v>
      </c>
      <c r="D9" s="248">
        <f>IFERROR(GETPIVOTDATA("Area AGM",#REF!,"Dealer",""&amp;$S$18&amp;"","Model",""&amp;$B9&amp;"","Umur Outstansing",""&amp;D$2&amp;""),0)</f>
        <v>0</v>
      </c>
      <c r="E9" s="248">
        <f>IFERROR(GETPIVOTDATA("Area AGM",#REF!,"Dealer",""&amp;$S$18&amp;"","Model",""&amp;$B9&amp;"","Umur Outstansing",""&amp;E$2&amp;""),0)</f>
        <v>0</v>
      </c>
      <c r="F9" s="248">
        <f>IFERROR(GETPIVOTDATA("Area AGM",#REF!,"Dealer",""&amp;$S$18&amp;"","Model",""&amp;$B9&amp;"","Umur Outstansing",""&amp;F$2&amp;""),0)</f>
        <v>0</v>
      </c>
      <c r="G9" s="248">
        <f>IFERROR(GETPIVOTDATA("Area AGM",#REF!,"Dealer",""&amp;$S$18&amp;"","Model",""&amp;$B9&amp;"","Umur Outstansing",""&amp;G$2&amp;""),0)</f>
        <v>0</v>
      </c>
      <c r="H9" s="248">
        <f>IFERROR(GETPIVOTDATA("Area AGM",#REF!,"Dealer",""&amp;$S$18&amp;"","Model",""&amp;$B9&amp;"","Umur Outstansing",""&amp;H$2&amp;""),0)</f>
        <v>0</v>
      </c>
      <c r="I9" s="248">
        <f t="shared" si="0"/>
        <v>0</v>
      </c>
      <c r="J9" s="248">
        <f>IFERROR(GETPIVOTDATA("Area AGM",#REF!,"Dealer",""&amp;$S$18&amp;"","Model",""&amp;$B9&amp;""),0)</f>
        <v>0</v>
      </c>
      <c r="K9" s="248">
        <f>IFERROR(GETPIVOTDATA("Area AGM",#REF!,"Dealer",""&amp;$S$18&amp;"","Model",""&amp;$B9&amp;""),0)</f>
        <v>0</v>
      </c>
      <c r="L9" s="249"/>
      <c r="P9" s="226" t="s">
        <v>124</v>
      </c>
    </row>
    <row r="10" spans="2:16">
      <c r="B10" s="250" t="s">
        <v>125</v>
      </c>
      <c r="C10" s="248">
        <f t="shared" si="1"/>
        <v>0</v>
      </c>
      <c r="D10" s="248">
        <f>IFERROR(GETPIVOTDATA("Area AGM",#REF!,"Dealer",""&amp;$S$18&amp;"","Model",""&amp;$B10&amp;"","Umur Outstansing",""&amp;D$2&amp;""),0)</f>
        <v>0</v>
      </c>
      <c r="E10" s="248">
        <f>IFERROR(GETPIVOTDATA("Area AGM",#REF!,"Dealer",""&amp;$S$18&amp;"","Model",""&amp;$B10&amp;"","Umur Outstansing",""&amp;E$2&amp;""),0)</f>
        <v>0</v>
      </c>
      <c r="F10" s="248">
        <f>IFERROR(GETPIVOTDATA("Area AGM",#REF!,"Dealer",""&amp;$S$18&amp;"","Model",""&amp;$B10&amp;"","Umur Outstansing",""&amp;F$2&amp;""),0)</f>
        <v>0</v>
      </c>
      <c r="G10" s="248">
        <f>IFERROR(GETPIVOTDATA("Area AGM",#REF!,"Dealer",""&amp;$S$18&amp;"","Model",""&amp;$B10&amp;"","Umur Outstansing",""&amp;G$2&amp;""),0)</f>
        <v>0</v>
      </c>
      <c r="H10" s="248">
        <f>IFERROR(GETPIVOTDATA("Area AGM",#REF!,"Dealer",""&amp;$S$18&amp;"","Model",""&amp;$B10&amp;"","Umur Outstansing",""&amp;H$2&amp;""),0)</f>
        <v>0</v>
      </c>
      <c r="I10" s="248">
        <f t="shared" si="0"/>
        <v>0</v>
      </c>
      <c r="J10" s="248">
        <f>IFERROR(GETPIVOTDATA("Area AGM",#REF!,"Dealer",""&amp;$S$18&amp;"","Model",""&amp;$B10&amp;""),0)</f>
        <v>0</v>
      </c>
      <c r="K10" s="248">
        <f>IFERROR(GETPIVOTDATA("Area AGM",#REF!,"Dealer",""&amp;$S$18&amp;"","Model",""&amp;$B10&amp;""),0)</f>
        <v>0</v>
      </c>
      <c r="L10" s="249"/>
      <c r="P10" s="226" t="s">
        <v>126</v>
      </c>
    </row>
    <row r="11" spans="2:16">
      <c r="B11" s="250" t="s">
        <v>127</v>
      </c>
      <c r="C11" s="248">
        <f t="shared" si="1"/>
        <v>0</v>
      </c>
      <c r="D11" s="248">
        <f>IFERROR(GETPIVOTDATA("Area AGM",#REF!,"Dealer",""&amp;$S$18&amp;"","Model",""&amp;$B11&amp;"","Umur Outstansing",""&amp;D$2&amp;""),0)</f>
        <v>0</v>
      </c>
      <c r="E11" s="248">
        <f>IFERROR(GETPIVOTDATA("Area AGM",#REF!,"Dealer",""&amp;$S$18&amp;"","Model",""&amp;$B11&amp;"","Umur Outstansing",""&amp;E$2&amp;""),0)</f>
        <v>0</v>
      </c>
      <c r="F11" s="248">
        <f>IFERROR(GETPIVOTDATA("Area AGM",#REF!,"Dealer",""&amp;$S$18&amp;"","Model",""&amp;$B11&amp;"","Umur Outstansing",""&amp;F$2&amp;""),0)</f>
        <v>0</v>
      </c>
      <c r="G11" s="248">
        <f>IFERROR(GETPIVOTDATA("Area AGM",#REF!,"Dealer",""&amp;$S$18&amp;"","Model",""&amp;$B11&amp;"","Umur Outstansing",""&amp;G$2&amp;""),0)</f>
        <v>0</v>
      </c>
      <c r="H11" s="248">
        <f>IFERROR(GETPIVOTDATA("Area AGM",#REF!,"Dealer",""&amp;$S$18&amp;"","Model",""&amp;$B11&amp;"","Umur Outstansing",""&amp;H$2&amp;""),0)</f>
        <v>0</v>
      </c>
      <c r="I11" s="248">
        <f t="shared" si="0"/>
        <v>0</v>
      </c>
      <c r="J11" s="248">
        <f>IFERROR(GETPIVOTDATA("Area AGM",#REF!,"Dealer",""&amp;$S$18&amp;"","Model",""&amp;$B11&amp;""),0)</f>
        <v>0</v>
      </c>
      <c r="K11" s="248">
        <f>IFERROR(GETPIVOTDATA("Area AGM",#REF!,"Dealer",""&amp;$S$18&amp;"","Model",""&amp;$B11&amp;""),0)</f>
        <v>0</v>
      </c>
      <c r="L11" s="249"/>
      <c r="P11" s="226" t="s">
        <v>128</v>
      </c>
    </row>
    <row r="12" spans="2:16">
      <c r="B12" s="250" t="s">
        <v>129</v>
      </c>
      <c r="C12" s="248">
        <f t="shared" si="1"/>
        <v>0</v>
      </c>
      <c r="D12" s="248">
        <f>IFERROR(GETPIVOTDATA("Area AGM",#REF!,"Dealer",""&amp;$S$18&amp;"","Model",""&amp;$B12&amp;"","Umur Outstansing",""&amp;D$2&amp;""),0)</f>
        <v>0</v>
      </c>
      <c r="E12" s="248">
        <f>IFERROR(GETPIVOTDATA("Area AGM",#REF!,"Dealer",""&amp;$S$18&amp;"","Model",""&amp;$B12&amp;"","Umur Outstansing",""&amp;E$2&amp;""),0)</f>
        <v>0</v>
      </c>
      <c r="F12" s="248">
        <f>IFERROR(GETPIVOTDATA("Area AGM",#REF!,"Dealer",""&amp;$S$18&amp;"","Model",""&amp;$B12&amp;"","Umur Outstansing",""&amp;F$2&amp;""),0)</f>
        <v>0</v>
      </c>
      <c r="G12" s="248">
        <f>IFERROR(GETPIVOTDATA("Area AGM",#REF!,"Dealer",""&amp;$S$18&amp;"","Model",""&amp;$B12&amp;"","Umur Outstansing",""&amp;G$2&amp;""),0)</f>
        <v>0</v>
      </c>
      <c r="H12" s="248">
        <f>IFERROR(GETPIVOTDATA("Area AGM",#REF!,"Dealer",""&amp;$S$18&amp;"","Model",""&amp;$B12&amp;"","Umur Outstansing",""&amp;H$2&amp;""),0)</f>
        <v>0</v>
      </c>
      <c r="I12" s="248">
        <f t="shared" si="0"/>
        <v>0</v>
      </c>
      <c r="J12" s="248">
        <f>IFERROR(GETPIVOTDATA("Area AGM",#REF!,"Dealer",""&amp;$S$18&amp;"","Model",""&amp;$B12&amp;""),0)</f>
        <v>0</v>
      </c>
      <c r="K12" s="248">
        <f>IFERROR(GETPIVOTDATA("Area AGM",#REF!,"Dealer",""&amp;$S$18&amp;"","Model",""&amp;$B12&amp;""),0)</f>
        <v>0</v>
      </c>
      <c r="L12" s="249"/>
      <c r="P12" s="226" t="s">
        <v>130</v>
      </c>
    </row>
    <row r="13" spans="2:16">
      <c r="B13" s="250" t="s">
        <v>131</v>
      </c>
      <c r="C13" s="248">
        <f t="shared" si="1"/>
        <v>0</v>
      </c>
      <c r="D13" s="248">
        <f>IFERROR(GETPIVOTDATA("Area AGM",#REF!,"Dealer",""&amp;$S$18&amp;"","Model",""&amp;$B13&amp;"","Umur Outstansing",""&amp;D$2&amp;""),0)</f>
        <v>0</v>
      </c>
      <c r="E13" s="248">
        <f>IFERROR(GETPIVOTDATA("Area AGM",#REF!,"Dealer",""&amp;$S$18&amp;"","Model",""&amp;$B13&amp;"","Umur Outstansing",""&amp;E$2&amp;""),0)</f>
        <v>0</v>
      </c>
      <c r="F13" s="248">
        <f>IFERROR(GETPIVOTDATA("Area AGM",#REF!,"Dealer",""&amp;$S$18&amp;"","Model",""&amp;$B13&amp;"","Umur Outstansing",""&amp;F$2&amp;""),0)</f>
        <v>0</v>
      </c>
      <c r="G13" s="248">
        <f>IFERROR(GETPIVOTDATA("Area AGM",#REF!,"Dealer",""&amp;$S$18&amp;"","Model",""&amp;$B13&amp;"","Umur Outstansing",""&amp;G$2&amp;""),0)</f>
        <v>0</v>
      </c>
      <c r="H13" s="248">
        <f>IFERROR(GETPIVOTDATA("Area AGM",#REF!,"Dealer",""&amp;$S$18&amp;"","Model",""&amp;$B13&amp;"","Umur Outstansing",""&amp;H$2&amp;""),0)</f>
        <v>0</v>
      </c>
      <c r="I13" s="248">
        <f t="shared" si="0"/>
        <v>0</v>
      </c>
      <c r="J13" s="248">
        <f>IFERROR(GETPIVOTDATA("Area AGM",#REF!,"Dealer",""&amp;$S$18&amp;"","Model",""&amp;$B13&amp;""),0)</f>
        <v>0</v>
      </c>
      <c r="K13" s="248">
        <f>IFERROR(GETPIVOTDATA("Area AGM",#REF!,"Dealer",""&amp;$S$18&amp;"","Model",""&amp;$B13&amp;""),0)</f>
        <v>0</v>
      </c>
      <c r="L13" s="249"/>
      <c r="P13" s="226" t="s">
        <v>132</v>
      </c>
    </row>
    <row r="14" spans="2:16">
      <c r="B14" s="250" t="s">
        <v>133</v>
      </c>
      <c r="C14" s="248">
        <f t="shared" si="1"/>
        <v>0</v>
      </c>
      <c r="D14" s="248">
        <f>IFERROR(GETPIVOTDATA("Area AGM",#REF!,"Dealer",""&amp;$S$18&amp;"","Model",""&amp;$B14&amp;"","Umur Outstansing",""&amp;D$2&amp;""),0)</f>
        <v>0</v>
      </c>
      <c r="E14" s="248">
        <f>IFERROR(GETPIVOTDATA("Area AGM",#REF!,"Dealer",""&amp;$S$18&amp;"","Model",""&amp;$B14&amp;"","Umur Outstansing",""&amp;E$2&amp;""),0)</f>
        <v>0</v>
      </c>
      <c r="F14" s="248">
        <f>IFERROR(GETPIVOTDATA("Area AGM",#REF!,"Dealer",""&amp;$S$18&amp;"","Model",""&amp;$B14&amp;"","Umur Outstansing",""&amp;F$2&amp;""),0)</f>
        <v>0</v>
      </c>
      <c r="G14" s="248">
        <f>IFERROR(GETPIVOTDATA("Area AGM",#REF!,"Dealer",""&amp;$S$18&amp;"","Model",""&amp;$B14&amp;"","Umur Outstansing",""&amp;G$2&amp;""),0)</f>
        <v>0</v>
      </c>
      <c r="H14" s="248">
        <f>IFERROR(GETPIVOTDATA("Area AGM",#REF!,"Dealer",""&amp;$S$18&amp;"","Model",""&amp;$B14&amp;"","Umur Outstansing",""&amp;H$2&amp;""),0)</f>
        <v>0</v>
      </c>
      <c r="I14" s="248">
        <f t="shared" si="0"/>
        <v>0</v>
      </c>
      <c r="J14" s="248">
        <f>IFERROR(GETPIVOTDATA("Area AGM",#REF!,"Dealer",""&amp;$S$18&amp;"","Model",""&amp;$B14&amp;""),0)</f>
        <v>0</v>
      </c>
      <c r="K14" s="248">
        <f>IFERROR(GETPIVOTDATA("Area AGM",#REF!,"Dealer",""&amp;$S$18&amp;"","Model",""&amp;$B14&amp;""),0)</f>
        <v>0</v>
      </c>
      <c r="L14" s="249"/>
      <c r="P14" s="226" t="s">
        <v>134</v>
      </c>
    </row>
    <row r="15" spans="2:16">
      <c r="B15" s="250" t="s">
        <v>135</v>
      </c>
      <c r="C15" s="248">
        <f t="shared" si="1"/>
        <v>0</v>
      </c>
      <c r="D15" s="248">
        <f>IFERROR(GETPIVOTDATA("Area AGM",#REF!,"Dealer",""&amp;$S$18&amp;"","Model",""&amp;$B15&amp;"","Umur Outstansing",""&amp;D$2&amp;""),0)</f>
        <v>0</v>
      </c>
      <c r="E15" s="248">
        <f>IFERROR(GETPIVOTDATA("Area AGM",#REF!,"Dealer",""&amp;$S$18&amp;"","Model",""&amp;$B15&amp;"","Umur Outstansing",""&amp;E$2&amp;""),0)</f>
        <v>0</v>
      </c>
      <c r="F15" s="248">
        <f>IFERROR(GETPIVOTDATA("Area AGM",#REF!,"Dealer",""&amp;$S$18&amp;"","Model",""&amp;$B15&amp;"","Umur Outstansing",""&amp;F$2&amp;""),0)</f>
        <v>0</v>
      </c>
      <c r="G15" s="248">
        <f>IFERROR(GETPIVOTDATA("Area AGM",#REF!,"Dealer",""&amp;$S$18&amp;"","Model",""&amp;$B15&amp;"","Umur Outstansing",""&amp;G$2&amp;""),0)</f>
        <v>0</v>
      </c>
      <c r="H15" s="248">
        <f>IFERROR(GETPIVOTDATA("Area AGM",#REF!,"Dealer",""&amp;$S$18&amp;"","Model",""&amp;$B15&amp;"","Umur Outstansing",""&amp;H$2&amp;""),0)</f>
        <v>0</v>
      </c>
      <c r="I15" s="248">
        <f t="shared" si="0"/>
        <v>0</v>
      </c>
      <c r="J15" s="248">
        <f>IFERROR(GETPIVOTDATA("Area AGM",#REF!,"Dealer",""&amp;$S$18&amp;"","Model",""&amp;$B15&amp;""),0)</f>
        <v>0</v>
      </c>
      <c r="K15" s="248">
        <f>IFERROR(GETPIVOTDATA("Area AGM",#REF!,"Dealer",""&amp;$S$18&amp;"","Model",""&amp;$B15&amp;""),0)</f>
        <v>0</v>
      </c>
      <c r="L15" s="249"/>
      <c r="P15" s="226" t="s">
        <v>136</v>
      </c>
    </row>
    <row r="16" spans="2:16">
      <c r="B16" s="251" t="s">
        <v>137</v>
      </c>
      <c r="C16" s="252">
        <f t="shared" ref="C16:C17" si="2">SUM(D16:G16)</f>
        <v>0</v>
      </c>
      <c r="D16" s="252">
        <f>SUM(D21:D53)</f>
        <v>0</v>
      </c>
      <c r="E16" s="252">
        <f t="shared" ref="E16:G16" si="3">SUM(E21:E53)</f>
        <v>0</v>
      </c>
      <c r="F16" s="252">
        <f t="shared" si="3"/>
        <v>0</v>
      </c>
      <c r="G16" s="252">
        <f t="shared" si="3"/>
        <v>0</v>
      </c>
      <c r="H16" s="252">
        <f t="shared" ref="H16" si="4">SUM(H21:H52)</f>
        <v>0</v>
      </c>
      <c r="I16" s="252">
        <f t="shared" si="0"/>
        <v>0</v>
      </c>
      <c r="J16" s="252">
        <f t="shared" ref="J16:K16" si="5">SUM(J21:J53)</f>
        <v>0</v>
      </c>
      <c r="K16" s="252">
        <f t="shared" si="5"/>
        <v>0</v>
      </c>
      <c r="L16" s="249"/>
      <c r="P16" s="226" t="s">
        <v>138</v>
      </c>
    </row>
    <row r="17" spans="2:60">
      <c r="B17" s="253" t="s">
        <v>139</v>
      </c>
      <c r="C17" s="235">
        <f t="shared" si="2"/>
        <v>0</v>
      </c>
      <c r="D17" s="235">
        <f>SUM(D7:D16)</f>
        <v>0</v>
      </c>
      <c r="E17" s="235">
        <f t="shared" ref="E17:H17" si="6">SUM(E7:E16)</f>
        <v>0</v>
      </c>
      <c r="F17" s="235">
        <f t="shared" si="6"/>
        <v>0</v>
      </c>
      <c r="G17" s="235">
        <f t="shared" si="6"/>
        <v>0</v>
      </c>
      <c r="H17" s="235">
        <f t="shared" si="6"/>
        <v>0</v>
      </c>
      <c r="I17" s="235">
        <f t="shared" ref="I17" si="7">SUM(I7:I16)</f>
        <v>0</v>
      </c>
      <c r="J17" s="235">
        <f t="shared" ref="J17" si="8">SUM(J7:J16)</f>
        <v>0</v>
      </c>
      <c r="K17" s="235">
        <f t="shared" ref="K17" si="9">SUM(K7:K16)</f>
        <v>0</v>
      </c>
      <c r="L17" s="254"/>
      <c r="P17" s="226" t="s">
        <v>140</v>
      </c>
    </row>
    <row r="18" spans="2:60">
      <c r="S18" s="255" t="s">
        <v>122</v>
      </c>
    </row>
    <row r="19" ht="27" customHeight="1" spans="2:60">
      <c r="S19" s="256" t="s">
        <v>141</v>
      </c>
      <c r="T19" s="257" t="s">
        <v>55</v>
      </c>
      <c r="U19" s="258" t="s">
        <v>142</v>
      </c>
      <c r="V19" s="257" t="s">
        <v>143</v>
      </c>
      <c r="W19" s="259" t="s">
        <v>144</v>
      </c>
      <c r="X19" s="260" t="s">
        <v>145</v>
      </c>
      <c r="Y19" s="261" t="s">
        <v>146</v>
      </c>
      <c r="Z19" s="262" t="s">
        <v>147</v>
      </c>
      <c r="AA19" s="263" t="s">
        <v>148</v>
      </c>
      <c r="AB19" s="264" t="s">
        <v>149</v>
      </c>
      <c r="AC19" s="265" t="s">
        <v>150</v>
      </c>
      <c r="AD19" s="265" t="s">
        <v>151</v>
      </c>
      <c r="AE19" s="265" t="s">
        <v>152</v>
      </c>
      <c r="AF19" s="265" t="s">
        <v>94</v>
      </c>
      <c r="AG19" s="265" t="s">
        <v>153</v>
      </c>
      <c r="AH19" s="265" t="s">
        <v>154</v>
      </c>
      <c r="AI19" s="260" t="s">
        <v>155</v>
      </c>
      <c r="AJ19" s="265" t="s">
        <v>156</v>
      </c>
      <c r="AK19" s="260" t="s">
        <v>157</v>
      </c>
      <c r="AL19" s="266" t="s">
        <v>158</v>
      </c>
      <c r="AM19" s="267" t="s">
        <v>86</v>
      </c>
      <c r="AN19" s="268" t="s">
        <v>159</v>
      </c>
      <c r="AO19" s="268" t="s">
        <v>160</v>
      </c>
      <c r="AP19" s="269" t="s">
        <v>161</v>
      </c>
      <c r="AQ19" s="269" t="s">
        <v>162</v>
      </c>
      <c r="AR19" s="270" t="s">
        <v>163</v>
      </c>
      <c r="AS19" s="271"/>
      <c r="AT19" s="267"/>
      <c r="AU19" s="270" t="s">
        <v>164</v>
      </c>
      <c r="AV19" s="271"/>
      <c r="AW19" s="271"/>
      <c r="AX19" s="271"/>
      <c r="AY19" s="271"/>
      <c r="AZ19" s="267"/>
      <c r="BA19" s="272" t="s">
        <v>165</v>
      </c>
      <c r="BB19" s="272"/>
      <c r="BC19" s="272"/>
      <c r="BD19" s="272"/>
    </row>
    <row r="20" ht="27" customHeight="1" spans="2:60">
      <c r="M20" s="227"/>
      <c r="N20" s="227"/>
      <c r="O20" s="227"/>
      <c r="Q20" s="227" t="s">
        <v>166</v>
      </c>
      <c r="R20" s="227" t="s">
        <v>167</v>
      </c>
      <c r="S20" s="273"/>
      <c r="T20" s="274"/>
      <c r="U20" s="275"/>
      <c r="V20" s="274"/>
      <c r="W20" s="276"/>
      <c r="X20" s="277"/>
      <c r="Y20" s="278"/>
      <c r="Z20" s="279"/>
      <c r="AA20" s="280"/>
      <c r="AB20" s="281"/>
      <c r="AC20" s="282"/>
      <c r="AD20" s="282"/>
      <c r="AE20" s="282"/>
      <c r="AF20" s="282"/>
      <c r="AG20" s="282"/>
      <c r="AH20" s="282"/>
      <c r="AI20" s="277"/>
      <c r="AJ20" s="282"/>
      <c r="AK20" s="277"/>
      <c r="AL20" s="283" t="s">
        <v>158</v>
      </c>
      <c r="AM20" s="284"/>
      <c r="AN20" s="285"/>
      <c r="AO20" s="285"/>
      <c r="AP20" s="269"/>
      <c r="AQ20" s="269"/>
      <c r="AR20" s="286"/>
      <c r="AS20" s="287" t="s">
        <v>168</v>
      </c>
      <c r="AT20" s="288" t="s">
        <v>169</v>
      </c>
      <c r="AU20" s="289"/>
      <c r="AV20" s="290"/>
      <c r="AW20" s="290"/>
      <c r="AX20" s="290"/>
      <c r="AY20" s="290"/>
      <c r="AZ20" s="284"/>
      <c r="BA20" s="288" t="s">
        <v>170</v>
      </c>
      <c r="BB20" s="288" t="s">
        <v>171</v>
      </c>
      <c r="BC20" s="288" t="s">
        <v>172</v>
      </c>
      <c r="BD20" s="288" t="s">
        <v>173</v>
      </c>
    </row>
    <row r="21" ht="26.25" customHeight="1" spans="2:60">
      <c r="B21" s="225" t="s">
        <v>174</v>
      </c>
      <c r="C21" s="227">
        <f t="shared" ref="C21:C52" si="10">SUM(D21:G21)</f>
        <v>0</v>
      </c>
      <c r="D21" s="227">
        <f>IFERROR(GETPIVOTDATA("Area AGM",#REF!,"Dealer",""&amp;$S$18&amp;"","Model",""&amp;$B21&amp;"","Umur Outstansing",""&amp;D$2&amp;""),0)</f>
        <v>0</v>
      </c>
      <c r="E21" s="227">
        <f>IFERROR(GETPIVOTDATA("Area AGM",#REF!,"Dealer",""&amp;$S$18&amp;"","Model",""&amp;$B21&amp;"","Umur Outstansing",""&amp;E$2&amp;""),0)</f>
        <v>0</v>
      </c>
      <c r="F21" s="227">
        <f>IFERROR(GETPIVOTDATA("Area AGM",#REF!,"Dealer",""&amp;$S$18&amp;"","Model",""&amp;$B21&amp;"","Umur Outstansing",""&amp;F$2&amp;""),0)</f>
        <v>0</v>
      </c>
      <c r="G21" s="227">
        <f>IFERROR(GETPIVOTDATA("Area AGM",#REF!,"Dealer",""&amp;$S$18&amp;"","Model",""&amp;$B21&amp;"","Umur Outstansing",""&amp;G$2&amp;""),0)</f>
        <v>0</v>
      </c>
      <c r="H21" s="227">
        <f>IFERROR(GETPIVOTDATA("Area AGM",#REF!,"Dealer",""&amp;$S$18&amp;"","Model",""&amp;$B21&amp;"","Umur Outstansing",""&amp;H$2&amp;""),0)</f>
        <v>0</v>
      </c>
      <c r="J21" s="227">
        <f>IFERROR(GETPIVOTDATA("Area AGM",#REF!,"Dealer",""&amp;$S$18&amp;"","Model",""&amp;$B21&amp;""),0)</f>
        <v>0</v>
      </c>
      <c r="K21" s="227">
        <f>IFERROR(GETPIVOTDATA("Area AGM",#REF!,"Dealer",""&amp;$S$18&amp;"","Model",""&amp;$B21&amp;""),0)</f>
        <v>0</v>
      </c>
      <c r="M21" s="227"/>
      <c r="O21" s="227"/>
      <c r="P21" s="226" t="s">
        <v>118</v>
      </c>
      <c r="Q21" s="291">
        <f t="shared" ref="Q21:Q31" si="11">IFERROR(R21/AI21,0)</f>
        <v>0</v>
      </c>
      <c r="R21" s="227">
        <f>IFERROR(GETPIVOTDATA("RS Target",#REF!,"Dealer",""&amp;$S$18&amp;"","Model",""&amp;$P21&amp;""),0)</f>
        <v>0</v>
      </c>
      <c r="S21" s="244" t="s">
        <v>118</v>
      </c>
      <c r="T21" s="292">
        <f>SUM(Y21:AB21,AO21)</f>
        <v>0</v>
      </c>
      <c r="U21" s="292">
        <f>IFERROR(GETPIVOTDATA("Area AGM",'Pvt OS'!#REF!,"Dealer",""&amp;$S$18&amp;"","Model",""&amp;$S21&amp;""),0)</f>
        <v>0</v>
      </c>
      <c r="V21" s="292">
        <f>W21-X21</f>
        <v>0</v>
      </c>
      <c r="W21" s="293">
        <f>IFERROR(GETPIVOTDATA("Area AGM",'Pvt OS'!#REF!,"Dealer",""&amp;$S$18&amp;"","Model",""&amp;$S21&amp;""),0)+IFERROR(GETPIVOTDATA("Area AGM",'Pvt OS'!$A$8,"Dealer",""&amp;$S$18&amp;"","Model",""&amp;$S21&amp;""),0)</f>
        <v>0</v>
      </c>
      <c r="X21" s="294">
        <f>SUM(Y21:AB21)</f>
        <v>0</v>
      </c>
      <c r="Y21" s="294">
        <f>IFERROR(GETPIVOTDATA("Area AGM",'Pvt OS'!$U$8,"Dealer",""&amp;$S$18&amp;"","Model",""&amp;$S21&amp;""),0)</f>
        <v>0</v>
      </c>
      <c r="Z21" s="294">
        <f>IFERROR(GETPIVOTDATA("Area AGM",'Pvt OS'!$M$8,"Dealer",""&amp;$S$18&amp;"","Model",""&amp;$S21&amp;""),0)</f>
        <v>0</v>
      </c>
      <c r="AA21" s="294">
        <f>IFERROR(GETPIVOTDATA("Area AGM",'Pvt OS'!#REF!,"Dealer",""&amp;$S$18&amp;"","Model",""&amp;$S21&amp;""),0)</f>
        <v>0</v>
      </c>
      <c r="AB21" s="294">
        <f>IFERROR(GETPIVOTDATA("Area AGM",'Pvt OS'!$AO$8,"Dealer",""&amp;$S$18&amp;"","Model",""&amp;$S21&amp;""),0)</f>
        <v>0</v>
      </c>
      <c r="AC21" s="294">
        <f>IFERROR(GETPIVOTDATA("Stock",#REF!,"Dealer",""&amp;$S$18&amp;"","Model",""&amp;$S21&amp;""),0)</f>
        <v>0</v>
      </c>
      <c r="AD21" s="294">
        <f>IFERROR(GETPIVOTDATA("MDP",#REF!,"Dealer",""&amp;$S$18&amp;"","Model",""&amp;$S21&amp;""),0)</f>
        <v>0</v>
      </c>
      <c r="AE21" s="293">
        <f>IFERROR(GETPIVOTDATA("RRN",#REF!,"Model2",""&amp;$S21&amp;"","Dealer",""&amp;$S$18&amp;""),0)</f>
        <v>0</v>
      </c>
      <c r="AF21" s="293">
        <f>IFERROR(GETPIVOTDATA("CO",#REF!,"Dealer Name",""&amp;$S$18&amp;"","Model",""&amp;$S21&amp;""),0)</f>
        <v>0</v>
      </c>
      <c r="AG21" s="294">
        <f>IFERROR(GETPIVOTDATA("Sum of Distplan Final",#REF!,"Dealer",""&amp;$S$18&amp;"","Model",""&amp;$S21&amp;""),0)</f>
        <v>0</v>
      </c>
      <c r="AH21" s="294">
        <f>IFERROR(GETPIVOTDATA("RRN",#REF!,"Model",""&amp;$S21&amp;"","Dealer",""&amp;$S$18&amp;""),0)</f>
        <v>0</v>
      </c>
      <c r="AI21" s="294">
        <f>AC21+AD21+AF21+AG21-AH21</f>
        <v>0</v>
      </c>
      <c r="AJ21" s="294">
        <f>IFERROR(GETPIVOTDATA("volume_rs",#REF!,"Model",""&amp;$S21&amp;"","Dealer",""&amp;$S$18&amp;""),0)</f>
        <v>0</v>
      </c>
      <c r="AK21" s="295">
        <f>AI21-AJ21-X21+AN21</f>
        <v>0</v>
      </c>
      <c r="AL21" s="295">
        <f>IFERROR(GETPIVOTDATA("Area AGM",'Pvt OS'!#REF!,"Dealer",""&amp;$S$18&amp;"","Model",""&amp;$S21&amp;""),0)</f>
        <v>0</v>
      </c>
      <c r="AM21" s="292">
        <f t="shared" ref="AM21:AM30" si="12">AK21+AL21</f>
        <v>0</v>
      </c>
      <c r="AN21" s="295">
        <f>IFERROR(GETPIVOTDATA("Row Labels",#REF!,"Dealer",""&amp;$S$18&amp;"","Model",""&amp;$S21&amp;""),0)</f>
        <v>0</v>
      </c>
      <c r="AO21" s="295">
        <f>IFERROR(GETPIVOTDATA("RS Afi",#REF!,"Dealer",""&amp;$S$18&amp;"","Model",""&amp;$S21&amp;""),0)</f>
        <v>0</v>
      </c>
      <c r="AP21" s="295">
        <f>IFERROR(GETPIVOTDATA("qty",#REF!,"Model",""&amp;$S21&amp;"","Dealer",""&amp;$S$18&amp;""),0)</f>
        <v>0</v>
      </c>
      <c r="AQ21" s="295">
        <f>IFERROR(GETPIVOTDATA("volume_rs",#REF!,"Model",""&amp;$S21&amp;"","Dealer",""&amp;$S$18&amp;""),0)</f>
        <v>0</v>
      </c>
      <c r="AR21" s="294">
        <f t="shared" ref="AR21:AR31" si="13">AP21-AQ21</f>
        <v>0</v>
      </c>
      <c r="AS21" s="294">
        <f>IFERROR(GETPIVOTDATA("Area AGM",'Pvt OS'!#REF!,"Dealer",""&amp;$S$18&amp;"","Model",""&amp;$S21&amp;""),0)</f>
        <v>0</v>
      </c>
      <c r="AT21" s="294">
        <f>AR21-AS21</f>
        <v>0</v>
      </c>
      <c r="AU21" s="296" t="s">
        <v>175</v>
      </c>
      <c r="AV21" s="297"/>
      <c r="AW21" s="297"/>
      <c r="AX21" s="297"/>
      <c r="AY21" s="297"/>
      <c r="AZ21" s="298"/>
      <c r="BA21" s="299" t="e">
        <f>#REF!</f>
        <v>#REF!</v>
      </c>
      <c r="BB21" s="300" t="e">
        <f>#REF!</f>
        <v>#REF!</v>
      </c>
      <c r="BC21" s="299" t="e">
        <f>#REF!</f>
        <v>#REF!</v>
      </c>
      <c r="BD21" s="301" t="e">
        <f>#REF!</f>
        <v>#REF!</v>
      </c>
      <c r="BE21" s="302"/>
      <c r="BH21" s="303"/>
    </row>
    <row r="22" ht="26.25" customHeight="1" spans="2:60">
      <c r="B22" s="225" t="s">
        <v>176</v>
      </c>
      <c r="C22" s="227">
        <f t="shared" si="10"/>
        <v>0</v>
      </c>
      <c r="D22" s="227">
        <f>IFERROR(GETPIVOTDATA("Area AGM",#REF!,"Dealer",""&amp;$S$18&amp;"","Model",""&amp;$B22&amp;"","Umur Outstansing",""&amp;D$2&amp;""),0)</f>
        <v>0</v>
      </c>
      <c r="E22" s="227">
        <f>IFERROR(GETPIVOTDATA("Area AGM",#REF!,"Dealer",""&amp;$S$18&amp;"","Model",""&amp;$B22&amp;"","Umur Outstansing",""&amp;E$2&amp;""),0)</f>
        <v>0</v>
      </c>
      <c r="F22" s="227">
        <f>IFERROR(GETPIVOTDATA("Area AGM",#REF!,"Dealer",""&amp;$S$18&amp;"","Model",""&amp;$B22&amp;"","Umur Outstansing",""&amp;F$2&amp;""),0)</f>
        <v>0</v>
      </c>
      <c r="G22" s="227">
        <f>IFERROR(GETPIVOTDATA("Area AGM",#REF!,"Dealer",""&amp;$S$18&amp;"","Model",""&amp;$B22&amp;"","Umur Outstansing",""&amp;G$2&amp;""),0)</f>
        <v>0</v>
      </c>
      <c r="H22" s="227">
        <f>IFERROR(GETPIVOTDATA("Area AGM",#REF!,"Dealer",""&amp;$S$18&amp;"","Model",""&amp;$B22&amp;"","Umur Outstansing",""&amp;H$2&amp;""),0)</f>
        <v>0</v>
      </c>
      <c r="J22" s="227">
        <f>IFERROR(GETPIVOTDATA("Area AGM",#REF!,"Dealer",""&amp;$S$18&amp;"","Model",""&amp;$B22&amp;""),0)</f>
        <v>0</v>
      </c>
      <c r="K22" s="227">
        <f>IFERROR(GETPIVOTDATA("Area AGM",#REF!,"Dealer",""&amp;$S$18&amp;"","Model",""&amp;$B22&amp;""),0)</f>
        <v>0</v>
      </c>
      <c r="M22" s="227"/>
      <c r="O22" s="227"/>
      <c r="P22" s="226" t="s">
        <v>121</v>
      </c>
      <c r="Q22" s="291">
        <f t="shared" si="11"/>
        <v>0</v>
      </c>
      <c r="R22" s="227">
        <f>IFERROR(GETPIVOTDATA("RS Target",#REF!,"Dealer",""&amp;$S$18&amp;"","Model",""&amp;$P22&amp;""),0)</f>
        <v>0</v>
      </c>
      <c r="S22" s="247" t="s">
        <v>121</v>
      </c>
      <c r="T22" s="304">
        <f t="shared" ref="T22:T31" si="14">SUM(Y22:AB22,AO22)</f>
        <v>0</v>
      </c>
      <c r="U22" s="304">
        <f>IFERROR(GETPIVOTDATA("Area AGM",'Pvt OS'!#REF!,"Dealer",""&amp;$S$18&amp;"","Model",""&amp;$S22&amp;""),0)</f>
        <v>0</v>
      </c>
      <c r="V22" s="304">
        <f t="shared" ref="V22:V31" si="15">W22-X22</f>
        <v>0</v>
      </c>
      <c r="W22" s="305">
        <f>IFERROR(GETPIVOTDATA("Area AGM",'Pvt OS'!#REF!,"Dealer",""&amp;$S$18&amp;"","Model",""&amp;$S22&amp;""),0)+IFERROR(GETPIVOTDATA("Area AGM",'Pvt OS'!$A$8,"Dealer",""&amp;$S$18&amp;"","Model",""&amp;$S22&amp;""),0)</f>
        <v>0</v>
      </c>
      <c r="X22" s="306">
        <f t="shared" ref="X22:X24" si="16">SUM(Y22:AB22)</f>
        <v>0</v>
      </c>
      <c r="Y22" s="306">
        <f>IFERROR(GETPIVOTDATA("Area AGM",'Pvt OS'!$U$8,"Dealer",""&amp;$S$18&amp;"","Model",""&amp;$S22&amp;""),0)</f>
        <v>0</v>
      </c>
      <c r="Z22" s="306">
        <f>IFERROR(GETPIVOTDATA("Area AGM",'Pvt OS'!$M$8,"Dealer",""&amp;$S$18&amp;"","Model",""&amp;$S22&amp;""),0)</f>
        <v>0</v>
      </c>
      <c r="AA22" s="306">
        <f>IFERROR(GETPIVOTDATA("Area AGM",'Pvt OS'!#REF!,"Dealer",""&amp;$S$18&amp;"","Model",""&amp;$S22&amp;""),0)</f>
        <v>0</v>
      </c>
      <c r="AB22" s="306">
        <f>IFERROR(GETPIVOTDATA("Area AGM",'Pvt OS'!$AO$8,"Dealer",""&amp;$S$18&amp;"","Model",""&amp;$S22&amp;""),0)</f>
        <v>0</v>
      </c>
      <c r="AC22" s="306">
        <f>IFERROR(GETPIVOTDATA("Stock",#REF!,"Dealer",""&amp;$S$18&amp;"","Model",""&amp;$S22&amp;""),0)</f>
        <v>0</v>
      </c>
      <c r="AD22" s="306">
        <f>IFERROR(GETPIVOTDATA("MDP",#REF!,"Dealer",""&amp;$S$18&amp;"","Model",""&amp;$S22&amp;""),0)</f>
        <v>0</v>
      </c>
      <c r="AE22" s="305">
        <f>IFERROR(GETPIVOTDATA("RRN",#REF!,"Model2",""&amp;$S22&amp;"","Dealer",""&amp;$S$18&amp;""),0)</f>
        <v>0</v>
      </c>
      <c r="AF22" s="305">
        <f>IFERROR(GETPIVOTDATA("CO",#REF!,"Dealer Name",""&amp;$S$18&amp;"","Model",""&amp;$S22&amp;""),0)</f>
        <v>0</v>
      </c>
      <c r="AG22" s="306">
        <f>IFERROR(GETPIVOTDATA("Sum of Distplan Final",#REF!,"Dealer",""&amp;$S$18&amp;"","Model",""&amp;$S22&amp;""),0)</f>
        <v>0</v>
      </c>
      <c r="AH22" s="306">
        <f>IFERROR(GETPIVOTDATA("RRN",#REF!,"Model",""&amp;$S22&amp;"","Dealer",""&amp;$S$18&amp;""),0)</f>
        <v>0</v>
      </c>
      <c r="AI22" s="306">
        <f t="shared" ref="AI22:AI31" si="17">AC22+AD22+AF22+AG22-AH22</f>
        <v>0</v>
      </c>
      <c r="AJ22" s="306">
        <f>IFERROR(GETPIVOTDATA("volume_rs",#REF!,"Model",""&amp;$S22&amp;"","Dealer",""&amp;$S$18&amp;""),0)</f>
        <v>0</v>
      </c>
      <c r="AK22" s="307">
        <f t="shared" ref="AK22:AK31" si="18">AI22-AJ22-X22+AN22</f>
        <v>0</v>
      </c>
      <c r="AL22" s="307">
        <f>IFERROR(GETPIVOTDATA("Area AGM",'Pvt OS'!#REF!,"Dealer",""&amp;$S$18&amp;"","Model",""&amp;$S22&amp;""),0)</f>
        <v>0</v>
      </c>
      <c r="AM22" s="304">
        <f t="shared" si="12"/>
        <v>0</v>
      </c>
      <c r="AN22" s="307">
        <f>IFERROR(GETPIVOTDATA("Row Labels",#REF!,"Dealer",""&amp;$S$18&amp;"","Model",""&amp;$S22&amp;""),0)</f>
        <v>0</v>
      </c>
      <c r="AO22" s="307">
        <f>IFERROR(GETPIVOTDATA("RS Afi",#REF!,"Dealer",""&amp;$S$18&amp;"","Model",""&amp;$S22&amp;""),0)</f>
        <v>0</v>
      </c>
      <c r="AP22" s="307">
        <f>IFERROR(GETPIVOTDATA("qty",#REF!,"Model",""&amp;$S22&amp;"","Dealer",""&amp;$S$18&amp;""),0)</f>
        <v>0</v>
      </c>
      <c r="AQ22" s="307">
        <f>IFERROR(GETPIVOTDATA("volume_rs",#REF!,"Model",""&amp;$S22&amp;"","Dealer",""&amp;$S$18&amp;""),0)</f>
        <v>0</v>
      </c>
      <c r="AR22" s="306">
        <f t="shared" si="13"/>
        <v>0</v>
      </c>
      <c r="AS22" s="306">
        <f>IFERROR(GETPIVOTDATA("Area AGM",'Pvt OS'!#REF!,"Dealer",""&amp;$S$18&amp;"","Model",""&amp;$S22&amp;""),0)</f>
        <v>0</v>
      </c>
      <c r="AT22" s="306">
        <f t="shared" ref="AT22:AT31" si="19">AR22-AS22</f>
        <v>0</v>
      </c>
      <c r="AU22" s="308"/>
      <c r="AV22" s="309"/>
      <c r="AW22" s="309"/>
      <c r="AX22" s="309"/>
      <c r="AY22" s="309"/>
      <c r="AZ22" s="310"/>
      <c r="BA22" s="311" t="e">
        <f>#REF!</f>
        <v>#REF!</v>
      </c>
      <c r="BB22" s="312" t="e">
        <f>#REF!</f>
        <v>#REF!</v>
      </c>
      <c r="BC22" s="311" t="e">
        <f>#REF!</f>
        <v>#REF!</v>
      </c>
      <c r="BD22" s="313" t="e">
        <f>#REF!</f>
        <v>#REF!</v>
      </c>
      <c r="BE22" s="302"/>
      <c r="BH22" s="303"/>
    </row>
    <row r="23" ht="26.25" customHeight="1" spans="2:60">
      <c r="B23" s="225" t="s">
        <v>177</v>
      </c>
      <c r="C23" s="227">
        <f t="shared" si="10"/>
        <v>0</v>
      </c>
      <c r="D23" s="227">
        <f>IFERROR(GETPIVOTDATA("Area AGM",#REF!,"Dealer",""&amp;$S$18&amp;"","Model",""&amp;$B23&amp;"","Umur Outstansing",""&amp;D$2&amp;""),0)</f>
        <v>0</v>
      </c>
      <c r="E23" s="227">
        <f>IFERROR(GETPIVOTDATA("Area AGM",#REF!,"Dealer",""&amp;$S$18&amp;"","Model",""&amp;$B23&amp;"","Umur Outstansing",""&amp;E$2&amp;""),0)</f>
        <v>0</v>
      </c>
      <c r="F23" s="227">
        <f>IFERROR(GETPIVOTDATA("Area AGM",#REF!,"Dealer",""&amp;$S$18&amp;"","Model",""&amp;$B23&amp;"","Umur Outstansing",""&amp;F$2&amp;""),0)</f>
        <v>0</v>
      </c>
      <c r="G23" s="227">
        <f>IFERROR(GETPIVOTDATA("Area AGM",#REF!,"Dealer",""&amp;$S$18&amp;"","Model",""&amp;$B23&amp;"","Umur Outstansing",""&amp;G$2&amp;""),0)</f>
        <v>0</v>
      </c>
      <c r="H23" s="227">
        <f>IFERROR(GETPIVOTDATA("Area AGM",#REF!,"Dealer",""&amp;$S$18&amp;"","Model",""&amp;$B23&amp;"","Umur Outstansing",""&amp;H$2&amp;""),0)</f>
        <v>0</v>
      </c>
      <c r="J23" s="227">
        <f>IFERROR(GETPIVOTDATA("Area AGM",#REF!,"Dealer",""&amp;$S$18&amp;"","Model",""&amp;$B23&amp;""),0)</f>
        <v>0</v>
      </c>
      <c r="K23" s="227">
        <f>IFERROR(GETPIVOTDATA("Area AGM",#REF!,"Dealer",""&amp;$S$18&amp;"","Model",""&amp;$B23&amp;""),0)</f>
        <v>0</v>
      </c>
      <c r="M23" s="227"/>
      <c r="O23" s="227"/>
      <c r="P23" s="226" t="s">
        <v>123</v>
      </c>
      <c r="Q23" s="291">
        <f t="shared" si="11"/>
        <v>0</v>
      </c>
      <c r="R23" s="227">
        <f>IFERROR(GETPIVOTDATA("RS Target",#REF!,"Dealer",""&amp;$S$18&amp;"","Model",""&amp;$P23&amp;""),0)</f>
        <v>0</v>
      </c>
      <c r="S23" s="250" t="s">
        <v>123</v>
      </c>
      <c r="T23" s="304">
        <f t="shared" si="14"/>
        <v>0</v>
      </c>
      <c r="U23" s="304">
        <f>IFERROR(GETPIVOTDATA("Area AGM",'Pvt OS'!#REF!,"Dealer",""&amp;$S$18&amp;"","Model",""&amp;$S23&amp;""),0)</f>
        <v>0</v>
      </c>
      <c r="V23" s="304">
        <f t="shared" si="15"/>
        <v>0</v>
      </c>
      <c r="W23" s="305">
        <f>IFERROR(GETPIVOTDATA("Area AGM",'Pvt OS'!#REF!,"Dealer",""&amp;$S$18&amp;"","Model",""&amp;$S23&amp;""),0)+IFERROR(GETPIVOTDATA("Area AGM",'Pvt OS'!$A$8,"Dealer",""&amp;$S$18&amp;"","Model",""&amp;$S23&amp;""),0)</f>
        <v>0</v>
      </c>
      <c r="X23" s="306">
        <f t="shared" si="16"/>
        <v>0</v>
      </c>
      <c r="Y23" s="306">
        <f>IFERROR(GETPIVOTDATA("Area AGM",'Pvt OS'!$U$8,"Dealer",""&amp;$S$18&amp;"","Model",""&amp;$S23&amp;""),0)</f>
        <v>0</v>
      </c>
      <c r="Z23" s="306">
        <f>IFERROR(GETPIVOTDATA("Area AGM",'Pvt OS'!$M$8,"Dealer",""&amp;$S$18&amp;"","Model",""&amp;$S23&amp;""),0)</f>
        <v>0</v>
      </c>
      <c r="AA23" s="306">
        <f>IFERROR(GETPIVOTDATA("Area AGM",'Pvt OS'!#REF!,"Dealer",""&amp;$S$18&amp;"","Model",""&amp;$S23&amp;""),0)</f>
        <v>0</v>
      </c>
      <c r="AB23" s="306">
        <f>IFERROR(GETPIVOTDATA("Area AGM",'Pvt OS'!$AO$8,"Dealer",""&amp;$S$18&amp;"","Model",""&amp;$S23&amp;""),0)</f>
        <v>0</v>
      </c>
      <c r="AC23" s="306">
        <f>IFERROR(GETPIVOTDATA("Stock",#REF!,"Dealer",""&amp;$S$18&amp;"","Model",""&amp;$S23&amp;""),0)</f>
        <v>0</v>
      </c>
      <c r="AD23" s="306">
        <f>IFERROR(GETPIVOTDATA("MDP",#REF!,"Dealer",""&amp;$S$18&amp;"","Model",""&amp;$S23&amp;""),0)</f>
        <v>0</v>
      </c>
      <c r="AE23" s="305">
        <f>IFERROR(GETPIVOTDATA("RRN",#REF!,"Model2",""&amp;$S23&amp;"","Dealer",""&amp;$S$18&amp;""),0)</f>
        <v>0</v>
      </c>
      <c r="AF23" s="305">
        <f>IFERROR(GETPIVOTDATA("CO",#REF!,"Dealer Name",""&amp;$S$18&amp;"","Model",""&amp;$S23&amp;""),0)</f>
        <v>0</v>
      </c>
      <c r="AG23" s="306">
        <f>IFERROR(GETPIVOTDATA("Sum of Distplan Final",#REF!,"Dealer",""&amp;$S$18&amp;"","Model",""&amp;$S23&amp;""),0)</f>
        <v>0</v>
      </c>
      <c r="AH23" s="306">
        <f>IFERROR(GETPIVOTDATA("RRN",#REF!,"Model",""&amp;$S23&amp;"","Dealer",""&amp;$S$18&amp;""),0)</f>
        <v>0</v>
      </c>
      <c r="AI23" s="306">
        <f t="shared" si="17"/>
        <v>0</v>
      </c>
      <c r="AJ23" s="306">
        <f>IFERROR(GETPIVOTDATA("volume_rs",#REF!,"Model",""&amp;$S23&amp;"","Dealer",""&amp;$S$18&amp;""),0)</f>
        <v>0</v>
      </c>
      <c r="AK23" s="307">
        <f t="shared" si="18"/>
        <v>0</v>
      </c>
      <c r="AL23" s="307">
        <f>IFERROR(GETPIVOTDATA("Area AGM",'Pvt OS'!#REF!,"Dealer",""&amp;$S$18&amp;"","Model",""&amp;$S23&amp;""),0)</f>
        <v>0</v>
      </c>
      <c r="AM23" s="304">
        <f t="shared" si="12"/>
        <v>0</v>
      </c>
      <c r="AN23" s="307">
        <f>IFERROR(GETPIVOTDATA("Row Labels",#REF!,"Dealer",""&amp;$S$18&amp;"","Model",""&amp;$S23&amp;""),0)</f>
        <v>0</v>
      </c>
      <c r="AO23" s="307">
        <f>IFERROR(GETPIVOTDATA("RS Afi",#REF!,"Dealer",""&amp;$S$18&amp;"","Model",""&amp;$S23&amp;""),0)</f>
        <v>0</v>
      </c>
      <c r="AP23" s="307">
        <f>IFERROR(GETPIVOTDATA("qty",#REF!,"Model",""&amp;$S23&amp;"","Dealer",""&amp;$S$18&amp;""),0)</f>
        <v>0</v>
      </c>
      <c r="AQ23" s="307">
        <f>IFERROR(GETPIVOTDATA("volume_rs",#REF!,"Model",""&amp;$S23&amp;"","Dealer",""&amp;$S$18&amp;""),0)</f>
        <v>0</v>
      </c>
      <c r="AR23" s="306">
        <f t="shared" si="13"/>
        <v>0</v>
      </c>
      <c r="AS23" s="306">
        <f>IFERROR(GETPIVOTDATA("Area AGM",'Pvt OS'!#REF!,"Dealer",""&amp;$S$18&amp;"","Model",""&amp;$S23&amp;""),0)</f>
        <v>0</v>
      </c>
      <c r="AT23" s="306">
        <f t="shared" si="19"/>
        <v>0</v>
      </c>
      <c r="AU23" s="308"/>
      <c r="AV23" s="309"/>
      <c r="AW23" s="309"/>
      <c r="AX23" s="309"/>
      <c r="AY23" s="309"/>
      <c r="AZ23" s="310"/>
      <c r="BA23" s="311" t="e">
        <f>#REF!</f>
        <v>#REF!</v>
      </c>
      <c r="BB23" s="312" t="e">
        <f>#REF!</f>
        <v>#REF!</v>
      </c>
      <c r="BC23" s="311" t="e">
        <f>#REF!</f>
        <v>#REF!</v>
      </c>
      <c r="BD23" s="313" t="e">
        <f>#REF!</f>
        <v>#REF!</v>
      </c>
      <c r="BE23" s="302"/>
    </row>
    <row r="24" ht="26.25" customHeight="1" spans="2:60">
      <c r="B24" s="225" t="s">
        <v>178</v>
      </c>
      <c r="C24" s="227">
        <f t="shared" si="10"/>
        <v>0</v>
      </c>
      <c r="D24" s="227">
        <f>IFERROR(GETPIVOTDATA("Area AGM",#REF!,"Dealer",""&amp;$S$18&amp;"","Model",""&amp;$B24&amp;"","Umur Outstansing",""&amp;D$2&amp;""),0)</f>
        <v>0</v>
      </c>
      <c r="E24" s="227">
        <f>IFERROR(GETPIVOTDATA("Area AGM",#REF!,"Dealer",""&amp;$S$18&amp;"","Model",""&amp;$B24&amp;"","Umur Outstansing",""&amp;E$2&amp;""),0)</f>
        <v>0</v>
      </c>
      <c r="F24" s="227">
        <f>IFERROR(GETPIVOTDATA("Area AGM",#REF!,"Dealer",""&amp;$S$18&amp;"","Model",""&amp;$B24&amp;"","Umur Outstansing",""&amp;F$2&amp;""),0)</f>
        <v>0</v>
      </c>
      <c r="G24" s="227">
        <f>IFERROR(GETPIVOTDATA("Area AGM",#REF!,"Dealer",""&amp;$S$18&amp;"","Model",""&amp;$B24&amp;"","Umur Outstansing",""&amp;G$2&amp;""),0)</f>
        <v>0</v>
      </c>
      <c r="H24" s="227">
        <f>IFERROR(GETPIVOTDATA("Area AGM",#REF!,"Dealer",""&amp;$S$18&amp;"","Model",""&amp;$B24&amp;"","Umur Outstansing",""&amp;H$2&amp;""),0)</f>
        <v>0</v>
      </c>
      <c r="J24" s="227">
        <f>IFERROR(GETPIVOTDATA("Area AGM",#REF!,"Dealer",""&amp;$S$18&amp;"","Model",""&amp;$B24&amp;""),0)</f>
        <v>0</v>
      </c>
      <c r="K24" s="227">
        <f>IFERROR(GETPIVOTDATA("Area AGM",#REF!,"Dealer",""&amp;$S$18&amp;"","Model",""&amp;$B24&amp;""),0)</f>
        <v>0</v>
      </c>
      <c r="M24" s="227"/>
      <c r="O24" s="227"/>
      <c r="P24" s="226" t="s">
        <v>125</v>
      </c>
      <c r="Q24" s="291">
        <f t="shared" si="11"/>
        <v>0</v>
      </c>
      <c r="R24" s="227">
        <f>IFERROR(GETPIVOTDATA("RS Target",#REF!,"Dealer",""&amp;$S$18&amp;"","Model",""&amp;$P24&amp;""),0)</f>
        <v>0</v>
      </c>
      <c r="S24" s="247" t="s">
        <v>125</v>
      </c>
      <c r="T24" s="314">
        <f t="shared" si="14"/>
        <v>0</v>
      </c>
      <c r="U24" s="314">
        <f>IFERROR(GETPIVOTDATA("Area AGM",'Pvt OS'!#REF!,"Dealer",""&amp;$S$18&amp;"","Model",""&amp;$S24&amp;""),0)</f>
        <v>0</v>
      </c>
      <c r="V24" s="314">
        <f t="shared" si="15"/>
        <v>0</v>
      </c>
      <c r="W24" s="315">
        <f>IFERROR(GETPIVOTDATA("Area AGM",'Pvt OS'!#REF!,"Dealer",""&amp;$S$18&amp;"","Model",""&amp;$S24&amp;""),0)+IFERROR(GETPIVOTDATA("Area AGM",'Pvt OS'!$A$8,"Dealer",""&amp;$S$18&amp;"","Model",""&amp;$S24&amp;""),0)</f>
        <v>0</v>
      </c>
      <c r="X24" s="316">
        <f t="shared" si="16"/>
        <v>0</v>
      </c>
      <c r="Y24" s="316">
        <f>IFERROR(GETPIVOTDATA("Area AGM",'Pvt OS'!$U$8,"Dealer",""&amp;$S$18&amp;"","Model",""&amp;$S24&amp;""),0)</f>
        <v>0</v>
      </c>
      <c r="Z24" s="316">
        <f>IFERROR(GETPIVOTDATA("Area AGM",'Pvt OS'!$M$8,"Dealer",""&amp;$S$18&amp;"","Model",""&amp;$S24&amp;""),0)</f>
        <v>0</v>
      </c>
      <c r="AA24" s="316">
        <f>IFERROR(GETPIVOTDATA("Area AGM",'Pvt OS'!#REF!,"Dealer",""&amp;$S$18&amp;"","Model",""&amp;$S24&amp;""),0)</f>
        <v>0</v>
      </c>
      <c r="AB24" s="316">
        <f>IFERROR(GETPIVOTDATA("Area AGM",'Pvt OS'!$AO$8,"Dealer",""&amp;$S$18&amp;"","Model",""&amp;$S24&amp;""),0)</f>
        <v>0</v>
      </c>
      <c r="AC24" s="316">
        <f>IFERROR(GETPIVOTDATA("Stock",#REF!,"Dealer",""&amp;$S$18&amp;"","Model",""&amp;$S24&amp;""),0)</f>
        <v>0</v>
      </c>
      <c r="AD24" s="315">
        <f>IFERROR(GETPIVOTDATA("MDP",#REF!,"Dealer",""&amp;$S$18&amp;"","Model",""&amp;$S24&amp;""),0)</f>
        <v>0</v>
      </c>
      <c r="AE24" s="315">
        <f>IFERROR(GETPIVOTDATA("RRN",#REF!,"Model2",""&amp;$S24&amp;"","Dealer",""&amp;$S$18&amp;""),0)</f>
        <v>0</v>
      </c>
      <c r="AF24" s="315">
        <f>IFERROR(GETPIVOTDATA("CO",#REF!,"Dealer Name",""&amp;$S$18&amp;"","Model",""&amp;$S24&amp;""),0)</f>
        <v>0</v>
      </c>
      <c r="AG24" s="316">
        <f>IFERROR(GETPIVOTDATA("Sum of Distplan Final",#REF!,"Dealer",""&amp;$S$18&amp;"","Model",""&amp;$S24&amp;""),0)</f>
        <v>0</v>
      </c>
      <c r="AH24" s="316">
        <f>IFERROR(GETPIVOTDATA("RRN",#REF!,"Model",""&amp;$S24&amp;"","Dealer",""&amp;$S$18&amp;""),0)</f>
        <v>0</v>
      </c>
      <c r="AI24" s="316">
        <f t="shared" si="17"/>
        <v>0</v>
      </c>
      <c r="AJ24" s="316">
        <f>IFERROR(GETPIVOTDATA("volume_rs",#REF!,"Model",""&amp;$S24&amp;"","Dealer",""&amp;$S$18&amp;""),0)</f>
        <v>0</v>
      </c>
      <c r="AK24" s="317">
        <f t="shared" si="18"/>
        <v>0</v>
      </c>
      <c r="AL24" s="317">
        <f>IFERROR(GETPIVOTDATA("Area AGM",'Pvt OS'!#REF!,"Dealer",""&amp;$S$18&amp;"","Model",""&amp;$S24&amp;""),0)</f>
        <v>0</v>
      </c>
      <c r="AM24" s="314">
        <f t="shared" si="12"/>
        <v>0</v>
      </c>
      <c r="AN24" s="317">
        <f>IFERROR(GETPIVOTDATA("Row Labels",#REF!,"Dealer",""&amp;$S$18&amp;"","Model",""&amp;$S24&amp;""),0)</f>
        <v>0</v>
      </c>
      <c r="AO24" s="317">
        <f>IFERROR(GETPIVOTDATA("RS Afi",#REF!,"Dealer",""&amp;$S$18&amp;"","Model",""&amp;$S24&amp;""),0)</f>
        <v>0</v>
      </c>
      <c r="AP24" s="317">
        <f>IFERROR(GETPIVOTDATA("qty",#REF!,"Model",""&amp;$S24&amp;"","Dealer",""&amp;$S$18&amp;""),0)</f>
        <v>0</v>
      </c>
      <c r="AQ24" s="317">
        <f>IFERROR(GETPIVOTDATA("volume_rs",#REF!,"Model",""&amp;$S24&amp;"","Dealer",""&amp;$S$18&amp;""),0)</f>
        <v>0</v>
      </c>
      <c r="AR24" s="316">
        <f t="shared" si="13"/>
        <v>0</v>
      </c>
      <c r="AS24" s="316">
        <f>IFERROR(GETPIVOTDATA("Area AGM",'Pvt OS'!#REF!,"Dealer",""&amp;$S$18&amp;"","Model",""&amp;$S24&amp;""),0)</f>
        <v>0</v>
      </c>
      <c r="AT24" s="316">
        <f t="shared" si="19"/>
        <v>0</v>
      </c>
      <c r="AU24" s="308"/>
      <c r="AV24" s="309"/>
      <c r="AW24" s="309"/>
      <c r="AX24" s="309"/>
      <c r="AY24" s="309"/>
      <c r="AZ24" s="310"/>
      <c r="BA24" s="318" t="e">
        <f>#REF!</f>
        <v>#REF!</v>
      </c>
      <c r="BB24" s="319" t="e">
        <f>#REF!</f>
        <v>#REF!</v>
      </c>
      <c r="BC24" s="318" t="e">
        <f>#REF!</f>
        <v>#REF!</v>
      </c>
      <c r="BD24" s="320" t="e">
        <f>#REF!</f>
        <v>#REF!</v>
      </c>
      <c r="BE24" s="302"/>
    </row>
    <row r="25" ht="26.25" customHeight="1" spans="2:60">
      <c r="B25" s="225" t="s">
        <v>179</v>
      </c>
      <c r="C25" s="227">
        <f t="shared" si="10"/>
        <v>0</v>
      </c>
      <c r="D25" s="227">
        <f>IFERROR(GETPIVOTDATA("Area AGM",#REF!,"Dealer",""&amp;$S$18&amp;"","Model",""&amp;$B25&amp;"","Umur Outstansing",""&amp;D$2&amp;""),0)</f>
        <v>0</v>
      </c>
      <c r="E25" s="227">
        <f>IFERROR(GETPIVOTDATA("Area AGM",#REF!,"Dealer",""&amp;$S$18&amp;"","Model",""&amp;$B25&amp;"","Umur Outstansing",""&amp;E$2&amp;""),0)</f>
        <v>0</v>
      </c>
      <c r="F25" s="227">
        <f>IFERROR(GETPIVOTDATA("Area AGM",#REF!,"Dealer",""&amp;$S$18&amp;"","Model",""&amp;$B25&amp;"","Umur Outstansing",""&amp;F$2&amp;""),0)</f>
        <v>0</v>
      </c>
      <c r="G25" s="227">
        <f>IFERROR(GETPIVOTDATA("Area AGM",#REF!,"Dealer",""&amp;$S$18&amp;"","Model",""&amp;$B25&amp;"","Umur Outstansing",""&amp;G$2&amp;""),0)</f>
        <v>0</v>
      </c>
      <c r="H25" s="227">
        <f>IFERROR(GETPIVOTDATA("Area AGM",#REF!,"Dealer",""&amp;$S$18&amp;"","Model",""&amp;$B25&amp;"","Umur Outstansing",""&amp;H$2&amp;""),0)</f>
        <v>0</v>
      </c>
      <c r="J25" s="227">
        <f>IFERROR(GETPIVOTDATA("Area AGM",#REF!,"Dealer",""&amp;$S$18&amp;"","Model",""&amp;$B25&amp;""),0)</f>
        <v>0</v>
      </c>
      <c r="K25" s="227">
        <f>IFERROR(GETPIVOTDATA("Area AGM",#REF!,"Dealer",""&amp;$S$18&amp;"","Model",""&amp;$B25&amp;""),0)</f>
        <v>0</v>
      </c>
      <c r="M25" s="227"/>
      <c r="O25" s="227"/>
      <c r="P25" s="226" t="s">
        <v>127</v>
      </c>
      <c r="Q25" s="291">
        <f t="shared" si="11"/>
        <v>0</v>
      </c>
      <c r="R25" s="227">
        <f>IFERROR(GETPIVOTDATA("RS Target",#REF!,"Dealer",""&amp;$S$18&amp;"","Model",""&amp;$P25&amp;""),0)</f>
        <v>0</v>
      </c>
      <c r="S25" s="321" t="s">
        <v>127</v>
      </c>
      <c r="T25" s="322">
        <f t="shared" si="14"/>
        <v>0</v>
      </c>
      <c r="U25" s="322">
        <f>IFERROR(GETPIVOTDATA("Area AGM",'Pvt OS'!#REF!,"Dealer",""&amp;$S$18&amp;"","Model",""&amp;$S25&amp;""),0)</f>
        <v>0</v>
      </c>
      <c r="V25" s="322">
        <f t="shared" si="15"/>
        <v>0</v>
      </c>
      <c r="W25" s="323">
        <f>IFERROR(GETPIVOTDATA("Area AGM",'Pvt OS'!#REF!,"Dealer",""&amp;$S$18&amp;"","Model",""&amp;$S25&amp;""),0)+IFERROR(GETPIVOTDATA("Area AGM",'Pvt OS'!$A$8,"Dealer",""&amp;$S$18&amp;"","Model",""&amp;$S25&amp;""),0)</f>
        <v>0</v>
      </c>
      <c r="X25" s="324">
        <f t="shared" ref="X25:X31" si="20">SUM(Y25:AB25)</f>
        <v>0</v>
      </c>
      <c r="Y25" s="306">
        <f>IFERROR(GETPIVOTDATA("Area AGM",'Pvt OS'!$U$8,"Dealer",""&amp;$S$18&amp;"","Model",""&amp;$S25&amp;""),0)</f>
        <v>0</v>
      </c>
      <c r="Z25" s="324">
        <f>IFERROR(GETPIVOTDATA("Area AGM",'Pvt OS'!$M$8,"Dealer",""&amp;$S$18&amp;"","Model",""&amp;$S25&amp;""),0)</f>
        <v>0</v>
      </c>
      <c r="AA25" s="324">
        <f>IFERROR(GETPIVOTDATA("Area AGM",'Pvt OS'!#REF!,"Dealer",""&amp;$S$18&amp;"","Model",""&amp;$S25&amp;""),0)</f>
        <v>0</v>
      </c>
      <c r="AB25" s="324">
        <f>IFERROR(GETPIVOTDATA("Area AGM",'Pvt OS'!$AO$8,"Dealer",""&amp;$S$18&amp;"","Model",""&amp;$S25&amp;""),0)</f>
        <v>0</v>
      </c>
      <c r="AC25" s="324">
        <f>IFERROR(GETPIVOTDATA("Stock",#REF!,"Dealer",""&amp;$S$18&amp;"","Model",""&amp;$S25&amp;""),0)</f>
        <v>0</v>
      </c>
      <c r="AD25" s="323">
        <f>IFERROR(GETPIVOTDATA("MDP",#REF!,"Dealer",""&amp;$S$18&amp;"","Model",""&amp;$S25&amp;""),0)</f>
        <v>0</v>
      </c>
      <c r="AE25" s="323">
        <f>IFERROR(GETPIVOTDATA("RRN",#REF!,"Model2",""&amp;$S25&amp;"","Dealer",""&amp;$S$18&amp;""),0)</f>
        <v>0</v>
      </c>
      <c r="AF25" s="323">
        <f>IFERROR(GETPIVOTDATA("CO",#REF!,"Dealer Name",""&amp;$S$18&amp;"","Model",""&amp;$S25&amp;""),0)</f>
        <v>0</v>
      </c>
      <c r="AG25" s="324">
        <f>IFERROR(GETPIVOTDATA("Sum of Distplan Final",#REF!,"Dealer",""&amp;$S$18&amp;"","Model",""&amp;$S25&amp;""),0)</f>
        <v>0</v>
      </c>
      <c r="AH25" s="324">
        <f>IFERROR(GETPIVOTDATA("RRN",#REF!,"Model",""&amp;$S25&amp;"","Dealer",""&amp;$S$18&amp;""),0)</f>
        <v>0</v>
      </c>
      <c r="AI25" s="324">
        <f t="shared" si="17"/>
        <v>0</v>
      </c>
      <c r="AJ25" s="324">
        <f>IFERROR(GETPIVOTDATA("volume_rs",#REF!,"Model",""&amp;$S25&amp;"","Dealer",""&amp;$S$18&amp;""),0)</f>
        <v>0</v>
      </c>
      <c r="AK25" s="325">
        <f t="shared" si="18"/>
        <v>0</v>
      </c>
      <c r="AL25" s="325">
        <f>IFERROR(GETPIVOTDATA("Area AGM",'Pvt OS'!#REF!,"Dealer",""&amp;$S$18&amp;"","Model",""&amp;$S25&amp;""),0)</f>
        <v>0</v>
      </c>
      <c r="AM25" s="322">
        <f t="shared" si="12"/>
        <v>0</v>
      </c>
      <c r="AN25" s="325">
        <f>IFERROR(GETPIVOTDATA("Row Labels",#REF!,"Dealer",""&amp;$S$18&amp;"","Model",""&amp;$S25&amp;""),0)</f>
        <v>0</v>
      </c>
      <c r="AO25" s="325">
        <f>IFERROR(GETPIVOTDATA("RS Afi",#REF!,"Dealer",""&amp;$S$18&amp;"","Model",""&amp;$S25&amp;""),0)</f>
        <v>0</v>
      </c>
      <c r="AP25" s="325">
        <f>IFERROR(GETPIVOTDATA("qty",#REF!,"Model",""&amp;$S25&amp;"","Dealer",""&amp;$S$18&amp;""),0)</f>
        <v>0</v>
      </c>
      <c r="AQ25" s="325">
        <f>IFERROR(GETPIVOTDATA("volume_rs",#REF!,"Model",""&amp;$S25&amp;"","Dealer",""&amp;$S$18&amp;""),0)</f>
        <v>0</v>
      </c>
      <c r="AR25" s="324">
        <f t="shared" si="13"/>
        <v>0</v>
      </c>
      <c r="AS25" s="324">
        <f>IFERROR(GETPIVOTDATA("Area AGM",'Pvt OS'!#REF!,"Dealer",""&amp;$S$18&amp;"","Model",""&amp;$S25&amp;""),0)</f>
        <v>0</v>
      </c>
      <c r="AT25" s="324">
        <f t="shared" si="19"/>
        <v>0</v>
      </c>
      <c r="AU25" s="308"/>
      <c r="AV25" s="309"/>
      <c r="AW25" s="309"/>
      <c r="AX25" s="309"/>
      <c r="AY25" s="309"/>
      <c r="AZ25" s="310"/>
      <c r="BA25" s="326" t="e">
        <f>#REF!</f>
        <v>#REF!</v>
      </c>
      <c r="BB25" s="327" t="e">
        <f>#REF!</f>
        <v>#REF!</v>
      </c>
      <c r="BC25" s="326" t="e">
        <f>#REF!</f>
        <v>#REF!</v>
      </c>
      <c r="BD25" s="328" t="e">
        <f>#REF!</f>
        <v>#REF!</v>
      </c>
      <c r="BE25" s="302"/>
    </row>
    <row r="26" ht="26.25" customHeight="1" spans="2:60">
      <c r="B26" s="225" t="s">
        <v>180</v>
      </c>
      <c r="C26" s="227">
        <f t="shared" si="10"/>
        <v>0</v>
      </c>
      <c r="D26" s="227">
        <f>IFERROR(GETPIVOTDATA("Area AGM",#REF!,"Dealer",""&amp;$S$18&amp;"","Model",""&amp;$B26&amp;"","Umur Outstansing",""&amp;D$2&amp;""),0)</f>
        <v>0</v>
      </c>
      <c r="E26" s="227">
        <f>IFERROR(GETPIVOTDATA("Area AGM",#REF!,"Dealer",""&amp;$S$18&amp;"","Model",""&amp;$B26&amp;"","Umur Outstansing",""&amp;E$2&amp;""),0)</f>
        <v>0</v>
      </c>
      <c r="F26" s="227">
        <f>IFERROR(GETPIVOTDATA("Area AGM",#REF!,"Dealer",""&amp;$S$18&amp;"","Model",""&amp;$B26&amp;"","Umur Outstansing",""&amp;F$2&amp;""),0)</f>
        <v>0</v>
      </c>
      <c r="G26" s="227">
        <f>IFERROR(GETPIVOTDATA("Area AGM",#REF!,"Dealer",""&amp;$S$18&amp;"","Model",""&amp;$B26&amp;"","Umur Outstansing",""&amp;G$2&amp;""),0)</f>
        <v>0</v>
      </c>
      <c r="H26" s="227">
        <f>IFERROR(GETPIVOTDATA("Area AGM",#REF!,"Dealer",""&amp;$S$18&amp;"","Model",""&amp;$B26&amp;"","Umur Outstansing",""&amp;H$2&amp;""),0)</f>
        <v>0</v>
      </c>
      <c r="J26" s="227">
        <f>IFERROR(GETPIVOTDATA("Area AGM",#REF!,"Dealer",""&amp;$S$18&amp;"","Model",""&amp;$B26&amp;""),0)</f>
        <v>0</v>
      </c>
      <c r="K26" s="227">
        <f>IFERROR(GETPIVOTDATA("Area AGM",#REF!,"Dealer",""&amp;$S$18&amp;"","Model",""&amp;$B26&amp;""),0)</f>
        <v>0</v>
      </c>
      <c r="M26" s="227"/>
      <c r="O26" s="227"/>
      <c r="P26" s="226" t="s">
        <v>129</v>
      </c>
      <c r="Q26" s="291">
        <f t="shared" si="11"/>
        <v>0</v>
      </c>
      <c r="R26" s="227">
        <f>IFERROR(GETPIVOTDATA("RS Target",#REF!,"Dealer",""&amp;$S$18&amp;"","Model",""&amp;$P26&amp;""),0)</f>
        <v>0</v>
      </c>
      <c r="S26" s="250" t="s">
        <v>129</v>
      </c>
      <c r="T26" s="304">
        <f t="shared" si="14"/>
        <v>0</v>
      </c>
      <c r="U26" s="304">
        <f>IFERROR(GETPIVOTDATA("Area AGM",'Pvt OS'!#REF!,"Dealer",""&amp;$S$18&amp;"","Model",""&amp;$S26&amp;""),0)</f>
        <v>0</v>
      </c>
      <c r="V26" s="304">
        <f t="shared" si="15"/>
        <v>0</v>
      </c>
      <c r="W26" s="305">
        <f>IFERROR(GETPIVOTDATA("Area AGM",'Pvt OS'!#REF!,"Dealer",""&amp;$S$18&amp;"","Model",""&amp;$S26&amp;""),0)+IFERROR(GETPIVOTDATA("Area AGM",'Pvt OS'!$A$8,"Dealer",""&amp;$S$18&amp;"","Model",""&amp;$S26&amp;""),0)</f>
        <v>0</v>
      </c>
      <c r="X26" s="306">
        <f t="shared" si="20"/>
        <v>0</v>
      </c>
      <c r="Y26" s="306">
        <f>IFERROR(GETPIVOTDATA("Area AGM",'Pvt OS'!$U$8,"Dealer",""&amp;$S$18&amp;"","Model",""&amp;$S26&amp;""),0)</f>
        <v>0</v>
      </c>
      <c r="Z26" s="306">
        <f>IFERROR(GETPIVOTDATA("Area AGM",'Pvt OS'!$M$8,"Dealer",""&amp;$S$18&amp;"","Model",""&amp;$S26&amp;""),0)</f>
        <v>0</v>
      </c>
      <c r="AA26" s="306">
        <f>IFERROR(GETPIVOTDATA("Area AGM",'Pvt OS'!#REF!,"Dealer",""&amp;$S$18&amp;"","Model",""&amp;$S26&amp;""),0)</f>
        <v>0</v>
      </c>
      <c r="AB26" s="306">
        <f>IFERROR(GETPIVOTDATA("Area AGM",'Pvt OS'!$AO$8,"Dealer",""&amp;$S$18&amp;"","Model",""&amp;$S26&amp;""),0)</f>
        <v>0</v>
      </c>
      <c r="AC26" s="306">
        <f>IFERROR(GETPIVOTDATA("Stock",#REF!,"Dealer",""&amp;$S$18&amp;"","Model",""&amp;$S26&amp;""),0)</f>
        <v>0</v>
      </c>
      <c r="AD26" s="305">
        <f>IFERROR(GETPIVOTDATA("MDP",#REF!,"Dealer",""&amp;$S$18&amp;"","Model",""&amp;$S26&amp;""),0)</f>
        <v>0</v>
      </c>
      <c r="AE26" s="305">
        <f>IFERROR(GETPIVOTDATA("RRN",#REF!,"Model2",""&amp;$S26&amp;"","Dealer",""&amp;$S$18&amp;""),0)</f>
        <v>0</v>
      </c>
      <c r="AF26" s="305">
        <f>IFERROR(GETPIVOTDATA("CO",#REF!,"Dealer Name",""&amp;$S$18&amp;"","Model",""&amp;$S26&amp;""),0)</f>
        <v>0</v>
      </c>
      <c r="AG26" s="306">
        <f>IFERROR(GETPIVOTDATA("Sum of Distplan Final",#REF!,"Dealer",""&amp;$S$18&amp;"","Model",""&amp;$S26&amp;""),0)</f>
        <v>0</v>
      </c>
      <c r="AH26" s="306">
        <f>IFERROR(GETPIVOTDATA("RRN",#REF!,"Model",""&amp;$S26&amp;"","Dealer",""&amp;$S$18&amp;""),0)</f>
        <v>0</v>
      </c>
      <c r="AI26" s="306">
        <f t="shared" si="17"/>
        <v>0</v>
      </c>
      <c r="AJ26" s="306">
        <f>IFERROR(GETPIVOTDATA("volume_rs",#REF!,"Model",""&amp;$S26&amp;"","Dealer",""&amp;$S$18&amp;""),0)</f>
        <v>0</v>
      </c>
      <c r="AK26" s="307">
        <f t="shared" si="18"/>
        <v>0</v>
      </c>
      <c r="AL26" s="307">
        <f>IFERROR(GETPIVOTDATA("Area AGM",'Pvt OS'!#REF!,"Dealer",""&amp;$S$18&amp;"","Model",""&amp;$S26&amp;""),0)</f>
        <v>0</v>
      </c>
      <c r="AM26" s="304">
        <f t="shared" si="12"/>
        <v>0</v>
      </c>
      <c r="AN26" s="307">
        <f>IFERROR(GETPIVOTDATA("Row Labels",#REF!,"Dealer",""&amp;$S$18&amp;"","Model",""&amp;$S26&amp;""),0)</f>
        <v>0</v>
      </c>
      <c r="AO26" s="307">
        <f>IFERROR(GETPIVOTDATA("RS Afi",#REF!,"Dealer",""&amp;$S$18&amp;"","Model",""&amp;$S26&amp;""),0)</f>
        <v>0</v>
      </c>
      <c r="AP26" s="307">
        <f>IFERROR(GETPIVOTDATA("qty",#REF!,"Model",""&amp;$S26&amp;"","Dealer",""&amp;$S$18&amp;""),0)</f>
        <v>0</v>
      </c>
      <c r="AQ26" s="307">
        <f>IFERROR(GETPIVOTDATA("volume_rs",#REF!,"Model",""&amp;$S26&amp;"","Dealer",""&amp;$S$18&amp;""),0)</f>
        <v>0</v>
      </c>
      <c r="AR26" s="306">
        <f t="shared" si="13"/>
        <v>0</v>
      </c>
      <c r="AS26" s="306">
        <f>IFERROR(GETPIVOTDATA("Area AGM",'Pvt OS'!#REF!,"Dealer",""&amp;$S$18&amp;"","Model",""&amp;$S26&amp;""),0)</f>
        <v>0</v>
      </c>
      <c r="AT26" s="306">
        <f t="shared" si="19"/>
        <v>0</v>
      </c>
      <c r="AU26" s="308"/>
      <c r="AV26" s="309"/>
      <c r="AW26" s="309"/>
      <c r="AX26" s="309"/>
      <c r="AY26" s="309"/>
      <c r="AZ26" s="310"/>
      <c r="BA26" s="311" t="e">
        <f>#REF!</f>
        <v>#REF!</v>
      </c>
      <c r="BB26" s="312" t="e">
        <f>#REF!</f>
        <v>#REF!</v>
      </c>
      <c r="BC26" s="311" t="e">
        <f>#REF!</f>
        <v>#REF!</v>
      </c>
      <c r="BD26" s="313" t="e">
        <f>#REF!</f>
        <v>#REF!</v>
      </c>
      <c r="BE26" s="302"/>
    </row>
    <row r="27" ht="26.25" customHeight="1" spans="2:60">
      <c r="B27" s="225" t="s">
        <v>181</v>
      </c>
      <c r="C27" s="227">
        <f t="shared" si="10"/>
        <v>0</v>
      </c>
      <c r="D27" s="227">
        <f>IFERROR(GETPIVOTDATA("Area AGM",#REF!,"Dealer",""&amp;$S$18&amp;"","Model",""&amp;$B27&amp;"","Umur Outstansing",""&amp;D$2&amp;""),0)</f>
        <v>0</v>
      </c>
      <c r="E27" s="227">
        <f>IFERROR(GETPIVOTDATA("Area AGM",#REF!,"Dealer",""&amp;$S$18&amp;"","Model",""&amp;$B27&amp;"","Umur Outstansing",""&amp;E$2&amp;""),0)</f>
        <v>0</v>
      </c>
      <c r="F27" s="227">
        <f>IFERROR(GETPIVOTDATA("Area AGM",#REF!,"Dealer",""&amp;$S$18&amp;"","Model",""&amp;$B27&amp;"","Umur Outstansing",""&amp;F$2&amp;""),0)</f>
        <v>0</v>
      </c>
      <c r="G27" s="227">
        <f>IFERROR(GETPIVOTDATA("Area AGM",#REF!,"Dealer",""&amp;$S$18&amp;"","Model",""&amp;$B27&amp;"","Umur Outstansing",""&amp;G$2&amp;""),0)</f>
        <v>0</v>
      </c>
      <c r="H27" s="227">
        <f>IFERROR(GETPIVOTDATA("Area AGM",#REF!,"Dealer",""&amp;$S$18&amp;"","Model",""&amp;$B27&amp;"","Umur Outstansing",""&amp;H$2&amp;""),0)</f>
        <v>0</v>
      </c>
      <c r="J27" s="227">
        <f>IFERROR(GETPIVOTDATA("Area AGM",#REF!,"Dealer",""&amp;$S$18&amp;"","Model",""&amp;$B27&amp;""),0)</f>
        <v>0</v>
      </c>
      <c r="K27" s="227">
        <f>IFERROR(GETPIVOTDATA("Area AGM",#REF!,"Dealer",""&amp;$S$18&amp;"","Model",""&amp;$B27&amp;""),0)</f>
        <v>0</v>
      </c>
      <c r="M27" s="227"/>
      <c r="O27" s="227"/>
      <c r="P27" s="226" t="s">
        <v>131</v>
      </c>
      <c r="Q27" s="291">
        <f t="shared" si="11"/>
        <v>0</v>
      </c>
      <c r="R27" s="227">
        <f>IFERROR(GETPIVOTDATA("RS Target",#REF!,"Dealer",""&amp;$S$18&amp;"","Model",""&amp;$P27&amp;""),0)</f>
        <v>0</v>
      </c>
      <c r="S27" s="250" t="s">
        <v>131</v>
      </c>
      <c r="T27" s="304">
        <f t="shared" si="14"/>
        <v>0</v>
      </c>
      <c r="U27" s="304">
        <f>IFERROR(GETPIVOTDATA("Area AGM",'Pvt OS'!#REF!,"Dealer",""&amp;$S$18&amp;"","Model",""&amp;$S27&amp;""),0)</f>
        <v>0</v>
      </c>
      <c r="V27" s="304">
        <f t="shared" si="15"/>
        <v>0</v>
      </c>
      <c r="W27" s="305">
        <f>IFERROR(GETPIVOTDATA("Area AGM",'Pvt OS'!#REF!,"Dealer",""&amp;$S$18&amp;"","Model",""&amp;$S27&amp;""),0)+IFERROR(GETPIVOTDATA("Area AGM",'Pvt OS'!$A$8,"Dealer",""&amp;$S$18&amp;"","Model",""&amp;$S27&amp;""),0)</f>
        <v>0</v>
      </c>
      <c r="X27" s="306">
        <f t="shared" si="20"/>
        <v>0</v>
      </c>
      <c r="Y27" s="306">
        <f>IFERROR(GETPIVOTDATA("Area AGM",'Pvt OS'!$U$8,"Dealer",""&amp;$S$18&amp;"","Model",""&amp;$S27&amp;""),0)</f>
        <v>0</v>
      </c>
      <c r="Z27" s="306">
        <f>IFERROR(GETPIVOTDATA("Area AGM",'Pvt OS'!$M$8,"Dealer",""&amp;$S$18&amp;"","Model",""&amp;$S27&amp;""),0)</f>
        <v>0</v>
      </c>
      <c r="AA27" s="306">
        <f>IFERROR(GETPIVOTDATA("Area AGM",'Pvt OS'!#REF!,"Dealer",""&amp;$S$18&amp;"","Model",""&amp;$S27&amp;""),0)</f>
        <v>0</v>
      </c>
      <c r="AB27" s="306">
        <f>IFERROR(GETPIVOTDATA("Area AGM",'Pvt OS'!$AO$8,"Dealer",""&amp;$S$18&amp;"","Model",""&amp;$S27&amp;""),0)</f>
        <v>0</v>
      </c>
      <c r="AC27" s="306">
        <f>IFERROR(GETPIVOTDATA("Stock",#REF!,"Dealer",""&amp;$S$18&amp;"","Model",""&amp;$S27&amp;""),0)</f>
        <v>0</v>
      </c>
      <c r="AD27" s="305">
        <f>IFERROR(GETPIVOTDATA("MDP",#REF!,"Dealer",""&amp;$S$18&amp;"","Model",""&amp;$S27&amp;""),0)</f>
        <v>0</v>
      </c>
      <c r="AE27" s="305">
        <f>IFERROR(GETPIVOTDATA("RRN",#REF!,"Model2",""&amp;$S27&amp;"","Dealer",""&amp;$S$18&amp;""),0)</f>
        <v>0</v>
      </c>
      <c r="AF27" s="305">
        <f>IFERROR(GETPIVOTDATA("CO",#REF!,"Dealer Name",""&amp;$S$18&amp;"","Model",""&amp;$S27&amp;""),0)</f>
        <v>0</v>
      </c>
      <c r="AG27" s="306">
        <f>IFERROR(GETPIVOTDATA("Sum of Distplan Final",#REF!,"Dealer",""&amp;$S$18&amp;"","Model",""&amp;$S27&amp;""),0)</f>
        <v>0</v>
      </c>
      <c r="AH27" s="306">
        <f>IFERROR(GETPIVOTDATA("RRN",#REF!,"Model",""&amp;$S27&amp;"","Dealer",""&amp;$S$18&amp;""),0)</f>
        <v>0</v>
      </c>
      <c r="AI27" s="306">
        <f t="shared" si="17"/>
        <v>0</v>
      </c>
      <c r="AJ27" s="306">
        <f>IFERROR(GETPIVOTDATA("volume_rs",#REF!,"Model",""&amp;$S27&amp;"","Dealer",""&amp;$S$18&amp;""),0)</f>
        <v>0</v>
      </c>
      <c r="AK27" s="307">
        <f t="shared" si="18"/>
        <v>0</v>
      </c>
      <c r="AL27" s="307">
        <f>IFERROR(GETPIVOTDATA("Area AGM",'Pvt OS'!#REF!,"Dealer",""&amp;$S$18&amp;"","Model",""&amp;$S27&amp;""),0)</f>
        <v>0</v>
      </c>
      <c r="AM27" s="304">
        <f t="shared" si="12"/>
        <v>0</v>
      </c>
      <c r="AN27" s="307">
        <f>IFERROR(GETPIVOTDATA("Row Labels",#REF!,"Dealer",""&amp;$S$18&amp;"","Model",""&amp;$S27&amp;""),0)</f>
        <v>0</v>
      </c>
      <c r="AO27" s="307">
        <f>IFERROR(GETPIVOTDATA("RS Afi",#REF!,"Dealer",""&amp;$S$18&amp;"","Model",""&amp;$S27&amp;""),0)</f>
        <v>0</v>
      </c>
      <c r="AP27" s="307">
        <f>IFERROR(GETPIVOTDATA("qty",#REF!,"Model",""&amp;$S27&amp;"","Dealer",""&amp;$S$18&amp;""),0)</f>
        <v>0</v>
      </c>
      <c r="AQ27" s="307">
        <f>IFERROR(GETPIVOTDATA("volume_rs",#REF!,"Model",""&amp;$S27&amp;"","Dealer",""&amp;$S$18&amp;""),0)</f>
        <v>0</v>
      </c>
      <c r="AR27" s="306">
        <f t="shared" si="13"/>
        <v>0</v>
      </c>
      <c r="AS27" s="306">
        <f>IFERROR(GETPIVOTDATA("Area AGM",'Pvt OS'!#REF!,"Dealer",""&amp;$S$18&amp;"","Model",""&amp;$S27&amp;""),0)</f>
        <v>0</v>
      </c>
      <c r="AT27" s="306">
        <f t="shared" si="19"/>
        <v>0</v>
      </c>
      <c r="AU27" s="308"/>
      <c r="AV27" s="309"/>
      <c r="AW27" s="309"/>
      <c r="AX27" s="309"/>
      <c r="AY27" s="309"/>
      <c r="AZ27" s="310"/>
      <c r="BA27" s="311" t="e">
        <f>#REF!</f>
        <v>#REF!</v>
      </c>
      <c r="BB27" s="312" t="e">
        <f>#REF!</f>
        <v>#REF!</v>
      </c>
      <c r="BC27" s="311" t="e">
        <f>#REF!</f>
        <v>#REF!</v>
      </c>
      <c r="BD27" s="313" t="e">
        <f>#REF!</f>
        <v>#REF!</v>
      </c>
      <c r="BE27" s="302"/>
    </row>
    <row r="28" ht="26.25" customHeight="1" spans="2:60">
      <c r="B28" s="225" t="s">
        <v>182</v>
      </c>
      <c r="C28" s="227">
        <f t="shared" si="10"/>
        <v>0</v>
      </c>
      <c r="D28" s="227">
        <f>IFERROR(GETPIVOTDATA("Area AGM",#REF!,"Dealer",""&amp;$S$18&amp;"","Model",""&amp;$B28&amp;"","Umur Outstansing",""&amp;D$2&amp;""),0)</f>
        <v>0</v>
      </c>
      <c r="E28" s="227">
        <f>IFERROR(GETPIVOTDATA("Area AGM",#REF!,"Dealer",""&amp;$S$18&amp;"","Model",""&amp;$B28&amp;"","Umur Outstansing",""&amp;E$2&amp;""),0)</f>
        <v>0</v>
      </c>
      <c r="F28" s="227">
        <f>IFERROR(GETPIVOTDATA("Area AGM",#REF!,"Dealer",""&amp;$S$18&amp;"","Model",""&amp;$B28&amp;"","Umur Outstansing",""&amp;F$2&amp;""),0)</f>
        <v>0</v>
      </c>
      <c r="G28" s="227">
        <f>IFERROR(GETPIVOTDATA("Area AGM",#REF!,"Dealer",""&amp;$S$18&amp;"","Model",""&amp;$B28&amp;"","Umur Outstansing",""&amp;G$2&amp;""),0)</f>
        <v>0</v>
      </c>
      <c r="H28" s="227">
        <f>IFERROR(GETPIVOTDATA("Area AGM",#REF!,"Dealer",""&amp;$S$18&amp;"","Model",""&amp;$B28&amp;"","Umur Outstansing",""&amp;H$2&amp;""),0)</f>
        <v>0</v>
      </c>
      <c r="J28" s="227">
        <f>IFERROR(GETPIVOTDATA("Area AGM",#REF!,"Dealer",""&amp;$S$18&amp;"","Model",""&amp;$B28&amp;""),0)</f>
        <v>0</v>
      </c>
      <c r="K28" s="227">
        <f>IFERROR(GETPIVOTDATA("Area AGM",#REF!,"Dealer",""&amp;$S$18&amp;"","Model",""&amp;$B28&amp;""),0)</f>
        <v>0</v>
      </c>
      <c r="L28" s="329"/>
      <c r="M28" s="227"/>
      <c r="O28" s="227"/>
      <c r="P28" s="226" t="s">
        <v>133</v>
      </c>
      <c r="Q28" s="291">
        <f t="shared" si="11"/>
        <v>0</v>
      </c>
      <c r="R28" s="227">
        <f>IFERROR(GETPIVOTDATA("RS Target",#REF!,"Dealer",""&amp;$S$18&amp;"","Model",""&amp;$P28&amp;""),0)</f>
        <v>0</v>
      </c>
      <c r="S28" s="250" t="s">
        <v>133</v>
      </c>
      <c r="T28" s="304">
        <f t="shared" si="14"/>
        <v>0</v>
      </c>
      <c r="U28" s="304">
        <f>IFERROR(GETPIVOTDATA("Area AGM",'Pvt OS'!#REF!,"Dealer",""&amp;$S$18&amp;"","Model",""&amp;$S28&amp;""),0)</f>
        <v>0</v>
      </c>
      <c r="V28" s="304">
        <f t="shared" si="15"/>
        <v>0</v>
      </c>
      <c r="W28" s="305">
        <f>IFERROR(GETPIVOTDATA("Area AGM",'Pvt OS'!#REF!,"Dealer",""&amp;$S$18&amp;"","Model",""&amp;$S28&amp;""),0)+IFERROR(GETPIVOTDATA("Area AGM",'Pvt OS'!$A$8,"Dealer",""&amp;$S$18&amp;"","Model",""&amp;$S28&amp;""),0)</f>
        <v>0</v>
      </c>
      <c r="X28" s="306">
        <f t="shared" si="20"/>
        <v>0</v>
      </c>
      <c r="Y28" s="306">
        <f>IFERROR(GETPIVOTDATA("Area AGM",'Pvt OS'!$U$8,"Dealer",""&amp;$S$18&amp;"","Model",""&amp;$S28&amp;""),0)</f>
        <v>0</v>
      </c>
      <c r="Z28" s="306">
        <f>IFERROR(GETPIVOTDATA("Area AGM",'Pvt OS'!$M$8,"Dealer",""&amp;$S$18&amp;"","Model",""&amp;$S28&amp;""),0)</f>
        <v>0</v>
      </c>
      <c r="AA28" s="306">
        <f>IFERROR(GETPIVOTDATA("Area AGM",'Pvt OS'!#REF!,"Dealer",""&amp;$S$18&amp;"","Model",""&amp;$S28&amp;""),0)</f>
        <v>0</v>
      </c>
      <c r="AB28" s="306">
        <f>IFERROR(GETPIVOTDATA("Area AGM",'Pvt OS'!$AO$8,"Dealer",""&amp;$S$18&amp;"","Model",""&amp;$S28&amp;""),0)</f>
        <v>0</v>
      </c>
      <c r="AC28" s="306">
        <f>IFERROR(GETPIVOTDATA("Stock",#REF!,"Dealer",""&amp;$S$18&amp;"","Model",""&amp;$S28&amp;""),0)</f>
        <v>0</v>
      </c>
      <c r="AD28" s="305">
        <f>IFERROR(GETPIVOTDATA("MDP",#REF!,"Dealer",""&amp;$S$18&amp;"","Model",""&amp;$S28&amp;""),0)</f>
        <v>0</v>
      </c>
      <c r="AE28" s="305">
        <f>IFERROR(GETPIVOTDATA("RRN",#REF!,"Model2",""&amp;$S28&amp;"","Dealer",""&amp;$S$18&amp;""),0)</f>
        <v>0</v>
      </c>
      <c r="AF28" s="305">
        <f>IFERROR(GETPIVOTDATA("CO",#REF!,"Dealer Name",""&amp;$S$18&amp;"","Model",""&amp;$S28&amp;""),0)</f>
        <v>0</v>
      </c>
      <c r="AG28" s="306">
        <f>IFERROR(GETPIVOTDATA("Sum of Distplan Final",#REF!,"Dealer",""&amp;$S$18&amp;"","Model",""&amp;$S28&amp;""),0)</f>
        <v>0</v>
      </c>
      <c r="AH28" s="306">
        <f>IFERROR(GETPIVOTDATA("RRN",#REF!,"Model",""&amp;$S28&amp;"","Dealer",""&amp;$S$18&amp;""),0)</f>
        <v>0</v>
      </c>
      <c r="AI28" s="306">
        <f t="shared" si="17"/>
        <v>0</v>
      </c>
      <c r="AJ28" s="306">
        <f>IFERROR(GETPIVOTDATA("volume_rs",#REF!,"Model",""&amp;$S28&amp;"","Dealer",""&amp;$S$18&amp;""),0)</f>
        <v>0</v>
      </c>
      <c r="AK28" s="307">
        <f t="shared" si="18"/>
        <v>0</v>
      </c>
      <c r="AL28" s="307">
        <f>IFERROR(GETPIVOTDATA("Area AGM",'Pvt OS'!#REF!,"Dealer",""&amp;$S$18&amp;"","Model",""&amp;$S28&amp;""),0)</f>
        <v>0</v>
      </c>
      <c r="AM28" s="304">
        <f t="shared" si="12"/>
        <v>0</v>
      </c>
      <c r="AN28" s="307">
        <f>IFERROR(GETPIVOTDATA("Row Labels",#REF!,"Dealer",""&amp;$S$18&amp;"","Model",""&amp;$S28&amp;""),0)</f>
        <v>0</v>
      </c>
      <c r="AO28" s="307">
        <f>IFERROR(GETPIVOTDATA("RS Afi",#REF!,"Dealer",""&amp;$S$18&amp;"","Model",""&amp;$S28&amp;""),0)</f>
        <v>0</v>
      </c>
      <c r="AP28" s="307">
        <f>IFERROR(GETPIVOTDATA("qty",#REF!,"Model",""&amp;$S28&amp;"","Dealer",""&amp;$S$18&amp;""),0)</f>
        <v>0</v>
      </c>
      <c r="AQ28" s="307">
        <f>IFERROR(GETPIVOTDATA("volume_rs",#REF!,"Model",""&amp;$S28&amp;"","Dealer",""&amp;$S$18&amp;""),0)</f>
        <v>0</v>
      </c>
      <c r="AR28" s="306">
        <f t="shared" si="13"/>
        <v>0</v>
      </c>
      <c r="AS28" s="306">
        <f>IFERROR(GETPIVOTDATA("Area AGM",'Pvt OS'!#REF!,"Dealer",""&amp;$S$18&amp;"","Model",""&amp;$S28&amp;""),0)</f>
        <v>0</v>
      </c>
      <c r="AT28" s="306">
        <f t="shared" si="19"/>
        <v>0</v>
      </c>
      <c r="AU28" s="308"/>
      <c r="AV28" s="309"/>
      <c r="AW28" s="309"/>
      <c r="AX28" s="309"/>
      <c r="AY28" s="309"/>
      <c r="AZ28" s="310"/>
      <c r="BA28" s="318" t="e">
        <f>#REF!</f>
        <v>#REF!</v>
      </c>
      <c r="BB28" s="319" t="e">
        <f>#REF!</f>
        <v>#REF!</v>
      </c>
      <c r="BC28" s="318" t="e">
        <f>#REF!</f>
        <v>#REF!</v>
      </c>
      <c r="BD28" s="320" t="e">
        <f>#REF!</f>
        <v>#REF!</v>
      </c>
      <c r="BE28" s="302"/>
    </row>
    <row r="29" ht="26.25" customHeight="1" spans="2:60">
      <c r="B29" s="225" t="s">
        <v>183</v>
      </c>
      <c r="C29" s="227">
        <f t="shared" si="10"/>
        <v>0</v>
      </c>
      <c r="D29" s="227">
        <f>IFERROR(GETPIVOTDATA("Area AGM",#REF!,"Dealer",""&amp;$S$18&amp;"","Model",""&amp;$B29&amp;"","Umur Outstansing",""&amp;D$2&amp;""),0)</f>
        <v>0</v>
      </c>
      <c r="E29" s="227">
        <f>IFERROR(GETPIVOTDATA("Area AGM",#REF!,"Dealer",""&amp;$S$18&amp;"","Model",""&amp;$B29&amp;"","Umur Outstansing",""&amp;E$2&amp;""),0)</f>
        <v>0</v>
      </c>
      <c r="F29" s="227">
        <f>IFERROR(GETPIVOTDATA("Area AGM",#REF!,"Dealer",""&amp;$S$18&amp;"","Model",""&amp;$B29&amp;"","Umur Outstansing",""&amp;F$2&amp;""),0)</f>
        <v>0</v>
      </c>
      <c r="G29" s="227">
        <f>IFERROR(GETPIVOTDATA("Area AGM",#REF!,"Dealer",""&amp;$S$18&amp;"","Model",""&amp;$B29&amp;"","Umur Outstansing",""&amp;G$2&amp;""),0)</f>
        <v>0</v>
      </c>
      <c r="H29" s="227">
        <f>IFERROR(GETPIVOTDATA("Area AGM",#REF!,"Dealer",""&amp;$S$18&amp;"","Model",""&amp;$B29&amp;"","Umur Outstansing",""&amp;H$2&amp;""),0)</f>
        <v>0</v>
      </c>
      <c r="J29" s="227">
        <f>IFERROR(GETPIVOTDATA("Area AGM",#REF!,"Dealer",""&amp;$S$18&amp;"","Model",""&amp;$B29&amp;""),0)</f>
        <v>0</v>
      </c>
      <c r="K29" s="227">
        <f>IFERROR(GETPIVOTDATA("Area AGM",#REF!,"Dealer",""&amp;$S$18&amp;"","Model",""&amp;$B29&amp;""),0)</f>
        <v>0</v>
      </c>
      <c r="M29" s="227"/>
      <c r="O29" s="227"/>
      <c r="P29" s="226" t="s">
        <v>135</v>
      </c>
      <c r="Q29" s="291">
        <f t="shared" si="11"/>
        <v>0</v>
      </c>
      <c r="R29" s="227">
        <f>IFERROR(GETPIVOTDATA("RS Target",#REF!,"Dealer",""&amp;$S$18&amp;"","Model",""&amp;$P29&amp;""),0)</f>
        <v>0</v>
      </c>
      <c r="S29" s="250" t="s">
        <v>135</v>
      </c>
      <c r="T29" s="304">
        <f t="shared" si="14"/>
        <v>0</v>
      </c>
      <c r="U29" s="304">
        <f>IFERROR(GETPIVOTDATA("Area AGM",'Pvt OS'!#REF!,"Dealer",""&amp;$S$18&amp;"","Model",""&amp;$S29&amp;""),0)</f>
        <v>0</v>
      </c>
      <c r="V29" s="304">
        <f t="shared" si="15"/>
        <v>0</v>
      </c>
      <c r="W29" s="305">
        <f>IFERROR(GETPIVOTDATA("Area AGM",'Pvt OS'!#REF!,"Dealer",""&amp;$S$18&amp;"","Model",""&amp;$S29&amp;""),0)+IFERROR(GETPIVOTDATA("Area AGM",'Pvt OS'!$A$8,"Dealer",""&amp;$S$18&amp;"","Model",""&amp;$S29&amp;""),0)</f>
        <v>0</v>
      </c>
      <c r="X29" s="306">
        <f t="shared" si="20"/>
        <v>0</v>
      </c>
      <c r="Y29" s="306">
        <f>IFERROR(GETPIVOTDATA("Area AGM",'Pvt OS'!$U$8,"Dealer",""&amp;$S$18&amp;"","Model",""&amp;$S29&amp;""),0)</f>
        <v>0</v>
      </c>
      <c r="Z29" s="306">
        <f>IFERROR(GETPIVOTDATA("Area AGM",'Pvt OS'!$M$8,"Dealer",""&amp;$S$18&amp;"","Model",""&amp;$S29&amp;""),0)</f>
        <v>0</v>
      </c>
      <c r="AA29" s="306">
        <f>IFERROR(GETPIVOTDATA("Area AGM",'Pvt OS'!#REF!,"Dealer",""&amp;$S$18&amp;"","Model",""&amp;$S29&amp;""),0)</f>
        <v>0</v>
      </c>
      <c r="AB29" s="306">
        <f>IFERROR(GETPIVOTDATA("Area AGM",'Pvt OS'!$AO$8,"Dealer",""&amp;$S$18&amp;"","Model",""&amp;$S29&amp;""),0)</f>
        <v>0</v>
      </c>
      <c r="AC29" s="306">
        <f>IFERROR(GETPIVOTDATA("Stock",#REF!,"Dealer",""&amp;$S$18&amp;"","Model",""&amp;$S29&amp;""),0)</f>
        <v>0</v>
      </c>
      <c r="AD29" s="306">
        <f>IFERROR(GETPIVOTDATA("MDP",#REF!,"Dealer",""&amp;$S$18&amp;"","Model",""&amp;$S29&amp;""),0)</f>
        <v>0</v>
      </c>
      <c r="AE29" s="305">
        <f>IFERROR(GETPIVOTDATA("RRN",#REF!,"Model2",""&amp;$S29&amp;"","Dealer",""&amp;$S$18&amp;""),0)</f>
        <v>0</v>
      </c>
      <c r="AF29" s="305">
        <f>IFERROR(GETPIVOTDATA("CO",#REF!,"Dealer Name",""&amp;$S$18&amp;"","Model",""&amp;$S29&amp;""),0)</f>
        <v>0</v>
      </c>
      <c r="AG29" s="306">
        <f>IFERROR(GETPIVOTDATA("Sum of Distplan Final",#REF!,"Dealer",""&amp;$S$18&amp;"","Model",""&amp;$S29&amp;""),0)</f>
        <v>0</v>
      </c>
      <c r="AH29" s="306">
        <f>IFERROR(GETPIVOTDATA("RRN",#REF!,"Model",""&amp;$S29&amp;"","Dealer",""&amp;$S$18&amp;""),0)</f>
        <v>0</v>
      </c>
      <c r="AI29" s="306">
        <f t="shared" si="17"/>
        <v>0</v>
      </c>
      <c r="AJ29" s="306">
        <f>IFERROR(GETPIVOTDATA("volume_rs",#REF!,"Model",""&amp;$S29&amp;"","Dealer",""&amp;$S$18&amp;""),0)</f>
        <v>0</v>
      </c>
      <c r="AK29" s="307">
        <f t="shared" si="18"/>
        <v>0</v>
      </c>
      <c r="AL29" s="307">
        <f>IFERROR(GETPIVOTDATA("Area AGM",'Pvt OS'!#REF!,"Dealer",""&amp;$S$18&amp;"","Model",""&amp;$S29&amp;""),0)</f>
        <v>0</v>
      </c>
      <c r="AM29" s="304">
        <f t="shared" si="12"/>
        <v>0</v>
      </c>
      <c r="AN29" s="307">
        <f>IFERROR(GETPIVOTDATA("Row Labels",#REF!,"Dealer",""&amp;$S$18&amp;"","Model",""&amp;$S29&amp;""),0)</f>
        <v>0</v>
      </c>
      <c r="AO29" s="307">
        <f>IFERROR(GETPIVOTDATA("RS Afi",#REF!,"Dealer",""&amp;$S$18&amp;"","Model",""&amp;$S29&amp;""),0)</f>
        <v>0</v>
      </c>
      <c r="AP29" s="307">
        <f>IFERROR(GETPIVOTDATA("qty",#REF!,"Model",""&amp;$S29&amp;"","Dealer",""&amp;$S$18&amp;""),0)</f>
        <v>0</v>
      </c>
      <c r="AQ29" s="307">
        <f>IFERROR(GETPIVOTDATA("volume_rs",#REF!,"Model",""&amp;$S29&amp;"","Dealer",""&amp;$S$18&amp;""),0)</f>
        <v>0</v>
      </c>
      <c r="AR29" s="306">
        <f t="shared" si="13"/>
        <v>0</v>
      </c>
      <c r="AS29" s="306">
        <f>IFERROR(GETPIVOTDATA("Area AGM",'Pvt OS'!#REF!,"Dealer",""&amp;$S$18&amp;"","Model",""&amp;$S29&amp;""),0)</f>
        <v>0</v>
      </c>
      <c r="AT29" s="306">
        <f t="shared" si="19"/>
        <v>0</v>
      </c>
      <c r="AU29" s="308"/>
      <c r="AV29" s="309"/>
      <c r="AW29" s="309"/>
      <c r="AX29" s="309"/>
      <c r="AY29" s="309"/>
      <c r="AZ29" s="310"/>
      <c r="BA29" s="311" t="e">
        <f>#REF!</f>
        <v>#REF!</v>
      </c>
      <c r="BB29" s="312" t="e">
        <f>#REF!</f>
        <v>#REF!</v>
      </c>
      <c r="BC29" s="311" t="e">
        <f>#REF!</f>
        <v>#REF!</v>
      </c>
      <c r="BD29" s="313" t="e">
        <f>#REF!</f>
        <v>#REF!</v>
      </c>
      <c r="BE29" s="302"/>
    </row>
    <row r="30" ht="26.25" customHeight="1" spans="2:60">
      <c r="B30" s="225" t="s">
        <v>184</v>
      </c>
      <c r="C30" s="227">
        <f t="shared" si="10"/>
        <v>0</v>
      </c>
      <c r="D30" s="227">
        <f>IFERROR(GETPIVOTDATA("Area AGM",#REF!,"Dealer",""&amp;$S$18&amp;"","Model",""&amp;$B30&amp;"","Umur Outstansing",""&amp;D$2&amp;""),0)</f>
        <v>0</v>
      </c>
      <c r="E30" s="227">
        <f>IFERROR(GETPIVOTDATA("Area AGM",#REF!,"Dealer",""&amp;$S$18&amp;"","Model",""&amp;$B30&amp;"","Umur Outstansing",""&amp;E$2&amp;""),0)</f>
        <v>0</v>
      </c>
      <c r="F30" s="227">
        <f>IFERROR(GETPIVOTDATA("Area AGM",#REF!,"Dealer",""&amp;$S$18&amp;"","Model",""&amp;$B30&amp;"","Umur Outstansing",""&amp;F$2&amp;""),0)</f>
        <v>0</v>
      </c>
      <c r="G30" s="227">
        <f>IFERROR(GETPIVOTDATA("Area AGM",#REF!,"Dealer",""&amp;$S$18&amp;"","Model",""&amp;$B30&amp;"","Umur Outstansing",""&amp;G$2&amp;""),0)</f>
        <v>0</v>
      </c>
      <c r="H30" s="227">
        <f>IFERROR(GETPIVOTDATA("Area AGM",#REF!,"Dealer",""&amp;$S$18&amp;"","Model",""&amp;$B30&amp;"","Umur Outstansing",""&amp;H$2&amp;""),0)</f>
        <v>0</v>
      </c>
      <c r="J30" s="227">
        <f>IFERROR(GETPIVOTDATA("Area AGM",#REF!,"Dealer",""&amp;$S$18&amp;"","Model",""&amp;$B30&amp;""),0)</f>
        <v>0</v>
      </c>
      <c r="K30" s="227">
        <f>IFERROR(GETPIVOTDATA("Area AGM",#REF!,"Dealer",""&amp;$S$18&amp;"","Model",""&amp;$B30&amp;""),0)</f>
        <v>0</v>
      </c>
      <c r="M30" s="227"/>
      <c r="O30" s="227"/>
      <c r="P30" s="226" t="s">
        <v>137</v>
      </c>
      <c r="Q30" s="291">
        <f t="shared" si="11"/>
        <v>0</v>
      </c>
      <c r="R30" s="227">
        <f>R31-SUM(R21:R29)</f>
        <v>0</v>
      </c>
      <c r="S30" s="250" t="s">
        <v>137</v>
      </c>
      <c r="T30" s="304">
        <f t="shared" si="14"/>
        <v>0</v>
      </c>
      <c r="U30" s="306">
        <f t="shared" ref="U30" si="21">U31-SUM(U21:U29)</f>
        <v>0</v>
      </c>
      <c r="V30" s="304">
        <f t="shared" si="15"/>
        <v>0</v>
      </c>
      <c r="W30" s="306">
        <f>W31-SUM(W21:W29)</f>
        <v>0</v>
      </c>
      <c r="X30" s="306">
        <f t="shared" si="20"/>
        <v>0</v>
      </c>
      <c r="Y30" s="306">
        <f t="shared" ref="Y30:AH30" si="22">Y31-SUM(Y21:Y29)</f>
        <v>0</v>
      </c>
      <c r="Z30" s="306">
        <f t="shared" si="22"/>
        <v>0</v>
      </c>
      <c r="AA30" s="306">
        <f t="shared" si="22"/>
        <v>0</v>
      </c>
      <c r="AB30" s="306">
        <f t="shared" si="22"/>
        <v>0</v>
      </c>
      <c r="AC30" s="306">
        <f t="shared" si="22"/>
        <v>0</v>
      </c>
      <c r="AD30" s="306">
        <f t="shared" si="22"/>
        <v>0</v>
      </c>
      <c r="AE30" s="306">
        <f t="shared" si="22"/>
        <v>0</v>
      </c>
      <c r="AF30" s="306">
        <f t="shared" si="22"/>
        <v>0</v>
      </c>
      <c r="AG30" s="306">
        <f t="shared" si="22"/>
        <v>0</v>
      </c>
      <c r="AH30" s="306">
        <f t="shared" si="22"/>
        <v>0</v>
      </c>
      <c r="AI30" s="306">
        <f t="shared" si="17"/>
        <v>0</v>
      </c>
      <c r="AJ30" s="306">
        <f>AJ31-SUM(AJ21:AJ29)</f>
        <v>0</v>
      </c>
      <c r="AK30" s="307">
        <f t="shared" si="18"/>
        <v>0</v>
      </c>
      <c r="AL30" s="307">
        <f>AL31-SUM(AL21:AL29)</f>
        <v>0</v>
      </c>
      <c r="AM30" s="330">
        <f t="shared" si="12"/>
        <v>0</v>
      </c>
      <c r="AN30" s="306">
        <f t="shared" ref="AN30:AQ30" si="23">AN31-SUM(AN21:AN29)</f>
        <v>0</v>
      </c>
      <c r="AO30" s="306">
        <f t="shared" si="23"/>
        <v>0</v>
      </c>
      <c r="AP30" s="306">
        <f t="shared" si="23"/>
        <v>0</v>
      </c>
      <c r="AQ30" s="306">
        <f t="shared" si="23"/>
        <v>0</v>
      </c>
      <c r="AR30" s="306">
        <f t="shared" si="13"/>
        <v>0</v>
      </c>
      <c r="AS30" s="306">
        <f>AS31-SUM(AS21:AS29)</f>
        <v>0</v>
      </c>
      <c r="AT30" s="306">
        <f t="shared" si="19"/>
        <v>0</v>
      </c>
      <c r="AU30" s="308"/>
      <c r="AV30" s="309"/>
      <c r="AW30" s="309"/>
      <c r="AX30" s="309"/>
      <c r="AY30" s="309"/>
      <c r="AZ30" s="310"/>
      <c r="BA30" s="311" t="e">
        <f>#REF!</f>
        <v>#REF!</v>
      </c>
      <c r="BB30" s="312" t="e">
        <f>#REF!</f>
        <v>#REF!</v>
      </c>
      <c r="BC30" s="311" t="e">
        <f>#REF!</f>
        <v>#REF!</v>
      </c>
      <c r="BD30" s="313" t="e">
        <f>#REF!</f>
        <v>#REF!</v>
      </c>
      <c r="BE30" s="302"/>
    </row>
    <row r="31" ht="26.25" customHeight="1" spans="2:60">
      <c r="B31" s="225" t="s">
        <v>185</v>
      </c>
      <c r="C31" s="227">
        <f t="shared" si="10"/>
        <v>0</v>
      </c>
      <c r="D31" s="227">
        <f>IFERROR(GETPIVOTDATA("Area AGM",#REF!,"Dealer",""&amp;$S$18&amp;"","Model",""&amp;$B31&amp;"","Umur Outstansing",""&amp;D$2&amp;""),0)</f>
        <v>0</v>
      </c>
      <c r="E31" s="227">
        <f>IFERROR(GETPIVOTDATA("Area AGM",#REF!,"Dealer",""&amp;$S$18&amp;"","Model",""&amp;$B31&amp;"","Umur Outstansing",""&amp;E$2&amp;""),0)</f>
        <v>0</v>
      </c>
      <c r="F31" s="227">
        <f>IFERROR(GETPIVOTDATA("Area AGM",#REF!,"Dealer",""&amp;$S$18&amp;"","Model",""&amp;$B31&amp;"","Umur Outstansing",""&amp;F$2&amp;""),0)</f>
        <v>0</v>
      </c>
      <c r="G31" s="227">
        <f>IFERROR(GETPIVOTDATA("Area AGM",#REF!,"Dealer",""&amp;$S$18&amp;"","Model",""&amp;$B31&amp;"","Umur Outstansing",""&amp;G$2&amp;""),0)</f>
        <v>0</v>
      </c>
      <c r="H31" s="227">
        <f>IFERROR(GETPIVOTDATA("Area AGM",#REF!,"Dealer",""&amp;$S$18&amp;"","Model",""&amp;$B31&amp;"","Umur Outstansing",""&amp;H$2&amp;""),0)</f>
        <v>0</v>
      </c>
      <c r="J31" s="227">
        <f>IFERROR(GETPIVOTDATA("Area AGM",#REF!,"Dealer",""&amp;$S$18&amp;"","Model",""&amp;$B31&amp;""),0)</f>
        <v>0</v>
      </c>
      <c r="K31" s="227">
        <f>IFERROR(GETPIVOTDATA("Area AGM",#REF!,"Dealer",""&amp;$S$18&amp;"","Model",""&amp;$B31&amp;""),0)</f>
        <v>0</v>
      </c>
      <c r="M31" s="227"/>
      <c r="O31" s="227"/>
      <c r="P31" s="226" t="s">
        <v>139</v>
      </c>
      <c r="Q31" s="291">
        <f t="shared" si="11"/>
        <v>0</v>
      </c>
      <c r="R31" s="227">
        <f>IFERROR(GETPIVOTDATA("RS Target",#REF!,"Dealer",""&amp;$S$18&amp;""),0)</f>
        <v>0</v>
      </c>
      <c r="S31" s="331" t="s">
        <v>139</v>
      </c>
      <c r="T31" s="332">
        <f t="shared" si="14"/>
        <v>0</v>
      </c>
      <c r="U31" s="332">
        <f>IFERROR(GETPIVOTDATA("Area AGM",'Pvt OS'!#REF!,"Dealer",""&amp;$S$18&amp;""),0)</f>
        <v>0</v>
      </c>
      <c r="V31" s="332">
        <f t="shared" si="15"/>
        <v>0</v>
      </c>
      <c r="W31" s="333">
        <f>IFERROR(GETPIVOTDATA("Area AGM",'Pvt OS'!#REF!,"Dealer",""&amp;$S$18&amp;""),0)+IFERROR(GETPIVOTDATA("Area AGM",'Pvt OS'!$A$8,"Dealer",""&amp;$S$18&amp;""),0)</f>
        <v>0</v>
      </c>
      <c r="X31" s="334">
        <f t="shared" si="20"/>
        <v>0</v>
      </c>
      <c r="Y31" s="334">
        <f>IFERROR(GETPIVOTDATA("Area AGM",'Pvt OS'!$U$8,"Dealer",""&amp;$S$18&amp;""),0)</f>
        <v>0</v>
      </c>
      <c r="Z31" s="333">
        <f>IFERROR(GETPIVOTDATA("Area AGM",'Pvt OS'!$M$8,"Dealer",""&amp;$S$18&amp;""),0)</f>
        <v>0</v>
      </c>
      <c r="AA31" s="333">
        <f>IFERROR(GETPIVOTDATA("Area AGM",'Pvt OS'!#REF!,"Dealer",""&amp;$S$18&amp;""),0)</f>
        <v>0</v>
      </c>
      <c r="AB31" s="333">
        <f>IFERROR(GETPIVOTDATA("Area AGM",'Pvt OS'!$AO$8,"Dealer",""&amp;$S$18&amp;""),0)</f>
        <v>0</v>
      </c>
      <c r="AC31" s="333">
        <f>IFERROR(GETPIVOTDATA("Stock",#REF!,"Dealer",""&amp;$S$18&amp;""),0)</f>
        <v>0</v>
      </c>
      <c r="AD31" s="333">
        <f>IFERROR(GETPIVOTDATA("MDP",#REF!,"Dealer",""&amp;$S$18&amp;""),0)</f>
        <v>0</v>
      </c>
      <c r="AE31" s="333">
        <f>IFERROR(GETPIVOTDATA("RRN",#REF!,"Dealer",""&amp;$S$18&amp;""),0)</f>
        <v>0</v>
      </c>
      <c r="AF31" s="333">
        <f>IFERROR(GETPIVOTDATA("CO",#REF!,"Dealer Name",""&amp;$S$18&amp;""),0)</f>
        <v>0</v>
      </c>
      <c r="AG31" s="333">
        <f>IFERROR(GETPIVOTDATA("Sum of Distplan Final",#REF!,"Dealer",""&amp;$S$18&amp;""),0)</f>
        <v>0</v>
      </c>
      <c r="AH31" s="333">
        <f>IFERROR(GETPIVOTDATA("RRN",#REF!,"Dealer",""&amp;$S$18&amp;""),0)</f>
        <v>0</v>
      </c>
      <c r="AI31" s="333">
        <f t="shared" si="17"/>
        <v>0</v>
      </c>
      <c r="AJ31" s="333">
        <f>IFERROR(GETPIVOTDATA("volume_rs",#REF!,"Dealer",""&amp;$S$18&amp;""),0)</f>
        <v>0</v>
      </c>
      <c r="AK31" s="335">
        <f t="shared" si="18"/>
        <v>0</v>
      </c>
      <c r="AL31" s="335">
        <f>IFERROR(GETPIVOTDATA("Area AGM",'Pvt OS'!#REF!,"Dealer",""&amp;$S$18&amp;""),0)</f>
        <v>0</v>
      </c>
      <c r="AM31" s="336" t="e">
        <f>'AO Report(0)'!#REF!</f>
        <v>#REF!</v>
      </c>
      <c r="AN31" s="337">
        <f>IFERROR(GETPIVOTDATA("Row Labels",#REF!,"Dealer",""&amp;$S$18&amp;""),0)</f>
        <v>0</v>
      </c>
      <c r="AO31" s="337">
        <f>IFERROR(GETPIVOTDATA("RS Afi",#REF!,"Dealer",""&amp;$S$18&amp;""),0)</f>
        <v>0</v>
      </c>
      <c r="AP31" s="338">
        <f>IFERROR(GETPIVOTDATA("qty",#REF!,"Dealer",""&amp;$S$18&amp;""),0)</f>
        <v>0</v>
      </c>
      <c r="AQ31" s="338">
        <f>IFERROR(GETPIVOTDATA("volume_rs",#REF!,"Dealer",""&amp;$S$18&amp;""),0)</f>
        <v>0</v>
      </c>
      <c r="AR31" s="339">
        <f t="shared" si="13"/>
        <v>0</v>
      </c>
      <c r="AS31" s="339">
        <f>IFERROR(GETPIVOTDATA("Area AGM",'Pvt OS'!#REF!,"Dealer",""&amp;$S$18&amp;""),0)</f>
        <v>0</v>
      </c>
      <c r="AT31" s="339">
        <f t="shared" si="19"/>
        <v>0</v>
      </c>
      <c r="AU31" s="340"/>
      <c r="AV31" s="341"/>
      <c r="AW31" s="341"/>
      <c r="AX31" s="341"/>
      <c r="AY31" s="341"/>
      <c r="AZ31" s="342"/>
      <c r="BA31" s="343" t="e">
        <f>#REF!</f>
        <v>#REF!</v>
      </c>
      <c r="BB31" s="344" t="e">
        <f>#REF!</f>
        <v>#REF!</v>
      </c>
      <c r="BC31" s="343" t="e">
        <f>#REF!</f>
        <v>#REF!</v>
      </c>
      <c r="BD31" s="345" t="e">
        <f>#REF!</f>
        <v>#REF!</v>
      </c>
      <c r="BE31" s="302"/>
    </row>
    <row r="32" ht="26.25" customHeight="1" spans="2:60">
      <c r="B32" s="225" t="s">
        <v>186</v>
      </c>
      <c r="C32" s="227">
        <f t="shared" si="10"/>
        <v>0</v>
      </c>
      <c r="D32" s="227">
        <f>IFERROR(GETPIVOTDATA("Area AGM",#REF!,"Dealer",""&amp;$S$18&amp;"","Model",""&amp;$B32&amp;"","Umur Outstansing",""&amp;D$2&amp;""),0)</f>
        <v>0</v>
      </c>
      <c r="E32" s="227">
        <f>IFERROR(GETPIVOTDATA("Area AGM",#REF!,"Dealer",""&amp;$S$18&amp;"","Model",""&amp;$B32&amp;"","Umur Outstansing",""&amp;E$2&amp;""),0)</f>
        <v>0</v>
      </c>
      <c r="F32" s="227">
        <f>IFERROR(GETPIVOTDATA("Area AGM",#REF!,"Dealer",""&amp;$S$18&amp;"","Model",""&amp;$B32&amp;"","Umur Outstansing",""&amp;F$2&amp;""),0)</f>
        <v>0</v>
      </c>
      <c r="G32" s="227">
        <f>IFERROR(GETPIVOTDATA("Area AGM",#REF!,"Dealer",""&amp;$S$18&amp;"","Model",""&amp;$B32&amp;"","Umur Outstansing",""&amp;G$2&amp;""),0)</f>
        <v>0</v>
      </c>
      <c r="H32" s="227">
        <f>IFERROR(GETPIVOTDATA("Area AGM",#REF!,"Dealer",""&amp;$S$18&amp;"","Model",""&amp;$B32&amp;"","Umur Outstansing",""&amp;H$2&amp;""),0)</f>
        <v>0</v>
      </c>
      <c r="J32" s="227">
        <f>IFERROR(GETPIVOTDATA("Area AGM",#REF!,"Dealer",""&amp;$S$18&amp;"","Model",""&amp;$B32&amp;""),0)</f>
        <v>0</v>
      </c>
      <c r="K32" s="227">
        <f>IFERROR(GETPIVOTDATA("Area AGM",#REF!,"Dealer",""&amp;$S$18&amp;"","Model",""&amp;$B32&amp;""),0)</f>
        <v>0</v>
      </c>
      <c r="AD32" s="346"/>
      <c r="AE32" s="346"/>
      <c r="AK32" s="228"/>
      <c r="AL32" s="228"/>
      <c r="AN32" s="228"/>
      <c r="AO32" s="228"/>
      <c r="AP32" s="228"/>
      <c r="AQ32" s="228"/>
      <c r="AS32" s="346"/>
    </row>
    <row r="33" ht="26.25" customHeight="1" spans="2:56">
      <c r="B33" s="225" t="s">
        <v>187</v>
      </c>
      <c r="C33" s="227">
        <f t="shared" si="10"/>
        <v>0</v>
      </c>
      <c r="D33" s="227">
        <f>IFERROR(GETPIVOTDATA("Area AGM",#REF!,"Dealer",""&amp;$S$18&amp;"","Model",""&amp;$B33&amp;"","Umur Outstansing",""&amp;D$2&amp;""),0)</f>
        <v>0</v>
      </c>
      <c r="E33" s="227">
        <f>IFERROR(GETPIVOTDATA("Area AGM",#REF!,"Dealer",""&amp;$S$18&amp;"","Model",""&amp;$B33&amp;"","Umur Outstansing",""&amp;E$2&amp;""),0)</f>
        <v>0</v>
      </c>
      <c r="F33" s="227">
        <f>IFERROR(GETPIVOTDATA("Area AGM",#REF!,"Dealer",""&amp;$S$18&amp;"","Model",""&amp;$B33&amp;"","Umur Outstansing",""&amp;F$2&amp;""),0)</f>
        <v>0</v>
      </c>
      <c r="G33" s="227">
        <f>IFERROR(GETPIVOTDATA("Area AGM",#REF!,"Dealer",""&amp;$S$18&amp;"","Model",""&amp;$B33&amp;"","Umur Outstansing",""&amp;G$2&amp;""),0)</f>
        <v>0</v>
      </c>
      <c r="H33" s="227">
        <f>IFERROR(GETPIVOTDATA("Area AGM",#REF!,"Dealer",""&amp;$S$18&amp;"","Model",""&amp;$B33&amp;"","Umur Outstansing",""&amp;H$2&amp;""),0)</f>
        <v>0</v>
      </c>
      <c r="J33" s="227">
        <f>IFERROR(GETPIVOTDATA("Area AGM",#REF!,"Dealer",""&amp;$S$18&amp;"","Model",""&amp;$B33&amp;""),0)</f>
        <v>0</v>
      </c>
      <c r="K33" s="227">
        <f>IFERROR(GETPIVOTDATA("Area AGM",#REF!,"Dealer",""&amp;$S$18&amp;"","Model",""&amp;$B33&amp;""),0)</f>
        <v>0</v>
      </c>
      <c r="R33" s="228" t="b">
        <f t="shared" ref="R33" si="24">R34=R30</f>
        <v>1</v>
      </c>
      <c r="T33" s="228" t="b">
        <f>T34=T30</f>
        <v>1</v>
      </c>
      <c r="U33" s="228" t="b">
        <f>U34=U30</f>
        <v>1</v>
      </c>
      <c r="V33" s="228" t="b">
        <f>V34=V30</f>
        <v>1</v>
      </c>
      <c r="W33" s="228" t="b">
        <f t="shared" ref="W33:AT33" si="25">W34=W30</f>
        <v>1</v>
      </c>
      <c r="X33" s="228" t="b">
        <f t="shared" si="25"/>
        <v>1</v>
      </c>
      <c r="Y33" s="228" t="b">
        <f t="shared" si="25"/>
        <v>1</v>
      </c>
      <c r="Z33" s="228" t="b">
        <f t="shared" si="25"/>
        <v>1</v>
      </c>
      <c r="AA33" s="228" t="b">
        <f t="shared" si="25"/>
        <v>1</v>
      </c>
      <c r="AB33" s="228" t="b">
        <f t="shared" si="25"/>
        <v>1</v>
      </c>
      <c r="AC33" s="228" t="b">
        <f t="shared" si="25"/>
        <v>1</v>
      </c>
      <c r="AD33" s="228" t="b">
        <f t="shared" si="25"/>
        <v>1</v>
      </c>
      <c r="AE33" s="228" t="b">
        <f t="shared" si="25"/>
        <v>1</v>
      </c>
      <c r="AF33" s="228" t="b">
        <f t="shared" si="25"/>
        <v>1</v>
      </c>
      <c r="AG33" s="228" t="b">
        <f t="shared" si="25"/>
        <v>1</v>
      </c>
      <c r="AH33" s="228" t="b">
        <f t="shared" si="25"/>
        <v>1</v>
      </c>
      <c r="AI33" s="228" t="b">
        <f t="shared" si="25"/>
        <v>1</v>
      </c>
      <c r="AJ33" s="228" t="b">
        <f t="shared" si="25"/>
        <v>1</v>
      </c>
      <c r="AK33" s="228" t="b">
        <f t="shared" si="25"/>
        <v>1</v>
      </c>
      <c r="AL33" s="228" t="b">
        <f t="shared" si="25"/>
        <v>1</v>
      </c>
      <c r="AM33" s="228" t="b">
        <f t="shared" si="25"/>
        <v>1</v>
      </c>
      <c r="AN33" s="228" t="b">
        <f t="shared" si="25"/>
        <v>1</v>
      </c>
      <c r="AO33" s="228" t="b">
        <f t="shared" si="25"/>
        <v>1</v>
      </c>
      <c r="AP33" s="228" t="b">
        <f t="shared" si="25"/>
        <v>1</v>
      </c>
      <c r="AQ33" s="228" t="b">
        <f t="shared" si="25"/>
        <v>1</v>
      </c>
      <c r="AR33" s="228" t="b">
        <f t="shared" si="25"/>
        <v>1</v>
      </c>
      <c r="AS33" s="228" t="b">
        <f t="shared" si="25"/>
        <v>1</v>
      </c>
      <c r="AT33" s="228" t="b">
        <f t="shared" si="25"/>
        <v>1</v>
      </c>
    </row>
    <row r="34" ht="26.25" customHeight="1" spans="2:56">
      <c r="B34" s="225" t="s">
        <v>188</v>
      </c>
      <c r="C34" s="227">
        <f t="shared" si="10"/>
        <v>0</v>
      </c>
      <c r="D34" s="227">
        <f>IFERROR(GETPIVOTDATA("Area AGM",#REF!,"Dealer",""&amp;$S$18&amp;"","Model",""&amp;$B34&amp;"","Umur Outstansing",""&amp;D$2&amp;""),0)</f>
        <v>0</v>
      </c>
      <c r="E34" s="227">
        <f>IFERROR(GETPIVOTDATA("Area AGM",#REF!,"Dealer",""&amp;$S$18&amp;"","Model",""&amp;$B34&amp;"","Umur Outstansing",""&amp;E$2&amp;""),0)</f>
        <v>0</v>
      </c>
      <c r="F34" s="227">
        <f>IFERROR(GETPIVOTDATA("Area AGM",#REF!,"Dealer",""&amp;$S$18&amp;"","Model",""&amp;$B34&amp;"","Umur Outstansing",""&amp;F$2&amp;""),0)</f>
        <v>0</v>
      </c>
      <c r="G34" s="227">
        <f>IFERROR(GETPIVOTDATA("Area AGM",#REF!,"Dealer",""&amp;$S$18&amp;"","Model",""&amp;$B34&amp;"","Umur Outstansing",""&amp;G$2&amp;""),0)</f>
        <v>0</v>
      </c>
      <c r="H34" s="227">
        <f>IFERROR(GETPIVOTDATA("Area AGM",#REF!,"Dealer",""&amp;$S$18&amp;"","Model",""&amp;$B34&amp;"","Umur Outstansing",""&amp;H$2&amp;""),0)</f>
        <v>0</v>
      </c>
      <c r="J34" s="227">
        <f>IFERROR(GETPIVOTDATA("Area AGM",#REF!,"Dealer",""&amp;$S$18&amp;"","Model",""&amp;$B34&amp;""),0)</f>
        <v>0</v>
      </c>
      <c r="K34" s="227">
        <f>IFERROR(GETPIVOTDATA("Area AGM",#REF!,"Dealer",""&amp;$S$18&amp;"","Model",""&amp;$B34&amp;""),0)</f>
        <v>0</v>
      </c>
      <c r="Q34" s="291">
        <f t="shared" ref="Q34:Q66" si="26">IFERROR(R34/AI34,0)</f>
        <v>0</v>
      </c>
      <c r="R34" s="228">
        <f>SUM(R35:R67)</f>
        <v>0</v>
      </c>
      <c r="T34" s="228">
        <f>SUM(T35:T67)</f>
        <v>0</v>
      </c>
      <c r="U34" s="228">
        <f t="shared" ref="U34:AT34" si="27">SUM(U35:U67)</f>
        <v>0</v>
      </c>
      <c r="V34" s="228">
        <f t="shared" si="27"/>
        <v>0</v>
      </c>
      <c r="W34" s="228">
        <f t="shared" si="27"/>
        <v>0</v>
      </c>
      <c r="X34" s="228">
        <f t="shared" si="27"/>
        <v>0</v>
      </c>
      <c r="Y34" s="228">
        <f t="shared" si="27"/>
        <v>0</v>
      </c>
      <c r="Z34" s="228">
        <f t="shared" si="27"/>
        <v>0</v>
      </c>
      <c r="AA34" s="228">
        <f t="shared" si="27"/>
        <v>0</v>
      </c>
      <c r="AB34" s="228">
        <f t="shared" si="27"/>
        <v>0</v>
      </c>
      <c r="AC34" s="228">
        <f t="shared" si="27"/>
        <v>0</v>
      </c>
      <c r="AD34" s="228">
        <f t="shared" si="27"/>
        <v>0</v>
      </c>
      <c r="AE34" s="228">
        <f t="shared" si="27"/>
        <v>0</v>
      </c>
      <c r="AF34" s="228">
        <f t="shared" si="27"/>
        <v>0</v>
      </c>
      <c r="AG34" s="228">
        <f t="shared" si="27"/>
        <v>0</v>
      </c>
      <c r="AH34" s="228">
        <f t="shared" si="27"/>
        <v>0</v>
      </c>
      <c r="AI34" s="228">
        <f t="shared" si="27"/>
        <v>0</v>
      </c>
      <c r="AJ34" s="346">
        <f t="shared" si="27"/>
        <v>0</v>
      </c>
      <c r="AK34" s="347">
        <f t="shared" si="27"/>
        <v>0</v>
      </c>
      <c r="AL34" s="347">
        <f t="shared" si="27"/>
        <v>0</v>
      </c>
      <c r="AM34" s="346">
        <f t="shared" si="27"/>
        <v>0</v>
      </c>
      <c r="AN34" s="347">
        <f t="shared" si="27"/>
        <v>0</v>
      </c>
      <c r="AO34" s="347">
        <f t="shared" si="27"/>
        <v>0</v>
      </c>
      <c r="AP34" s="347">
        <f t="shared" si="27"/>
        <v>0</v>
      </c>
      <c r="AQ34" s="347">
        <f t="shared" si="27"/>
        <v>0</v>
      </c>
      <c r="AR34" s="346">
        <f t="shared" si="27"/>
        <v>0</v>
      </c>
      <c r="AS34" s="346">
        <f t="shared" si="27"/>
        <v>0</v>
      </c>
      <c r="AT34" s="228">
        <f t="shared" si="27"/>
        <v>0</v>
      </c>
    </row>
    <row r="35" ht="26.25" customHeight="1" spans="2:56">
      <c r="B35" s="225" t="s">
        <v>189</v>
      </c>
      <c r="C35" s="227">
        <f t="shared" si="10"/>
        <v>0</v>
      </c>
      <c r="D35" s="227">
        <f>IFERROR(GETPIVOTDATA("Area AGM",#REF!,"Dealer",""&amp;$S$18&amp;"","Model",""&amp;$B35&amp;"","Umur Outstansing",""&amp;D$2&amp;""),0)</f>
        <v>0</v>
      </c>
      <c r="E35" s="227">
        <f>IFERROR(GETPIVOTDATA("Area AGM",#REF!,"Dealer",""&amp;$S$18&amp;"","Model",""&amp;$B35&amp;"","Umur Outstansing",""&amp;E$2&amp;""),0)</f>
        <v>0</v>
      </c>
      <c r="F35" s="227">
        <f>IFERROR(GETPIVOTDATA("Area AGM",#REF!,"Dealer",""&amp;$S$18&amp;"","Model",""&amp;$B35&amp;"","Umur Outstansing",""&amp;F$2&amp;""),0)</f>
        <v>0</v>
      </c>
      <c r="G35" s="227">
        <f>IFERROR(GETPIVOTDATA("Area AGM",#REF!,"Dealer",""&amp;$S$18&amp;"","Model",""&amp;$B35&amp;"","Umur Outstansing",""&amp;G$2&amp;""),0)</f>
        <v>0</v>
      </c>
      <c r="H35" s="227">
        <f>IFERROR(GETPIVOTDATA("Area AGM",#REF!,"Dealer",""&amp;$S$18&amp;"","Model",""&amp;$B35&amp;"","Umur Outstansing",""&amp;H$2&amp;""),0)</f>
        <v>0</v>
      </c>
      <c r="J35" s="227">
        <f>IFERROR(GETPIVOTDATA("Area AGM",#REF!,"Dealer",""&amp;$S$18&amp;"","Model",""&amp;$B35&amp;""),0)</f>
        <v>0</v>
      </c>
      <c r="K35" s="227">
        <f>IFERROR(GETPIVOTDATA("Area AGM",#REF!,"Dealer",""&amp;$S$18&amp;"","Model",""&amp;$B35&amp;""),0)</f>
        <v>0</v>
      </c>
      <c r="M35" s="227"/>
      <c r="O35" s="227"/>
      <c r="P35" s="226" t="s">
        <v>174</v>
      </c>
      <c r="Q35" s="291">
        <f t="shared" si="26"/>
        <v>0</v>
      </c>
      <c r="R35" s="227">
        <f>IFERROR(GETPIVOTDATA("RS Target",#REF!,"Dealer",""&amp;$S$18&amp;"","Model",""&amp;$P35&amp;""),0)</f>
        <v>0</v>
      </c>
      <c r="S35" s="348" t="s">
        <v>174</v>
      </c>
      <c r="T35" s="349">
        <f t="shared" ref="T35:T66" si="28">SUM(Y35:AB35,AO35)</f>
        <v>0</v>
      </c>
      <c r="U35" s="349">
        <f>IFERROR(GETPIVOTDATA("Area AGM",'Pvt OS'!#REF!,"Dealer",""&amp;$S$18&amp;"","Model",""&amp;$S35&amp;""),0)</f>
        <v>0</v>
      </c>
      <c r="V35" s="349">
        <f t="shared" ref="V35:V66" si="29">W35-X35</f>
        <v>0</v>
      </c>
      <c r="W35" s="350">
        <f>IFERROR(GETPIVOTDATA("Area AGM",'Pvt OS'!#REF!,"Dealer",""&amp;$S$18&amp;"","Model",""&amp;$S35&amp;""),0)+IFERROR(GETPIVOTDATA("Area AGM",'Pvt OS'!$A$8,"Dealer",""&amp;$S$18&amp;"","Model",""&amp;$S35&amp;""),0)</f>
        <v>0</v>
      </c>
      <c r="X35" s="349">
        <f>SUM(Y35:AB35)</f>
        <v>0</v>
      </c>
      <c r="Y35" s="349">
        <f>IFERROR(GETPIVOTDATA("Area AGM",'Pvt OS'!$U$8,"Dealer",""&amp;$S$18&amp;"","Model",""&amp;$S35&amp;""),0)</f>
        <v>0</v>
      </c>
      <c r="Z35" s="349">
        <f>IFERROR(GETPIVOTDATA("Area AGM",'Pvt OS'!$M$8,"Dealer",""&amp;$S$18&amp;"","Model",""&amp;$S35&amp;""),0)</f>
        <v>0</v>
      </c>
      <c r="AA35" s="349">
        <f>IFERROR(GETPIVOTDATA("Area AGM",'Pvt OS'!#REF!,"Dealer",""&amp;$S$18&amp;"","Model",""&amp;$S35&amp;""),0)</f>
        <v>0</v>
      </c>
      <c r="AB35" s="349">
        <f>IFERROR(GETPIVOTDATA("Area AGM",'Pvt OS'!$AO$8,"Dealer",""&amp;$S$18&amp;"","Model",""&amp;$S35&amp;""),0)</f>
        <v>0</v>
      </c>
      <c r="AC35" s="349">
        <f>IFERROR(GETPIVOTDATA("Stock",#REF!,"Dealer",""&amp;$S$18&amp;"","Model",""&amp;$S35&amp;""),0)</f>
        <v>0</v>
      </c>
      <c r="AD35" s="350">
        <f>IFERROR(GETPIVOTDATA("MDP",#REF!,"Dealer",""&amp;$S$18&amp;"","Model",""&amp;$S35&amp;""),0)</f>
        <v>0</v>
      </c>
      <c r="AE35" s="350">
        <f>IFERROR(GETPIVOTDATA("RRN",#REF!,"Model2",""&amp;$S35&amp;"","Dealer",""&amp;$S$18&amp;""),0)</f>
        <v>0</v>
      </c>
      <c r="AF35" s="350">
        <f>IFERROR(GETPIVOTDATA("CO",#REF!,"Dealer Name",""&amp;$S$18&amp;"","Model",""&amp;$S35&amp;""),0)</f>
        <v>0</v>
      </c>
      <c r="AG35" s="349">
        <f>IFERROR(GETPIVOTDATA("Sum of Distplan Final",#REF!,"Dealer",""&amp;$S$18&amp;"","Model",""&amp;$S35&amp;""),0)</f>
        <v>0</v>
      </c>
      <c r="AH35" s="349">
        <f>IFERROR(GETPIVOTDATA("RRN",#REF!,"Model",""&amp;$S35&amp;"","Dealer",""&amp;$S$18&amp;""),0)</f>
        <v>0</v>
      </c>
      <c r="AI35" s="349">
        <f t="shared" ref="AI35:AI66" si="30">AC35+AD35+AF35+AG35-AH35</f>
        <v>0</v>
      </c>
      <c r="AJ35" s="349">
        <f>IFERROR(GETPIVOTDATA("volume_rs",#REF!,"Model",""&amp;$S35&amp;"","Dealer",""&amp;$S$18&amp;""),0)</f>
        <v>0</v>
      </c>
      <c r="AK35" s="351">
        <f t="shared" ref="AK35:AK66" si="31">AI35-AJ35-X35+AN35</f>
        <v>0</v>
      </c>
      <c r="AL35" s="351">
        <f>IFERROR(GETPIVOTDATA("Area AGM",'Pvt OS'!#REF!,"Dealer",""&amp;$S$18&amp;"","Model",""&amp;$S35&amp;""),0)</f>
        <v>0</v>
      </c>
      <c r="AM35" s="349">
        <f t="shared" ref="AM35:AM66" si="32">AK35+AL35</f>
        <v>0</v>
      </c>
      <c r="AN35" s="351">
        <f>IFERROR(GETPIVOTDATA("Row Labels",#REF!,"Dealer",""&amp;$S$18&amp;"","Model",""&amp;$S35&amp;""),0)</f>
        <v>0</v>
      </c>
      <c r="AO35" s="351">
        <f>IFERROR(GETPIVOTDATA("RS Afi",#REF!,"Dealer",""&amp;$S$18&amp;"","Model",""&amp;$S35&amp;""),0)</f>
        <v>0</v>
      </c>
      <c r="AP35" s="351">
        <f>IFERROR(GETPIVOTDATA("qty",#REF!,"Model",""&amp;$S35&amp;"","Dealer",""&amp;$S$18&amp;""),0)</f>
        <v>0</v>
      </c>
      <c r="AQ35" s="351">
        <f>IFERROR(GETPIVOTDATA("volume_rs",#REF!,"Model",""&amp;$S35&amp;"","Dealer",""&amp;$S$18&amp;""),0)</f>
        <v>0</v>
      </c>
      <c r="AR35" s="349">
        <f t="shared" ref="AR35:AR66" si="33">AP35-AQ35</f>
        <v>0</v>
      </c>
      <c r="AS35" s="349">
        <f>IFERROR(GETPIVOTDATA("Area AGM",'Pvt OS'!#REF!,"Dealer",""&amp;$S$18&amp;"","Model",""&amp;$S35&amp;""),0)</f>
        <v>0</v>
      </c>
      <c r="AT35" s="349">
        <f t="shared" ref="AT35:AT66" si="34">AR35-AS35</f>
        <v>0</v>
      </c>
      <c r="AU35" s="352"/>
      <c r="AV35" s="353"/>
      <c r="AW35" s="353"/>
      <c r="AX35" s="353"/>
      <c r="AY35" s="353"/>
      <c r="AZ35" s="353"/>
      <c r="BA35" s="354"/>
      <c r="BB35" s="355"/>
      <c r="BC35" s="354"/>
      <c r="BD35" s="356"/>
    </row>
    <row r="36" ht="26.25" customHeight="1" spans="2:56">
      <c r="B36" s="225" t="s">
        <v>190</v>
      </c>
      <c r="C36" s="227">
        <f t="shared" si="10"/>
        <v>0</v>
      </c>
      <c r="D36" s="227">
        <f>IFERROR(GETPIVOTDATA("Area AGM",#REF!,"Dealer",""&amp;$S$18&amp;"","Model",""&amp;$B36&amp;"","Umur Outstansing",""&amp;D$2&amp;""),0)</f>
        <v>0</v>
      </c>
      <c r="E36" s="227">
        <f>IFERROR(GETPIVOTDATA("Area AGM",#REF!,"Dealer",""&amp;$S$18&amp;"","Model",""&amp;$B36&amp;"","Umur Outstansing",""&amp;E$2&amp;""),0)</f>
        <v>0</v>
      </c>
      <c r="F36" s="227">
        <f>IFERROR(GETPIVOTDATA("Area AGM",#REF!,"Dealer",""&amp;$S$18&amp;"","Model",""&amp;$B36&amp;"","Umur Outstansing",""&amp;F$2&amp;""),0)</f>
        <v>0</v>
      </c>
      <c r="G36" s="227">
        <f>IFERROR(GETPIVOTDATA("Area AGM",#REF!,"Dealer",""&amp;$S$18&amp;"","Model",""&amp;$B36&amp;"","Umur Outstansing",""&amp;G$2&amp;""),0)</f>
        <v>0</v>
      </c>
      <c r="H36" s="227">
        <f>IFERROR(GETPIVOTDATA("Area AGM",#REF!,"Dealer",""&amp;$S$18&amp;"","Model",""&amp;$B36&amp;"","Umur Outstansing",""&amp;H$2&amp;""),0)</f>
        <v>0</v>
      </c>
      <c r="J36" s="227">
        <f>IFERROR(GETPIVOTDATA("Area AGM",#REF!,"Dealer",""&amp;$S$18&amp;"","Model",""&amp;$B36&amp;""),0)</f>
        <v>0</v>
      </c>
      <c r="K36" s="227">
        <f>IFERROR(GETPIVOTDATA("Area AGM",#REF!,"Dealer",""&amp;$S$18&amp;"","Model",""&amp;$B36&amp;""),0)</f>
        <v>0</v>
      </c>
      <c r="M36" s="227"/>
      <c r="O36" s="227"/>
      <c r="P36" s="226" t="s">
        <v>176</v>
      </c>
      <c r="Q36" s="291">
        <f t="shared" si="26"/>
        <v>0</v>
      </c>
      <c r="R36" s="227">
        <f>IFERROR(GETPIVOTDATA("RS Target",#REF!,"Dealer",""&amp;$S$18&amp;"","Model",""&amp;$P36&amp;""),0)</f>
        <v>0</v>
      </c>
      <c r="S36" s="348" t="s">
        <v>176</v>
      </c>
      <c r="T36" s="349">
        <f t="shared" si="28"/>
        <v>0</v>
      </c>
      <c r="U36" s="349">
        <f>IFERROR(GETPIVOTDATA("Area AGM",'Pvt OS'!#REF!,"Dealer",""&amp;$S$18&amp;"","Model",""&amp;$S36&amp;""),0)</f>
        <v>0</v>
      </c>
      <c r="V36" s="349">
        <f t="shared" si="29"/>
        <v>0</v>
      </c>
      <c r="W36" s="350">
        <f>IFERROR(GETPIVOTDATA("Area AGM",'Pvt OS'!#REF!,"Dealer",""&amp;$S$18&amp;"","Model",""&amp;$S36&amp;""),0)+IFERROR(GETPIVOTDATA("Area AGM",'Pvt OS'!$A$8,"Dealer",""&amp;$S$18&amp;"","Model",""&amp;$S36&amp;""),0)</f>
        <v>0</v>
      </c>
      <c r="X36" s="349">
        <f>SUM(Y36:AB36)</f>
        <v>0</v>
      </c>
      <c r="Y36" s="349">
        <f>IFERROR(GETPIVOTDATA("Area AGM",'Pvt OS'!$U$8,"Dealer",""&amp;$S$18&amp;"","Model",""&amp;$S36&amp;""),0)</f>
        <v>0</v>
      </c>
      <c r="Z36" s="349">
        <f>IFERROR(GETPIVOTDATA("Area AGM",'Pvt OS'!$M$8,"Dealer",""&amp;$S$18&amp;"","Model",""&amp;$S36&amp;""),0)</f>
        <v>0</v>
      </c>
      <c r="AA36" s="349">
        <f>IFERROR(GETPIVOTDATA("Area AGM",'Pvt OS'!#REF!,"Dealer",""&amp;$S$18&amp;"","Model",""&amp;$S36&amp;""),0)</f>
        <v>0</v>
      </c>
      <c r="AB36" s="349">
        <f>IFERROR(GETPIVOTDATA("Area AGM",'Pvt OS'!$AO$8,"Dealer",""&amp;$S$18&amp;"","Model",""&amp;$S36&amp;""),0)</f>
        <v>0</v>
      </c>
      <c r="AC36" s="349">
        <f>IFERROR(GETPIVOTDATA("Stock",#REF!,"Dealer",""&amp;$S$18&amp;"","Model",""&amp;$S36&amp;""),0)</f>
        <v>0</v>
      </c>
      <c r="AD36" s="350">
        <f>IFERROR(GETPIVOTDATA("MDP",#REF!,"Dealer",""&amp;$S$18&amp;"","Model",""&amp;$S36&amp;""),0)</f>
        <v>0</v>
      </c>
      <c r="AE36" s="350">
        <f>IFERROR(GETPIVOTDATA("RRN",#REF!,"Model2",""&amp;$S36&amp;"","Dealer",""&amp;$S$18&amp;""),0)</f>
        <v>0</v>
      </c>
      <c r="AF36" s="350">
        <f>IFERROR(GETPIVOTDATA("CO",#REF!,"Dealer Name",""&amp;$S$18&amp;"","Model",""&amp;$S36&amp;""),0)</f>
        <v>0</v>
      </c>
      <c r="AG36" s="349">
        <f>IFERROR(GETPIVOTDATA("Sum of Distplan Final",#REF!,"Dealer",""&amp;$S$18&amp;"","Model",""&amp;$S36&amp;""),0)</f>
        <v>0</v>
      </c>
      <c r="AH36" s="349">
        <f>IFERROR(GETPIVOTDATA("RRN",#REF!,"Model",""&amp;$S36&amp;"","Dealer",""&amp;$S$18&amp;""),0)</f>
        <v>0</v>
      </c>
      <c r="AI36" s="349">
        <f t="shared" si="30"/>
        <v>0</v>
      </c>
      <c r="AJ36" s="349">
        <f>IFERROR(GETPIVOTDATA("volume_rs",#REF!,"Model",""&amp;$S36&amp;"","Dealer",""&amp;$S$18&amp;""),0)</f>
        <v>0</v>
      </c>
      <c r="AK36" s="351">
        <f t="shared" si="31"/>
        <v>0</v>
      </c>
      <c r="AL36" s="351">
        <f>IFERROR(GETPIVOTDATA("Area AGM",'Pvt OS'!#REF!,"Dealer",""&amp;$S$18&amp;"","Model",""&amp;$S36&amp;""),0)</f>
        <v>0</v>
      </c>
      <c r="AM36" s="349">
        <f t="shared" si="32"/>
        <v>0</v>
      </c>
      <c r="AN36" s="351">
        <f>IFERROR(GETPIVOTDATA("Row Labels",#REF!,"Dealer",""&amp;$S$18&amp;"","Model",""&amp;$S36&amp;""),0)</f>
        <v>0</v>
      </c>
      <c r="AO36" s="351">
        <f>IFERROR(GETPIVOTDATA("RS Afi",#REF!,"Dealer",""&amp;$S$18&amp;"","Model",""&amp;$S36&amp;""),0)</f>
        <v>0</v>
      </c>
      <c r="AP36" s="351">
        <f>IFERROR(GETPIVOTDATA("qty",#REF!,"Model",""&amp;$S36&amp;"","Dealer",""&amp;$S$18&amp;""),0)</f>
        <v>0</v>
      </c>
      <c r="AQ36" s="351">
        <f>IFERROR(GETPIVOTDATA("volume_rs",#REF!,"Model",""&amp;$S36&amp;"","Dealer",""&amp;$S$18&amp;""),0)</f>
        <v>0</v>
      </c>
      <c r="AR36" s="349">
        <f t="shared" si="33"/>
        <v>0</v>
      </c>
      <c r="AS36" s="349">
        <f>IFERROR(GETPIVOTDATA("Area AGM",'Pvt OS'!#REF!,"Dealer",""&amp;$S$18&amp;"","Model",""&amp;$S36&amp;""),0)</f>
        <v>0</v>
      </c>
      <c r="AT36" s="349">
        <f t="shared" si="34"/>
        <v>0</v>
      </c>
      <c r="AU36" s="352"/>
      <c r="AV36" s="353"/>
      <c r="AW36" s="353"/>
      <c r="AX36" s="353"/>
      <c r="AY36" s="353"/>
      <c r="AZ36" s="353"/>
      <c r="BA36" s="354"/>
      <c r="BB36" s="355"/>
      <c r="BC36" s="354"/>
      <c r="BD36" s="356"/>
    </row>
    <row r="37" ht="26.25" customHeight="1" spans="2:56">
      <c r="B37" s="225" t="s">
        <v>191</v>
      </c>
      <c r="C37" s="227">
        <f t="shared" si="10"/>
        <v>0</v>
      </c>
      <c r="D37" s="227">
        <f>IFERROR(GETPIVOTDATA("Area AGM",#REF!,"Dealer",""&amp;$S$18&amp;"","Model",""&amp;$B37&amp;"","Umur Outstansing",""&amp;D$2&amp;""),0)</f>
        <v>0</v>
      </c>
      <c r="E37" s="227">
        <f>IFERROR(GETPIVOTDATA("Area AGM",#REF!,"Dealer",""&amp;$S$18&amp;"","Model",""&amp;$B37&amp;"","Umur Outstansing",""&amp;E$2&amp;""),0)</f>
        <v>0</v>
      </c>
      <c r="F37" s="227">
        <f>IFERROR(GETPIVOTDATA("Area AGM",#REF!,"Dealer",""&amp;$S$18&amp;"","Model",""&amp;$B37&amp;"","Umur Outstansing",""&amp;F$2&amp;""),0)</f>
        <v>0</v>
      </c>
      <c r="G37" s="227">
        <f>IFERROR(GETPIVOTDATA("Area AGM",#REF!,"Dealer",""&amp;$S$18&amp;"","Model",""&amp;$B37&amp;"","Umur Outstansing",""&amp;G$2&amp;""),0)</f>
        <v>0</v>
      </c>
      <c r="H37" s="227">
        <f>IFERROR(GETPIVOTDATA("Area AGM",#REF!,"Dealer",""&amp;$S$18&amp;"","Model",""&amp;$B37&amp;"","Umur Outstansing",""&amp;H$2&amp;""),0)</f>
        <v>0</v>
      </c>
      <c r="J37" s="227">
        <f>IFERROR(GETPIVOTDATA("Area AGM",#REF!,"Dealer",""&amp;$S$18&amp;"","Model",""&amp;$B37&amp;""),0)</f>
        <v>0</v>
      </c>
      <c r="K37" s="227">
        <f>IFERROR(GETPIVOTDATA("Area AGM",#REF!,"Dealer",""&amp;$S$18&amp;"","Model",""&amp;$B37&amp;""),0)</f>
        <v>0</v>
      </c>
      <c r="M37" s="227"/>
      <c r="O37" s="227"/>
      <c r="P37" s="226" t="s">
        <v>177</v>
      </c>
      <c r="Q37" s="291">
        <f t="shared" si="26"/>
        <v>0</v>
      </c>
      <c r="R37" s="227">
        <f>IFERROR(GETPIVOTDATA("RS Target",#REF!,"Dealer",""&amp;$S$18&amp;"","Model",""&amp;$P37&amp;""),0)</f>
        <v>0</v>
      </c>
      <c r="S37" s="348" t="s">
        <v>177</v>
      </c>
      <c r="T37" s="349">
        <f t="shared" si="28"/>
        <v>0</v>
      </c>
      <c r="U37" s="349">
        <f>IFERROR(GETPIVOTDATA("Area AGM",'Pvt OS'!#REF!,"Dealer",""&amp;$S$18&amp;"","Model",""&amp;$S37&amp;""),0)</f>
        <v>0</v>
      </c>
      <c r="V37" s="349">
        <f t="shared" si="29"/>
        <v>0</v>
      </c>
      <c r="W37" s="350">
        <f>IFERROR(GETPIVOTDATA("Area AGM",'Pvt OS'!#REF!,"Dealer",""&amp;$S$18&amp;"","Model",""&amp;$S37&amp;""),0)+IFERROR(GETPIVOTDATA("Area AGM",'Pvt OS'!$A$8,"Dealer",""&amp;$S$18&amp;"","Model",""&amp;$S37&amp;""),0)</f>
        <v>0</v>
      </c>
      <c r="X37" s="349">
        <f>SUM(Y37:AB37)</f>
        <v>0</v>
      </c>
      <c r="Y37" s="349">
        <f>IFERROR(GETPIVOTDATA("Area AGM",'Pvt OS'!$U$8,"Dealer",""&amp;$S$18&amp;"","Model",""&amp;$S37&amp;""),0)</f>
        <v>0</v>
      </c>
      <c r="Z37" s="349">
        <f>IFERROR(GETPIVOTDATA("Area AGM",'Pvt OS'!$M$8,"Dealer",""&amp;$S$18&amp;"","Model",""&amp;$S37&amp;""),0)</f>
        <v>0</v>
      </c>
      <c r="AA37" s="349">
        <f>IFERROR(GETPIVOTDATA("Area AGM",'Pvt OS'!#REF!,"Dealer",""&amp;$S$18&amp;"","Model",""&amp;$S37&amp;""),0)</f>
        <v>0</v>
      </c>
      <c r="AB37" s="349">
        <f>IFERROR(GETPIVOTDATA("Area AGM",'Pvt OS'!$AO$8,"Dealer",""&amp;$S$18&amp;"","Model",""&amp;$S37&amp;""),0)</f>
        <v>0</v>
      </c>
      <c r="AC37" s="349">
        <f>IFERROR(GETPIVOTDATA("Stock",#REF!,"Dealer",""&amp;$S$18&amp;"","Model",""&amp;$S37&amp;""),0)</f>
        <v>0</v>
      </c>
      <c r="AD37" s="350">
        <f>IFERROR(GETPIVOTDATA("MDP",#REF!,"Dealer",""&amp;$S$18&amp;"","Model",""&amp;$S37&amp;""),0)</f>
        <v>0</v>
      </c>
      <c r="AE37" s="350">
        <f>IFERROR(GETPIVOTDATA("RRN",#REF!,"Model2",""&amp;$S37&amp;"","Dealer",""&amp;$S$18&amp;""),0)</f>
        <v>0</v>
      </c>
      <c r="AF37" s="350">
        <f>IFERROR(GETPIVOTDATA("CO",#REF!,"Dealer Name",""&amp;$S$18&amp;"","Model",""&amp;$S37&amp;""),0)</f>
        <v>0</v>
      </c>
      <c r="AG37" s="349">
        <f>IFERROR(GETPIVOTDATA("Sum of Distplan Final",#REF!,"Dealer",""&amp;$S$18&amp;"","Model",""&amp;$S37&amp;""),0)</f>
        <v>0</v>
      </c>
      <c r="AH37" s="349">
        <f>IFERROR(GETPIVOTDATA("RRN",#REF!,"Model",""&amp;$S37&amp;"","Dealer",""&amp;$S$18&amp;""),0)</f>
        <v>0</v>
      </c>
      <c r="AI37" s="349">
        <f t="shared" si="30"/>
        <v>0</v>
      </c>
      <c r="AJ37" s="349">
        <f>IFERROR(GETPIVOTDATA("volume_rs",#REF!,"Model",""&amp;$S37&amp;"","Dealer",""&amp;$S$18&amp;""),0)</f>
        <v>0</v>
      </c>
      <c r="AK37" s="351">
        <f t="shared" si="31"/>
        <v>0</v>
      </c>
      <c r="AL37" s="351">
        <f>IFERROR(GETPIVOTDATA("Area AGM",'Pvt OS'!#REF!,"Dealer",""&amp;$S$18&amp;"","Model",""&amp;$S37&amp;""),0)</f>
        <v>0</v>
      </c>
      <c r="AM37" s="349">
        <f t="shared" si="32"/>
        <v>0</v>
      </c>
      <c r="AN37" s="351">
        <f>IFERROR(GETPIVOTDATA("Row Labels",#REF!,"Dealer",""&amp;$S$18&amp;"","Model",""&amp;$S37&amp;""),0)</f>
        <v>0</v>
      </c>
      <c r="AO37" s="351">
        <f>IFERROR(GETPIVOTDATA("RS Afi",#REF!,"Dealer",""&amp;$S$18&amp;"","Model",""&amp;$S37&amp;""),0)</f>
        <v>0</v>
      </c>
      <c r="AP37" s="351">
        <f>IFERROR(GETPIVOTDATA("qty",#REF!,"Model",""&amp;$S37&amp;"","Dealer",""&amp;$S$18&amp;""),0)</f>
        <v>0</v>
      </c>
      <c r="AQ37" s="351">
        <f>IFERROR(GETPIVOTDATA("volume_rs",#REF!,"Model",""&amp;$S37&amp;"","Dealer",""&amp;$S$18&amp;""),0)</f>
        <v>0</v>
      </c>
      <c r="AR37" s="349">
        <f t="shared" si="33"/>
        <v>0</v>
      </c>
      <c r="AS37" s="349">
        <f>IFERROR(GETPIVOTDATA("Area AGM",'Pvt OS'!#REF!,"Dealer",""&amp;$S$18&amp;"","Model",""&amp;$S37&amp;""),0)</f>
        <v>0</v>
      </c>
      <c r="AT37" s="349">
        <f t="shared" si="34"/>
        <v>0</v>
      </c>
      <c r="AU37" s="352"/>
      <c r="AV37" s="353"/>
      <c r="AW37" s="353"/>
      <c r="AX37" s="353"/>
      <c r="AY37" s="353"/>
      <c r="AZ37" s="353"/>
      <c r="BA37" s="354"/>
      <c r="BB37" s="355"/>
      <c r="BC37" s="354"/>
      <c r="BD37" s="356"/>
    </row>
    <row r="38" ht="26.25" customHeight="1" spans="2:56">
      <c r="B38" s="225" t="s">
        <v>192</v>
      </c>
      <c r="C38" s="227">
        <f t="shared" si="10"/>
        <v>0</v>
      </c>
      <c r="D38" s="227">
        <f>IFERROR(GETPIVOTDATA("Area AGM",#REF!,"Dealer",""&amp;$S$18&amp;"","Model",""&amp;$B38&amp;"","Umur Outstansing",""&amp;D$2&amp;""),0)</f>
        <v>0</v>
      </c>
      <c r="E38" s="227">
        <f>IFERROR(GETPIVOTDATA("Area AGM",#REF!,"Dealer",""&amp;$S$18&amp;"","Model",""&amp;$B38&amp;"","Umur Outstansing",""&amp;E$2&amp;""),0)</f>
        <v>0</v>
      </c>
      <c r="F38" s="227">
        <f>IFERROR(GETPIVOTDATA("Area AGM",#REF!,"Dealer",""&amp;$S$18&amp;"","Model",""&amp;$B38&amp;"","Umur Outstansing",""&amp;F$2&amp;""),0)</f>
        <v>0</v>
      </c>
      <c r="G38" s="227">
        <f>IFERROR(GETPIVOTDATA("Area AGM",#REF!,"Dealer",""&amp;$S$18&amp;"","Model",""&amp;$B38&amp;"","Umur Outstansing",""&amp;G$2&amp;""),0)</f>
        <v>0</v>
      </c>
      <c r="H38" s="227">
        <f>IFERROR(GETPIVOTDATA("Area AGM",#REF!,"Dealer",""&amp;$S$18&amp;"","Model",""&amp;$B38&amp;"","Umur Outstansing",""&amp;H$2&amp;""),0)</f>
        <v>0</v>
      </c>
      <c r="J38" s="227">
        <f>IFERROR(GETPIVOTDATA("Area AGM",#REF!,"Dealer",""&amp;$S$18&amp;"","Model",""&amp;$B38&amp;""),0)</f>
        <v>0</v>
      </c>
      <c r="K38" s="227">
        <f>IFERROR(GETPIVOTDATA("Area AGM",#REF!,"Dealer",""&amp;$S$18&amp;"","Model",""&amp;$B38&amp;""),0)</f>
        <v>0</v>
      </c>
      <c r="M38" s="227"/>
      <c r="O38" s="227"/>
      <c r="P38" s="226" t="s">
        <v>178</v>
      </c>
      <c r="Q38" s="291">
        <f t="shared" si="26"/>
        <v>0</v>
      </c>
      <c r="R38" s="227">
        <f>IFERROR(GETPIVOTDATA("RS Target",#REF!,"Dealer",""&amp;$S$18&amp;"","Model",""&amp;$P38&amp;""),0)</f>
        <v>0</v>
      </c>
      <c r="S38" s="348" t="s">
        <v>178</v>
      </c>
      <c r="T38" s="349">
        <f t="shared" si="28"/>
        <v>0</v>
      </c>
      <c r="U38" s="349">
        <f>IFERROR(GETPIVOTDATA("Area AGM",'Pvt OS'!#REF!,"Dealer",""&amp;$S$18&amp;"","Model",""&amp;$S38&amp;""),0)</f>
        <v>0</v>
      </c>
      <c r="V38" s="349">
        <f t="shared" si="29"/>
        <v>0</v>
      </c>
      <c r="W38" s="350">
        <f>IFERROR(GETPIVOTDATA("Area AGM",'Pvt OS'!#REF!,"Dealer",""&amp;$S$18&amp;"","Model",""&amp;$S38&amp;""),0)+IFERROR(GETPIVOTDATA("Area AGM",'Pvt OS'!$A$8,"Dealer",""&amp;$S$18&amp;"","Model",""&amp;$S38&amp;""),0)</f>
        <v>0</v>
      </c>
      <c r="X38" s="349">
        <f>SUM(Y38:AB38)</f>
        <v>0</v>
      </c>
      <c r="Y38" s="349">
        <f>IFERROR(GETPIVOTDATA("Area AGM",'Pvt OS'!$U$8,"Dealer",""&amp;$S$18&amp;"","Model",""&amp;$S38&amp;""),0)</f>
        <v>0</v>
      </c>
      <c r="Z38" s="349">
        <f>IFERROR(GETPIVOTDATA("Area AGM",'Pvt OS'!$M$8,"Dealer",""&amp;$S$18&amp;"","Model",""&amp;$S38&amp;""),0)</f>
        <v>0</v>
      </c>
      <c r="AA38" s="349">
        <f>IFERROR(GETPIVOTDATA("Area AGM",'Pvt OS'!#REF!,"Dealer",""&amp;$S$18&amp;"","Model",""&amp;$S38&amp;""),0)</f>
        <v>0</v>
      </c>
      <c r="AB38" s="349">
        <f>IFERROR(GETPIVOTDATA("Area AGM",'Pvt OS'!$AO$8,"Dealer",""&amp;$S$18&amp;"","Model",""&amp;$S38&amp;""),0)</f>
        <v>0</v>
      </c>
      <c r="AC38" s="349">
        <f>IFERROR(GETPIVOTDATA("Stock",#REF!,"Dealer",""&amp;$S$18&amp;"","Model",""&amp;$S38&amp;""),0)</f>
        <v>0</v>
      </c>
      <c r="AD38" s="350">
        <f>IFERROR(GETPIVOTDATA("MDP",#REF!,"Dealer",""&amp;$S$18&amp;"","Model",""&amp;$S38&amp;""),0)</f>
        <v>0</v>
      </c>
      <c r="AE38" s="350">
        <f>IFERROR(GETPIVOTDATA("RRN",#REF!,"Model2",""&amp;$S38&amp;"","Dealer",""&amp;$S$18&amp;""),0)</f>
        <v>0</v>
      </c>
      <c r="AF38" s="350">
        <f>IFERROR(GETPIVOTDATA("CO",#REF!,"Dealer Name",""&amp;$S$18&amp;"","Model",""&amp;$S38&amp;""),0)</f>
        <v>0</v>
      </c>
      <c r="AG38" s="349">
        <f>IFERROR(GETPIVOTDATA("Sum of Distplan Final",#REF!,"Dealer",""&amp;$S$18&amp;"","Model",""&amp;$S38&amp;""),0)</f>
        <v>0</v>
      </c>
      <c r="AH38" s="349">
        <f>IFERROR(GETPIVOTDATA("RRN",#REF!,"Model",""&amp;$S38&amp;"","Dealer",""&amp;$S$18&amp;""),0)</f>
        <v>0</v>
      </c>
      <c r="AI38" s="349">
        <f t="shared" si="30"/>
        <v>0</v>
      </c>
      <c r="AJ38" s="349">
        <f>IFERROR(GETPIVOTDATA("volume_rs",#REF!,"Model",""&amp;$S38&amp;"","Dealer",""&amp;$S$18&amp;""),0)</f>
        <v>0</v>
      </c>
      <c r="AK38" s="351">
        <f t="shared" si="31"/>
        <v>0</v>
      </c>
      <c r="AL38" s="351">
        <f>IFERROR(GETPIVOTDATA("Area AGM",'Pvt OS'!#REF!,"Dealer",""&amp;$S$18&amp;"","Model",""&amp;$S38&amp;""),0)</f>
        <v>0</v>
      </c>
      <c r="AM38" s="349">
        <f t="shared" si="32"/>
        <v>0</v>
      </c>
      <c r="AN38" s="351">
        <f>IFERROR(GETPIVOTDATA("Row Labels",#REF!,"Dealer",""&amp;$S$18&amp;"","Model",""&amp;$S38&amp;""),0)</f>
        <v>0</v>
      </c>
      <c r="AO38" s="351">
        <f>IFERROR(GETPIVOTDATA("RS Afi",#REF!,"Dealer",""&amp;$S$18&amp;"","Model",""&amp;$S38&amp;""),0)</f>
        <v>0</v>
      </c>
      <c r="AP38" s="351">
        <f>IFERROR(GETPIVOTDATA("qty",#REF!,"Model",""&amp;$S38&amp;"","Dealer",""&amp;$S$18&amp;""),0)</f>
        <v>0</v>
      </c>
      <c r="AQ38" s="351">
        <f>IFERROR(GETPIVOTDATA("volume_rs",#REF!,"Model",""&amp;$S38&amp;"","Dealer",""&amp;$S$18&amp;""),0)</f>
        <v>0</v>
      </c>
      <c r="AR38" s="349">
        <f t="shared" si="33"/>
        <v>0</v>
      </c>
      <c r="AS38" s="349">
        <f>IFERROR(GETPIVOTDATA("Area AGM",'Pvt OS'!#REF!,"Dealer",""&amp;$S$18&amp;"","Model",""&amp;$S38&amp;""),0)</f>
        <v>0</v>
      </c>
      <c r="AT38" s="349">
        <f t="shared" si="34"/>
        <v>0</v>
      </c>
      <c r="AU38" s="352"/>
      <c r="AV38" s="353"/>
      <c r="AW38" s="353"/>
      <c r="AX38" s="353"/>
      <c r="AY38" s="353"/>
      <c r="AZ38" s="353"/>
      <c r="BA38" s="354"/>
      <c r="BB38" s="355"/>
      <c r="BC38" s="354"/>
      <c r="BD38" s="356"/>
    </row>
    <row r="39" ht="26.25" customHeight="1" spans="2:56">
      <c r="B39" s="225" t="s">
        <v>193</v>
      </c>
      <c r="C39" s="227">
        <f t="shared" si="10"/>
        <v>0</v>
      </c>
      <c r="D39" s="227">
        <f>IFERROR(GETPIVOTDATA("Area AGM",#REF!,"Dealer",""&amp;$S$18&amp;"","Model",""&amp;$B39&amp;"","Umur Outstansing",""&amp;D$2&amp;""),0)</f>
        <v>0</v>
      </c>
      <c r="E39" s="227">
        <f>IFERROR(GETPIVOTDATA("Area AGM",#REF!,"Dealer",""&amp;$S$18&amp;"","Model",""&amp;$B39&amp;"","Umur Outstansing",""&amp;E$2&amp;""),0)</f>
        <v>0</v>
      </c>
      <c r="F39" s="227">
        <f>IFERROR(GETPIVOTDATA("Area AGM",#REF!,"Dealer",""&amp;$S$18&amp;"","Model",""&amp;$B39&amp;"","Umur Outstansing",""&amp;F$2&amp;""),0)</f>
        <v>0</v>
      </c>
      <c r="G39" s="227">
        <f>IFERROR(GETPIVOTDATA("Area AGM",#REF!,"Dealer",""&amp;$S$18&amp;"","Model",""&amp;$B39&amp;"","Umur Outstansing",""&amp;G$2&amp;""),0)</f>
        <v>0</v>
      </c>
      <c r="H39" s="227">
        <f>IFERROR(GETPIVOTDATA("Area AGM",#REF!,"Dealer",""&amp;$S$18&amp;"","Model",""&amp;$B39&amp;"","Umur Outstansing",""&amp;H$2&amp;""),0)</f>
        <v>0</v>
      </c>
      <c r="J39" s="227">
        <f>IFERROR(GETPIVOTDATA("Area AGM",#REF!,"Dealer",""&amp;$S$18&amp;"","Model",""&amp;$B39&amp;""),0)</f>
        <v>0</v>
      </c>
      <c r="K39" s="227">
        <f>IFERROR(GETPIVOTDATA("Area AGM",#REF!,"Dealer",""&amp;$S$18&amp;"","Model",""&amp;$B39&amp;""),0)</f>
        <v>0</v>
      </c>
      <c r="M39" s="227"/>
      <c r="O39" s="227"/>
      <c r="P39" s="226" t="s">
        <v>179</v>
      </c>
      <c r="Q39" s="291">
        <f t="shared" si="26"/>
        <v>0</v>
      </c>
      <c r="R39" s="227">
        <f>IFERROR(GETPIVOTDATA("RS Target",#REF!,"Dealer",""&amp;$S$18&amp;"","Model",""&amp;$P39&amp;""),0)</f>
        <v>0</v>
      </c>
      <c r="S39" s="348" t="s">
        <v>179</v>
      </c>
      <c r="T39" s="349">
        <f t="shared" si="28"/>
        <v>0</v>
      </c>
      <c r="U39" s="349">
        <f>IFERROR(GETPIVOTDATA("Area AGM",'Pvt OS'!#REF!,"Dealer",""&amp;$S$18&amp;"","Model",""&amp;$S39&amp;""),0)</f>
        <v>0</v>
      </c>
      <c r="V39" s="349">
        <f t="shared" si="29"/>
        <v>0</v>
      </c>
      <c r="W39" s="350">
        <f>IFERROR(GETPIVOTDATA("Area AGM",'Pvt OS'!#REF!,"Dealer",""&amp;$S$18&amp;"","Model",""&amp;$S39&amp;""),0)+IFERROR(GETPIVOTDATA("Area AGM",'Pvt OS'!$A$8,"Dealer",""&amp;$S$18&amp;"","Model",""&amp;$S39&amp;""),0)</f>
        <v>0</v>
      </c>
      <c r="X39" s="349">
        <f>SUM(Y39:AB39)</f>
        <v>0</v>
      </c>
      <c r="Y39" s="349">
        <f>IFERROR(GETPIVOTDATA("Area AGM",'Pvt OS'!$U$8,"Dealer",""&amp;$S$18&amp;"","Model",""&amp;$S39&amp;""),0)</f>
        <v>0</v>
      </c>
      <c r="Z39" s="349">
        <f>IFERROR(GETPIVOTDATA("Area AGM",'Pvt OS'!$M$8,"Dealer",""&amp;$S$18&amp;"","Model",""&amp;$S39&amp;""),0)</f>
        <v>0</v>
      </c>
      <c r="AA39" s="349">
        <f>IFERROR(GETPIVOTDATA("Area AGM",'Pvt OS'!#REF!,"Dealer",""&amp;$S$18&amp;"","Model",""&amp;$S39&amp;""),0)</f>
        <v>0</v>
      </c>
      <c r="AB39" s="349">
        <f>IFERROR(GETPIVOTDATA("Area AGM",'Pvt OS'!$AO$8,"Dealer",""&amp;$S$18&amp;"","Model",""&amp;$S39&amp;""),0)</f>
        <v>0</v>
      </c>
      <c r="AC39" s="349">
        <f>IFERROR(GETPIVOTDATA("Stock",#REF!,"Dealer",""&amp;$S$18&amp;"","Model",""&amp;$S39&amp;""),0)</f>
        <v>0</v>
      </c>
      <c r="AD39" s="350">
        <f>IFERROR(GETPIVOTDATA("MDP",#REF!,"Dealer",""&amp;$S$18&amp;"","Model",""&amp;$S39&amp;""),0)</f>
        <v>0</v>
      </c>
      <c r="AE39" s="350">
        <f>IFERROR(GETPIVOTDATA("RRN",#REF!,"Model2",""&amp;$S39&amp;"","Dealer",""&amp;$S$18&amp;""),0)</f>
        <v>0</v>
      </c>
      <c r="AF39" s="350">
        <f>IFERROR(GETPIVOTDATA("CO",#REF!,"Dealer Name",""&amp;$S$18&amp;"","Model",""&amp;$S39&amp;""),0)</f>
        <v>0</v>
      </c>
      <c r="AG39" s="349">
        <f>IFERROR(GETPIVOTDATA("Sum of Distplan Final",#REF!,"Dealer",""&amp;$S$18&amp;"","Model",""&amp;$S39&amp;""),0)</f>
        <v>0</v>
      </c>
      <c r="AH39" s="349">
        <f>IFERROR(GETPIVOTDATA("RRN",#REF!,"Model",""&amp;$S39&amp;"","Dealer",""&amp;$S$18&amp;""),0)</f>
        <v>0</v>
      </c>
      <c r="AI39" s="349">
        <f t="shared" si="30"/>
        <v>0</v>
      </c>
      <c r="AJ39" s="349">
        <f>IFERROR(GETPIVOTDATA("volume_rs",#REF!,"Model",""&amp;$S39&amp;"","Dealer",""&amp;$S$18&amp;""),0)</f>
        <v>0</v>
      </c>
      <c r="AK39" s="351">
        <f t="shared" si="31"/>
        <v>0</v>
      </c>
      <c r="AL39" s="351">
        <f>IFERROR(GETPIVOTDATA("Area AGM",'Pvt OS'!#REF!,"Dealer",""&amp;$S$18&amp;"","Model",""&amp;$S39&amp;""),0)</f>
        <v>0</v>
      </c>
      <c r="AM39" s="349">
        <f t="shared" si="32"/>
        <v>0</v>
      </c>
      <c r="AN39" s="351">
        <f>IFERROR(GETPIVOTDATA("Row Labels",#REF!,"Dealer",""&amp;$S$18&amp;"","Model",""&amp;$S39&amp;""),0)</f>
        <v>0</v>
      </c>
      <c r="AO39" s="351">
        <f>IFERROR(GETPIVOTDATA("RS Afi",#REF!,"Dealer",""&amp;$S$18&amp;"","Model",""&amp;$S39&amp;""),0)</f>
        <v>0</v>
      </c>
      <c r="AP39" s="351">
        <f>IFERROR(GETPIVOTDATA("qty",#REF!,"Model",""&amp;$S39&amp;"","Dealer",""&amp;$S$18&amp;""),0)</f>
        <v>0</v>
      </c>
      <c r="AQ39" s="351">
        <f>IFERROR(GETPIVOTDATA("volume_rs",#REF!,"Model",""&amp;$S39&amp;"","Dealer",""&amp;$S$18&amp;""),0)</f>
        <v>0</v>
      </c>
      <c r="AR39" s="349">
        <f t="shared" si="33"/>
        <v>0</v>
      </c>
      <c r="AS39" s="349">
        <f>IFERROR(GETPIVOTDATA("Area AGM",'Pvt OS'!#REF!,"Dealer",""&amp;$S$18&amp;"","Model",""&amp;$S39&amp;""),0)</f>
        <v>0</v>
      </c>
      <c r="AT39" s="349">
        <f t="shared" si="34"/>
        <v>0</v>
      </c>
      <c r="AU39" s="352"/>
      <c r="AV39" s="353"/>
      <c r="AW39" s="353"/>
      <c r="AX39" s="353"/>
      <c r="AY39" s="353"/>
      <c r="AZ39" s="353"/>
      <c r="BA39" s="354"/>
      <c r="BB39" s="355"/>
      <c r="BC39" s="354"/>
      <c r="BD39" s="356"/>
    </row>
    <row r="40" ht="26.25" customHeight="1" spans="2:56">
      <c r="B40" s="225" t="s">
        <v>194</v>
      </c>
      <c r="C40" s="227">
        <f t="shared" si="10"/>
        <v>0</v>
      </c>
      <c r="D40" s="227">
        <f>IFERROR(GETPIVOTDATA("Area AGM",#REF!,"Dealer",""&amp;$S$18&amp;"","Model",""&amp;$B40&amp;"","Umur Outstansing",""&amp;D$2&amp;""),0)</f>
        <v>0</v>
      </c>
      <c r="E40" s="227">
        <f>IFERROR(GETPIVOTDATA("Area AGM",#REF!,"Dealer",""&amp;$S$18&amp;"","Model",""&amp;$B40&amp;"","Umur Outstansing",""&amp;E$2&amp;""),0)</f>
        <v>0</v>
      </c>
      <c r="F40" s="227">
        <f>IFERROR(GETPIVOTDATA("Area AGM",#REF!,"Dealer",""&amp;$S$18&amp;"","Model",""&amp;$B40&amp;"","Umur Outstansing",""&amp;F$2&amp;""),0)</f>
        <v>0</v>
      </c>
      <c r="G40" s="227">
        <f>IFERROR(GETPIVOTDATA("Area AGM",#REF!,"Dealer",""&amp;$S$18&amp;"","Model",""&amp;$B40&amp;"","Umur Outstansing",""&amp;G$2&amp;""),0)</f>
        <v>0</v>
      </c>
      <c r="H40" s="227">
        <f>IFERROR(GETPIVOTDATA("Area AGM",#REF!,"Dealer",""&amp;$S$18&amp;"","Model",""&amp;$B40&amp;"","Umur Outstansing",""&amp;H$2&amp;""),0)</f>
        <v>0</v>
      </c>
      <c r="J40" s="227">
        <f>IFERROR(GETPIVOTDATA("Area AGM",#REF!,"Dealer",""&amp;$S$18&amp;"","Model",""&amp;$B40&amp;""),0)</f>
        <v>0</v>
      </c>
      <c r="K40" s="227">
        <f>IFERROR(GETPIVOTDATA("Area AGM",#REF!,"Dealer",""&amp;$S$18&amp;"","Model",""&amp;$B40&amp;""),0)</f>
        <v>0</v>
      </c>
      <c r="M40" s="227"/>
      <c r="O40" s="227"/>
      <c r="P40" s="226" t="s">
        <v>180</v>
      </c>
      <c r="Q40" s="291">
        <f t="shared" si="26"/>
        <v>0</v>
      </c>
      <c r="R40" s="227">
        <f>IFERROR(GETPIVOTDATA("RS Target",#REF!,"Dealer",""&amp;$S$18&amp;"","Model",""&amp;$P40&amp;""),0)</f>
        <v>0</v>
      </c>
      <c r="S40" s="348" t="s">
        <v>180</v>
      </c>
      <c r="T40" s="349">
        <f t="shared" si="28"/>
        <v>0</v>
      </c>
      <c r="U40" s="349">
        <f>IFERROR(GETPIVOTDATA("Area AGM",'Pvt OS'!#REF!,"Dealer",""&amp;$S$18&amp;"","Model",""&amp;$S40&amp;""),0)</f>
        <v>0</v>
      </c>
      <c r="V40" s="349">
        <f t="shared" si="29"/>
        <v>0</v>
      </c>
      <c r="W40" s="350">
        <f>IFERROR(GETPIVOTDATA("Area AGM",'Pvt OS'!#REF!,"Dealer",""&amp;$S$18&amp;"","Model",""&amp;$S40&amp;""),0)+IFERROR(GETPIVOTDATA("Area AGM",'Pvt OS'!$A$8,"Dealer",""&amp;$S$18&amp;"","Model",""&amp;$S40&amp;""),0)</f>
        <v>0</v>
      </c>
      <c r="X40" s="349">
        <f t="shared" ref="X40:X66" si="35">SUM(Y40:AB40)</f>
        <v>0</v>
      </c>
      <c r="Y40" s="349">
        <f>IFERROR(GETPIVOTDATA("Area AGM",'Pvt OS'!$U$8,"Dealer",""&amp;$S$18&amp;"","Model",""&amp;$S40&amp;""),0)</f>
        <v>0</v>
      </c>
      <c r="Z40" s="349">
        <f>IFERROR(GETPIVOTDATA("Area AGM",'Pvt OS'!$M$8,"Dealer",""&amp;$S$18&amp;"","Model",""&amp;$S40&amp;""),0)</f>
        <v>0</v>
      </c>
      <c r="AA40" s="349">
        <f>IFERROR(GETPIVOTDATA("Area AGM",'Pvt OS'!#REF!,"Dealer",""&amp;$S$18&amp;"","Model",""&amp;$S40&amp;""),0)</f>
        <v>0</v>
      </c>
      <c r="AB40" s="349">
        <f>IFERROR(GETPIVOTDATA("Area AGM",'Pvt OS'!$AO$8,"Dealer",""&amp;$S$18&amp;"","Model",""&amp;$S40&amp;""),0)</f>
        <v>0</v>
      </c>
      <c r="AC40" s="349">
        <f>IFERROR(GETPIVOTDATA("Stock",#REF!,"Dealer",""&amp;$S$18&amp;"","Model",""&amp;$S40&amp;""),0)</f>
        <v>0</v>
      </c>
      <c r="AD40" s="350">
        <f>IFERROR(GETPIVOTDATA("MDP",#REF!,"Dealer",""&amp;$S$18&amp;"","Model",""&amp;$S40&amp;""),0)</f>
        <v>0</v>
      </c>
      <c r="AE40" s="350">
        <f>IFERROR(GETPIVOTDATA("RRN",#REF!,"Model2",""&amp;$S40&amp;"","Dealer",""&amp;$S$18&amp;""),0)</f>
        <v>0</v>
      </c>
      <c r="AF40" s="350">
        <f>IFERROR(GETPIVOTDATA("CO",#REF!,"Dealer Name",""&amp;$S$18&amp;"","Model",""&amp;$S40&amp;""),0)</f>
        <v>0</v>
      </c>
      <c r="AG40" s="349">
        <f>IFERROR(GETPIVOTDATA("Sum of Distplan Final",#REF!,"Dealer",""&amp;$S$18&amp;"","Model",""&amp;$S40&amp;""),0)</f>
        <v>0</v>
      </c>
      <c r="AH40" s="349">
        <f>IFERROR(GETPIVOTDATA("RRN",#REF!,"Model",""&amp;$S40&amp;"","Dealer",""&amp;$S$18&amp;""),0)</f>
        <v>0</v>
      </c>
      <c r="AI40" s="349">
        <f t="shared" si="30"/>
        <v>0</v>
      </c>
      <c r="AJ40" s="349">
        <f>IFERROR(GETPIVOTDATA("volume_rs",#REF!,"Model",""&amp;$S40&amp;"","Dealer",""&amp;$S$18&amp;""),0)</f>
        <v>0</v>
      </c>
      <c r="AK40" s="351">
        <f t="shared" si="31"/>
        <v>0</v>
      </c>
      <c r="AL40" s="351">
        <f>IFERROR(GETPIVOTDATA("Area AGM",'Pvt OS'!#REF!,"Dealer",""&amp;$S$18&amp;"","Model",""&amp;$S40&amp;""),0)</f>
        <v>0</v>
      </c>
      <c r="AM40" s="349">
        <f t="shared" si="32"/>
        <v>0</v>
      </c>
      <c r="AN40" s="351">
        <f>IFERROR(GETPIVOTDATA("Row Labels",#REF!,"Dealer",""&amp;$S$18&amp;"","Model",""&amp;$S40&amp;""),0)</f>
        <v>0</v>
      </c>
      <c r="AO40" s="351">
        <f>IFERROR(GETPIVOTDATA("RS Afi",#REF!,"Dealer",""&amp;$S$18&amp;"","Model",""&amp;$S40&amp;""),0)</f>
        <v>0</v>
      </c>
      <c r="AP40" s="351">
        <f>IFERROR(GETPIVOTDATA("qty",#REF!,"Model",""&amp;$S40&amp;"","Dealer",""&amp;$S$18&amp;""),0)</f>
        <v>0</v>
      </c>
      <c r="AQ40" s="351">
        <f>IFERROR(GETPIVOTDATA("volume_rs",#REF!,"Model",""&amp;$S40&amp;"","Dealer",""&amp;$S$18&amp;""),0)</f>
        <v>0</v>
      </c>
      <c r="AR40" s="349">
        <f t="shared" si="33"/>
        <v>0</v>
      </c>
      <c r="AS40" s="349">
        <f>IFERROR(GETPIVOTDATA("Area AGM",'Pvt OS'!#REF!,"Dealer",""&amp;$S$18&amp;"","Model",""&amp;$S40&amp;""),0)</f>
        <v>0</v>
      </c>
      <c r="AT40" s="349">
        <f t="shared" si="34"/>
        <v>0</v>
      </c>
      <c r="AU40" s="352"/>
      <c r="AV40" s="353"/>
      <c r="AW40" s="353"/>
      <c r="AX40" s="353"/>
      <c r="AY40" s="353"/>
      <c r="AZ40" s="353"/>
      <c r="BA40" s="354"/>
      <c r="BB40" s="355"/>
      <c r="BC40" s="354"/>
      <c r="BD40" s="356"/>
    </row>
    <row r="41" ht="26.25" customHeight="1" spans="2:56">
      <c r="B41" s="225" t="s">
        <v>195</v>
      </c>
      <c r="C41" s="227">
        <f t="shared" si="10"/>
        <v>0</v>
      </c>
      <c r="D41" s="227">
        <f>IFERROR(GETPIVOTDATA("Area AGM",#REF!,"Dealer",""&amp;$S$18&amp;"","Model",""&amp;$B41&amp;"","Umur Outstansing",""&amp;D$2&amp;""),0)</f>
        <v>0</v>
      </c>
      <c r="E41" s="227">
        <f>IFERROR(GETPIVOTDATA("Area AGM",#REF!,"Dealer",""&amp;$S$18&amp;"","Model",""&amp;$B41&amp;"","Umur Outstansing",""&amp;E$2&amp;""),0)</f>
        <v>0</v>
      </c>
      <c r="F41" s="227">
        <f>IFERROR(GETPIVOTDATA("Area AGM",#REF!,"Dealer",""&amp;$S$18&amp;"","Model",""&amp;$B41&amp;"","Umur Outstansing",""&amp;F$2&amp;""),0)</f>
        <v>0</v>
      </c>
      <c r="G41" s="227">
        <f>IFERROR(GETPIVOTDATA("Area AGM",#REF!,"Dealer",""&amp;$S$18&amp;"","Model",""&amp;$B41&amp;"","Umur Outstansing",""&amp;G$2&amp;""),0)</f>
        <v>0</v>
      </c>
      <c r="H41" s="227">
        <f>IFERROR(GETPIVOTDATA("Area AGM",#REF!,"Dealer",""&amp;$S$18&amp;"","Model",""&amp;$B41&amp;"","Umur Outstansing",""&amp;H$2&amp;""),0)</f>
        <v>0</v>
      </c>
      <c r="J41" s="227">
        <f>IFERROR(GETPIVOTDATA("Area AGM",#REF!,"Dealer",""&amp;$S$18&amp;"","Model",""&amp;$B41&amp;""),0)</f>
        <v>0</v>
      </c>
      <c r="K41" s="227">
        <f>IFERROR(GETPIVOTDATA("Area AGM",#REF!,"Dealer",""&amp;$S$18&amp;"","Model",""&amp;$B41&amp;""),0)</f>
        <v>0</v>
      </c>
      <c r="M41" s="227"/>
      <c r="O41" s="227"/>
      <c r="P41" s="226" t="s">
        <v>181</v>
      </c>
      <c r="Q41" s="291">
        <f t="shared" si="26"/>
        <v>0</v>
      </c>
      <c r="R41" s="227">
        <f>IFERROR(GETPIVOTDATA("RS Target",#REF!,"Dealer",""&amp;$S$18&amp;"","Model",""&amp;$P41&amp;""),0)</f>
        <v>0</v>
      </c>
      <c r="S41" s="348" t="s">
        <v>181</v>
      </c>
      <c r="T41" s="349">
        <f t="shared" si="28"/>
        <v>0</v>
      </c>
      <c r="U41" s="349">
        <f>IFERROR(GETPIVOTDATA("Area AGM",'Pvt OS'!#REF!,"Dealer",""&amp;$S$18&amp;"","Model",""&amp;$S41&amp;""),0)</f>
        <v>0</v>
      </c>
      <c r="V41" s="349">
        <f t="shared" si="29"/>
        <v>0</v>
      </c>
      <c r="W41" s="350">
        <f>IFERROR(GETPIVOTDATA("Area AGM",'Pvt OS'!#REF!,"Dealer",""&amp;$S$18&amp;"","Model",""&amp;$S41&amp;""),0)+IFERROR(GETPIVOTDATA("Area AGM",'Pvt OS'!$A$8,"Dealer",""&amp;$S$18&amp;"","Model",""&amp;$S41&amp;""),0)</f>
        <v>0</v>
      </c>
      <c r="X41" s="349">
        <f t="shared" si="35"/>
        <v>0</v>
      </c>
      <c r="Y41" s="349">
        <f>IFERROR(GETPIVOTDATA("Area AGM",'Pvt OS'!$U$8,"Dealer",""&amp;$S$18&amp;"","Model",""&amp;$S41&amp;""),0)</f>
        <v>0</v>
      </c>
      <c r="Z41" s="349">
        <f>IFERROR(GETPIVOTDATA("Area AGM",'Pvt OS'!$M$8,"Dealer",""&amp;$S$18&amp;"","Model",""&amp;$S41&amp;""),0)</f>
        <v>0</v>
      </c>
      <c r="AA41" s="349">
        <f>IFERROR(GETPIVOTDATA("Area AGM",'Pvt OS'!#REF!,"Dealer",""&amp;$S$18&amp;"","Model",""&amp;$S41&amp;""),0)</f>
        <v>0</v>
      </c>
      <c r="AB41" s="349">
        <f>IFERROR(GETPIVOTDATA("Area AGM",'Pvt OS'!$AO$8,"Dealer",""&amp;$S$18&amp;"","Model",""&amp;$S41&amp;""),0)</f>
        <v>0</v>
      </c>
      <c r="AC41" s="349">
        <f>IFERROR(GETPIVOTDATA("Stock",#REF!,"Dealer",""&amp;$S$18&amp;"","Model",""&amp;$S41&amp;""),0)</f>
        <v>0</v>
      </c>
      <c r="AD41" s="350">
        <f>IFERROR(GETPIVOTDATA("MDP",#REF!,"Dealer",""&amp;$S$18&amp;"","Model",""&amp;$S41&amp;""),0)</f>
        <v>0</v>
      </c>
      <c r="AE41" s="350">
        <f>IFERROR(GETPIVOTDATA("RRN",#REF!,"Model2",""&amp;$S41&amp;"","Dealer",""&amp;$S$18&amp;""),0)</f>
        <v>0</v>
      </c>
      <c r="AF41" s="350">
        <f>IFERROR(GETPIVOTDATA("CO",#REF!,"Dealer Name",""&amp;$S$18&amp;"","Model",""&amp;$S41&amp;""),0)</f>
        <v>0</v>
      </c>
      <c r="AG41" s="349">
        <f>IFERROR(GETPIVOTDATA("Sum of Distplan Final",#REF!,"Dealer",""&amp;$S$18&amp;"","Model",""&amp;$S41&amp;""),0)</f>
        <v>0</v>
      </c>
      <c r="AH41" s="349">
        <f>IFERROR(GETPIVOTDATA("RRN",#REF!,"Model",""&amp;$S41&amp;"","Dealer",""&amp;$S$18&amp;""),0)</f>
        <v>0</v>
      </c>
      <c r="AI41" s="349">
        <f t="shared" si="30"/>
        <v>0</v>
      </c>
      <c r="AJ41" s="349">
        <f>IFERROR(GETPIVOTDATA("volume_rs",#REF!,"Model",""&amp;$S41&amp;"","Dealer",""&amp;$S$18&amp;""),0)</f>
        <v>0</v>
      </c>
      <c r="AK41" s="351">
        <f t="shared" si="31"/>
        <v>0</v>
      </c>
      <c r="AL41" s="351">
        <f>IFERROR(GETPIVOTDATA("Area AGM",'Pvt OS'!#REF!,"Dealer",""&amp;$S$18&amp;"","Model",""&amp;$S41&amp;""),0)</f>
        <v>0</v>
      </c>
      <c r="AM41" s="349">
        <f t="shared" si="32"/>
        <v>0</v>
      </c>
      <c r="AN41" s="351">
        <f>IFERROR(GETPIVOTDATA("Row Labels",#REF!,"Dealer",""&amp;$S$18&amp;"","Model",""&amp;$S41&amp;""),0)</f>
        <v>0</v>
      </c>
      <c r="AO41" s="351">
        <f>IFERROR(GETPIVOTDATA("RS Afi",#REF!,"Dealer",""&amp;$S$18&amp;"","Model",""&amp;$S41&amp;""),0)</f>
        <v>0</v>
      </c>
      <c r="AP41" s="351">
        <f>IFERROR(GETPIVOTDATA("qty",#REF!,"Model",""&amp;$S41&amp;"","Dealer",""&amp;$S$18&amp;""),0)</f>
        <v>0</v>
      </c>
      <c r="AQ41" s="351">
        <f>IFERROR(GETPIVOTDATA("volume_rs",#REF!,"Model",""&amp;$S41&amp;"","Dealer",""&amp;$S$18&amp;""),0)</f>
        <v>0</v>
      </c>
      <c r="AR41" s="349">
        <f t="shared" si="33"/>
        <v>0</v>
      </c>
      <c r="AS41" s="349">
        <f>IFERROR(GETPIVOTDATA("Area AGM",'Pvt OS'!#REF!,"Dealer",""&amp;$S$18&amp;"","Model",""&amp;$S41&amp;""),0)</f>
        <v>0</v>
      </c>
      <c r="AT41" s="349">
        <f t="shared" si="34"/>
        <v>0</v>
      </c>
      <c r="AU41" s="352"/>
      <c r="AV41" s="353"/>
      <c r="AW41" s="353"/>
      <c r="AX41" s="353"/>
      <c r="AY41" s="353"/>
      <c r="AZ41" s="353"/>
      <c r="BA41" s="354"/>
      <c r="BB41" s="355"/>
      <c r="BC41" s="354"/>
      <c r="BD41" s="356"/>
    </row>
    <row r="42" ht="26.25" customHeight="1" spans="2:56">
      <c r="B42" s="225" t="s">
        <v>196</v>
      </c>
      <c r="C42" s="227">
        <f t="shared" si="10"/>
        <v>0</v>
      </c>
      <c r="D42" s="227">
        <f>IFERROR(GETPIVOTDATA("Area AGM",#REF!,"Dealer",""&amp;$S$18&amp;"","Model",""&amp;$B42&amp;"","Umur Outstansing",""&amp;D$2&amp;""),0)</f>
        <v>0</v>
      </c>
      <c r="E42" s="227">
        <f>IFERROR(GETPIVOTDATA("Area AGM",#REF!,"Dealer",""&amp;$S$18&amp;"","Model",""&amp;$B42&amp;"","Umur Outstansing",""&amp;E$2&amp;""),0)</f>
        <v>0</v>
      </c>
      <c r="F42" s="227">
        <f>IFERROR(GETPIVOTDATA("Area AGM",#REF!,"Dealer",""&amp;$S$18&amp;"","Model",""&amp;$B42&amp;"","Umur Outstansing",""&amp;F$2&amp;""),0)</f>
        <v>0</v>
      </c>
      <c r="G42" s="227">
        <f>IFERROR(GETPIVOTDATA("Area AGM",#REF!,"Dealer",""&amp;$S$18&amp;"","Model",""&amp;$B42&amp;"","Umur Outstansing",""&amp;G$2&amp;""),0)</f>
        <v>0</v>
      </c>
      <c r="H42" s="227">
        <f>IFERROR(GETPIVOTDATA("Area AGM",#REF!,"Dealer",""&amp;$S$18&amp;"","Model",""&amp;$B42&amp;"","Umur Outstansing",""&amp;H$2&amp;""),0)</f>
        <v>0</v>
      </c>
      <c r="J42" s="227">
        <f>IFERROR(GETPIVOTDATA("Area AGM",#REF!,"Dealer",""&amp;$S$18&amp;"","Model",""&amp;$B42&amp;""),0)</f>
        <v>0</v>
      </c>
      <c r="K42" s="227">
        <f>IFERROR(GETPIVOTDATA("Area AGM",#REF!,"Dealer",""&amp;$S$18&amp;"","Model",""&amp;$B42&amp;""),0)</f>
        <v>0</v>
      </c>
      <c r="M42" s="227"/>
      <c r="O42" s="227"/>
      <c r="P42" s="226" t="s">
        <v>182</v>
      </c>
      <c r="Q42" s="291">
        <f t="shared" si="26"/>
        <v>0</v>
      </c>
      <c r="R42" s="227">
        <f>IFERROR(GETPIVOTDATA("RS Target",#REF!,"Dealer",""&amp;$S$18&amp;"","Model",""&amp;$P42&amp;""),0)</f>
        <v>0</v>
      </c>
      <c r="S42" s="348" t="s">
        <v>182</v>
      </c>
      <c r="T42" s="349">
        <f t="shared" si="28"/>
        <v>0</v>
      </c>
      <c r="U42" s="349">
        <f>IFERROR(GETPIVOTDATA("Area AGM",'Pvt OS'!#REF!,"Dealer",""&amp;$S$18&amp;"","Model",""&amp;$S42&amp;""),0)</f>
        <v>0</v>
      </c>
      <c r="V42" s="349">
        <f t="shared" si="29"/>
        <v>0</v>
      </c>
      <c r="W42" s="350">
        <f>IFERROR(GETPIVOTDATA("Area AGM",'Pvt OS'!#REF!,"Dealer",""&amp;$S$18&amp;"","Model",""&amp;$S42&amp;""),0)+IFERROR(GETPIVOTDATA("Area AGM",'Pvt OS'!$A$8,"Dealer",""&amp;$S$18&amp;"","Model",""&amp;$S42&amp;""),0)</f>
        <v>0</v>
      </c>
      <c r="X42" s="349">
        <f t="shared" si="35"/>
        <v>0</v>
      </c>
      <c r="Y42" s="349">
        <f>IFERROR(GETPIVOTDATA("Area AGM",'Pvt OS'!$U$8,"Dealer",""&amp;$S$18&amp;"","Model",""&amp;$S42&amp;""),0)</f>
        <v>0</v>
      </c>
      <c r="Z42" s="349">
        <f>IFERROR(GETPIVOTDATA("Area AGM",'Pvt OS'!$M$8,"Dealer",""&amp;$S$18&amp;"","Model",""&amp;$S42&amp;""),0)</f>
        <v>0</v>
      </c>
      <c r="AA42" s="349">
        <f>IFERROR(GETPIVOTDATA("Area AGM",'Pvt OS'!#REF!,"Dealer",""&amp;$S$18&amp;"","Model",""&amp;$S42&amp;""),0)</f>
        <v>0</v>
      </c>
      <c r="AB42" s="349">
        <f>IFERROR(GETPIVOTDATA("Area AGM",'Pvt OS'!$AO$8,"Dealer",""&amp;$S$18&amp;"","Model",""&amp;$S42&amp;""),0)</f>
        <v>0</v>
      </c>
      <c r="AC42" s="349">
        <f>IFERROR(GETPIVOTDATA("Stock",#REF!,"Dealer",""&amp;$S$18&amp;"","Model",""&amp;$S42&amp;""),0)</f>
        <v>0</v>
      </c>
      <c r="AD42" s="350">
        <f>IFERROR(GETPIVOTDATA("MDP",#REF!,"Dealer",""&amp;$S$18&amp;"","Model",""&amp;$S42&amp;""),0)</f>
        <v>0</v>
      </c>
      <c r="AE42" s="350">
        <f>IFERROR(GETPIVOTDATA("RRN",#REF!,"Model2",""&amp;$S42&amp;"","Dealer",""&amp;$S$18&amp;""),0)</f>
        <v>0</v>
      </c>
      <c r="AF42" s="350">
        <f>IFERROR(GETPIVOTDATA("CO",#REF!,"Dealer Name",""&amp;$S$18&amp;"","Model",""&amp;$S42&amp;""),0)</f>
        <v>0</v>
      </c>
      <c r="AG42" s="349">
        <f>IFERROR(GETPIVOTDATA("Sum of Distplan Final",#REF!,"Dealer",""&amp;$S$18&amp;"","Model",""&amp;$S42&amp;""),0)</f>
        <v>0</v>
      </c>
      <c r="AH42" s="349">
        <f>IFERROR(GETPIVOTDATA("RRN",#REF!,"Model",""&amp;$S42&amp;"","Dealer",""&amp;$S$18&amp;""),0)</f>
        <v>0</v>
      </c>
      <c r="AI42" s="349">
        <f t="shared" si="30"/>
        <v>0</v>
      </c>
      <c r="AJ42" s="349">
        <f>IFERROR(GETPIVOTDATA("volume_rs",#REF!,"Model",""&amp;$S42&amp;"","Dealer",""&amp;$S$18&amp;""),0)</f>
        <v>0</v>
      </c>
      <c r="AK42" s="351">
        <f t="shared" si="31"/>
        <v>0</v>
      </c>
      <c r="AL42" s="351">
        <f>IFERROR(GETPIVOTDATA("Area AGM",'Pvt OS'!#REF!,"Dealer",""&amp;$S$18&amp;"","Model",""&amp;$S42&amp;""),0)</f>
        <v>0</v>
      </c>
      <c r="AM42" s="349">
        <f t="shared" si="32"/>
        <v>0</v>
      </c>
      <c r="AN42" s="351">
        <f>IFERROR(GETPIVOTDATA("Row Labels",#REF!,"Dealer",""&amp;$S$18&amp;"","Model",""&amp;$S42&amp;""),0)</f>
        <v>0</v>
      </c>
      <c r="AO42" s="351">
        <f>IFERROR(GETPIVOTDATA("RS Afi",#REF!,"Dealer",""&amp;$S$18&amp;"","Model",""&amp;$S42&amp;""),0)</f>
        <v>0</v>
      </c>
      <c r="AP42" s="351">
        <f>IFERROR(GETPIVOTDATA("qty",#REF!,"Model",""&amp;$S42&amp;"","Dealer",""&amp;$S$18&amp;""),0)</f>
        <v>0</v>
      </c>
      <c r="AQ42" s="351">
        <f>IFERROR(GETPIVOTDATA("volume_rs",#REF!,"Model",""&amp;$S42&amp;"","Dealer",""&amp;$S$18&amp;""),0)</f>
        <v>0</v>
      </c>
      <c r="AR42" s="349">
        <f t="shared" si="33"/>
        <v>0</v>
      </c>
      <c r="AS42" s="349">
        <f>IFERROR(GETPIVOTDATA("Area AGM",'Pvt OS'!#REF!,"Dealer",""&amp;$S$18&amp;"","Model",""&amp;$S42&amp;""),0)</f>
        <v>0</v>
      </c>
      <c r="AT42" s="349">
        <f t="shared" si="34"/>
        <v>0</v>
      </c>
      <c r="AU42" s="352"/>
      <c r="AV42" s="353"/>
      <c r="AW42" s="353"/>
      <c r="AX42" s="353"/>
      <c r="AY42" s="353"/>
      <c r="AZ42" s="353"/>
      <c r="BA42" s="354"/>
      <c r="BB42" s="355"/>
      <c r="BC42" s="354"/>
      <c r="BD42" s="356"/>
    </row>
    <row r="43" ht="26.25" customHeight="1" spans="2:56">
      <c r="B43" s="225" t="s">
        <v>197</v>
      </c>
      <c r="C43" s="227">
        <f t="shared" si="10"/>
        <v>0</v>
      </c>
      <c r="D43" s="227">
        <f>IFERROR(GETPIVOTDATA("Area AGM",#REF!,"Dealer",""&amp;$S$18&amp;"","Model",""&amp;$B43&amp;"","Umur Outstansing",""&amp;D$2&amp;""),0)</f>
        <v>0</v>
      </c>
      <c r="E43" s="227">
        <f>IFERROR(GETPIVOTDATA("Area AGM",#REF!,"Dealer",""&amp;$S$18&amp;"","Model",""&amp;$B43&amp;"","Umur Outstansing",""&amp;E$2&amp;""),0)</f>
        <v>0</v>
      </c>
      <c r="F43" s="227">
        <f>IFERROR(GETPIVOTDATA("Area AGM",#REF!,"Dealer",""&amp;$S$18&amp;"","Model",""&amp;$B43&amp;"","Umur Outstansing",""&amp;F$2&amp;""),0)</f>
        <v>0</v>
      </c>
      <c r="G43" s="227">
        <f>IFERROR(GETPIVOTDATA("Area AGM",#REF!,"Dealer",""&amp;$S$18&amp;"","Model",""&amp;$B43&amp;"","Umur Outstansing",""&amp;G$2&amp;""),0)</f>
        <v>0</v>
      </c>
      <c r="H43" s="227">
        <f>IFERROR(GETPIVOTDATA("Area AGM",#REF!,"Dealer",""&amp;$S$18&amp;"","Model",""&amp;$B43&amp;"","Umur Outstansing",""&amp;H$2&amp;""),0)</f>
        <v>0</v>
      </c>
      <c r="J43" s="227">
        <f>IFERROR(GETPIVOTDATA("Area AGM",#REF!,"Dealer",""&amp;$S$18&amp;"","Model",""&amp;$B43&amp;""),0)</f>
        <v>0</v>
      </c>
      <c r="K43" s="227">
        <f>IFERROR(GETPIVOTDATA("Area AGM",#REF!,"Dealer",""&amp;$S$18&amp;"","Model",""&amp;$B43&amp;""),0)</f>
        <v>0</v>
      </c>
      <c r="M43" s="227"/>
      <c r="O43" s="227"/>
      <c r="P43" s="226" t="s">
        <v>183</v>
      </c>
      <c r="Q43" s="291">
        <f t="shared" si="26"/>
        <v>0</v>
      </c>
      <c r="R43" s="227">
        <f>IFERROR(GETPIVOTDATA("RS Target",#REF!,"Dealer",""&amp;$S$18&amp;"","Model",""&amp;$P43&amp;""),0)</f>
        <v>0</v>
      </c>
      <c r="S43" s="348" t="s">
        <v>183</v>
      </c>
      <c r="T43" s="349">
        <f t="shared" si="28"/>
        <v>0</v>
      </c>
      <c r="U43" s="349">
        <f>IFERROR(GETPIVOTDATA("Area AGM",'Pvt OS'!#REF!,"Dealer",""&amp;$S$18&amp;"","Model",""&amp;$S43&amp;""),0)</f>
        <v>0</v>
      </c>
      <c r="V43" s="349">
        <f t="shared" si="29"/>
        <v>0</v>
      </c>
      <c r="W43" s="350">
        <f>IFERROR(GETPIVOTDATA("Area AGM",'Pvt OS'!#REF!,"Dealer",""&amp;$S$18&amp;"","Model",""&amp;$S43&amp;""),0)+IFERROR(GETPIVOTDATA("Area AGM",'Pvt OS'!$A$8,"Dealer",""&amp;$S$18&amp;"","Model",""&amp;$S43&amp;""),0)</f>
        <v>0</v>
      </c>
      <c r="X43" s="349">
        <f t="shared" si="35"/>
        <v>0</v>
      </c>
      <c r="Y43" s="349">
        <f>IFERROR(GETPIVOTDATA("Area AGM",'Pvt OS'!$U$8,"Dealer",""&amp;$S$18&amp;"","Model",""&amp;$S43&amp;""),0)</f>
        <v>0</v>
      </c>
      <c r="Z43" s="349">
        <f>IFERROR(GETPIVOTDATA("Area AGM",'Pvt OS'!$M$8,"Dealer",""&amp;$S$18&amp;"","Model",""&amp;$S43&amp;""),0)</f>
        <v>0</v>
      </c>
      <c r="AA43" s="349">
        <f>IFERROR(GETPIVOTDATA("Area AGM",'Pvt OS'!#REF!,"Dealer",""&amp;$S$18&amp;"","Model",""&amp;$S43&amp;""),0)</f>
        <v>0</v>
      </c>
      <c r="AB43" s="349">
        <f>IFERROR(GETPIVOTDATA("Area AGM",'Pvt OS'!$AO$8,"Dealer",""&amp;$S$18&amp;"","Model",""&amp;$S43&amp;""),0)</f>
        <v>0</v>
      </c>
      <c r="AC43" s="349">
        <f>IFERROR(GETPIVOTDATA("Stock",#REF!,"Dealer",""&amp;$S$18&amp;"","Model",""&amp;$S43&amp;""),0)</f>
        <v>0</v>
      </c>
      <c r="AD43" s="350">
        <f>IFERROR(GETPIVOTDATA("MDP",#REF!,"Dealer",""&amp;$S$18&amp;"","Model",""&amp;$S43&amp;""),0)</f>
        <v>0</v>
      </c>
      <c r="AE43" s="350">
        <f>IFERROR(GETPIVOTDATA("RRN",#REF!,"Model2",""&amp;$S43&amp;"","Dealer",""&amp;$S$18&amp;""),0)</f>
        <v>0</v>
      </c>
      <c r="AF43" s="350">
        <f>IFERROR(GETPIVOTDATA("CO",#REF!,"Dealer Name",""&amp;$S$18&amp;"","Model",""&amp;$S43&amp;""),0)</f>
        <v>0</v>
      </c>
      <c r="AG43" s="349">
        <f>IFERROR(GETPIVOTDATA("Sum of Distplan Final",#REF!,"Dealer",""&amp;$S$18&amp;"","Model",""&amp;$S43&amp;""),0)</f>
        <v>0</v>
      </c>
      <c r="AH43" s="349">
        <f>IFERROR(GETPIVOTDATA("RRN",#REF!,"Model",""&amp;$S43&amp;"","Dealer",""&amp;$S$18&amp;""),0)</f>
        <v>0</v>
      </c>
      <c r="AI43" s="349">
        <f t="shared" si="30"/>
        <v>0</v>
      </c>
      <c r="AJ43" s="349">
        <f>IFERROR(GETPIVOTDATA("volume_rs",#REF!,"Model",""&amp;$S43&amp;"","Dealer",""&amp;$S$18&amp;""),0)</f>
        <v>0</v>
      </c>
      <c r="AK43" s="351">
        <f t="shared" si="31"/>
        <v>0</v>
      </c>
      <c r="AL43" s="351">
        <f>IFERROR(GETPIVOTDATA("Area AGM",'Pvt OS'!#REF!,"Dealer",""&amp;$S$18&amp;"","Model",""&amp;$S43&amp;""),0)</f>
        <v>0</v>
      </c>
      <c r="AM43" s="349">
        <f t="shared" si="32"/>
        <v>0</v>
      </c>
      <c r="AN43" s="351">
        <f>IFERROR(GETPIVOTDATA("Row Labels",#REF!,"Dealer",""&amp;$S$18&amp;"","Model",""&amp;$S43&amp;""),0)</f>
        <v>0</v>
      </c>
      <c r="AO43" s="351">
        <f>IFERROR(GETPIVOTDATA("RS Afi",#REF!,"Dealer",""&amp;$S$18&amp;"","Model",""&amp;$S43&amp;""),0)</f>
        <v>0</v>
      </c>
      <c r="AP43" s="351">
        <f>IFERROR(GETPIVOTDATA("qty",#REF!,"Model",""&amp;$S43&amp;"","Dealer",""&amp;$S$18&amp;""),0)</f>
        <v>0</v>
      </c>
      <c r="AQ43" s="351">
        <f>IFERROR(GETPIVOTDATA("volume_rs",#REF!,"Model",""&amp;$S43&amp;"","Dealer",""&amp;$S$18&amp;""),0)</f>
        <v>0</v>
      </c>
      <c r="AR43" s="349">
        <f t="shared" si="33"/>
        <v>0</v>
      </c>
      <c r="AS43" s="349">
        <f>IFERROR(GETPIVOTDATA("Area AGM",'Pvt OS'!#REF!,"Dealer",""&amp;$S$18&amp;"","Model",""&amp;$S43&amp;""),0)</f>
        <v>0</v>
      </c>
      <c r="AT43" s="349">
        <f t="shared" si="34"/>
        <v>0</v>
      </c>
      <c r="AU43" s="352"/>
      <c r="AV43" s="353"/>
      <c r="AW43" s="353"/>
      <c r="AX43" s="353"/>
      <c r="AY43" s="353"/>
      <c r="AZ43" s="353"/>
      <c r="BA43" s="354"/>
      <c r="BB43" s="355"/>
      <c r="BC43" s="354"/>
      <c r="BD43" s="356"/>
    </row>
    <row r="44" ht="26.25" customHeight="1" spans="2:56">
      <c r="B44" s="225" t="s">
        <v>198</v>
      </c>
      <c r="C44" s="227">
        <f t="shared" si="10"/>
        <v>0</v>
      </c>
      <c r="D44" s="227">
        <f>IFERROR(GETPIVOTDATA("Area AGM",#REF!,"Dealer",""&amp;$S$18&amp;"","Model",""&amp;$B44&amp;"","Umur Outstansing",""&amp;D$2&amp;""),0)</f>
        <v>0</v>
      </c>
      <c r="E44" s="227">
        <f>IFERROR(GETPIVOTDATA("Area AGM",#REF!,"Dealer",""&amp;$S$18&amp;"","Model",""&amp;$B44&amp;"","Umur Outstansing",""&amp;E$2&amp;""),0)</f>
        <v>0</v>
      </c>
      <c r="F44" s="227">
        <f>IFERROR(GETPIVOTDATA("Area AGM",#REF!,"Dealer",""&amp;$S$18&amp;"","Model",""&amp;$B44&amp;"","Umur Outstansing",""&amp;F$2&amp;""),0)</f>
        <v>0</v>
      </c>
      <c r="G44" s="227">
        <f>IFERROR(GETPIVOTDATA("Area AGM",#REF!,"Dealer",""&amp;$S$18&amp;"","Model",""&amp;$B44&amp;"","Umur Outstansing",""&amp;G$2&amp;""),0)</f>
        <v>0</v>
      </c>
      <c r="H44" s="227">
        <f>IFERROR(GETPIVOTDATA("Area AGM",#REF!,"Dealer",""&amp;$S$18&amp;"","Model",""&amp;$B44&amp;"","Umur Outstansing",""&amp;H$2&amp;""),0)</f>
        <v>0</v>
      </c>
      <c r="J44" s="227">
        <f>IFERROR(GETPIVOTDATA("Area AGM",#REF!,"Dealer",""&amp;$S$18&amp;"","Model",""&amp;$B44&amp;""),0)</f>
        <v>0</v>
      </c>
      <c r="K44" s="227">
        <f>IFERROR(GETPIVOTDATA("Area AGM",#REF!,"Dealer",""&amp;$S$18&amp;"","Model",""&amp;$B44&amp;""),0)</f>
        <v>0</v>
      </c>
      <c r="M44" s="227"/>
      <c r="O44" s="227"/>
      <c r="P44" s="226" t="s">
        <v>184</v>
      </c>
      <c r="Q44" s="291">
        <f t="shared" si="26"/>
        <v>0</v>
      </c>
      <c r="R44" s="227">
        <f>IFERROR(GETPIVOTDATA("RS Target",#REF!,"Dealer",""&amp;$S$18&amp;"","Model",""&amp;$P44&amp;""),0)</f>
        <v>0</v>
      </c>
      <c r="S44" s="348" t="s">
        <v>184</v>
      </c>
      <c r="T44" s="349">
        <f t="shared" si="28"/>
        <v>0</v>
      </c>
      <c r="U44" s="349">
        <f>IFERROR(GETPIVOTDATA("Area AGM",'Pvt OS'!#REF!,"Dealer",""&amp;$S$18&amp;"","Model",""&amp;$S44&amp;""),0)</f>
        <v>0</v>
      </c>
      <c r="V44" s="349">
        <f t="shared" si="29"/>
        <v>0</v>
      </c>
      <c r="W44" s="350">
        <f>IFERROR(GETPIVOTDATA("Area AGM",'Pvt OS'!#REF!,"Dealer",""&amp;$S$18&amp;"","Model",""&amp;$S44&amp;""),0)+IFERROR(GETPIVOTDATA("Area AGM",'Pvt OS'!$A$8,"Dealer",""&amp;$S$18&amp;"","Model",""&amp;$S44&amp;""),0)</f>
        <v>0</v>
      </c>
      <c r="X44" s="349">
        <f t="shared" si="35"/>
        <v>0</v>
      </c>
      <c r="Y44" s="349">
        <f>IFERROR(GETPIVOTDATA("Area AGM",'Pvt OS'!$U$8,"Dealer",""&amp;$S$18&amp;"","Model",""&amp;$S44&amp;""),0)</f>
        <v>0</v>
      </c>
      <c r="Z44" s="349">
        <f>IFERROR(GETPIVOTDATA("Area AGM",'Pvt OS'!$M$8,"Dealer",""&amp;$S$18&amp;"","Model",""&amp;$S44&amp;""),0)</f>
        <v>0</v>
      </c>
      <c r="AA44" s="349">
        <f>IFERROR(GETPIVOTDATA("Area AGM",'Pvt OS'!#REF!,"Dealer",""&amp;$S$18&amp;"","Model",""&amp;$S44&amp;""),0)</f>
        <v>0</v>
      </c>
      <c r="AB44" s="349">
        <f>IFERROR(GETPIVOTDATA("Area AGM",'Pvt OS'!$AO$8,"Dealer",""&amp;$S$18&amp;"","Model",""&amp;$S44&amp;""),0)</f>
        <v>0</v>
      </c>
      <c r="AC44" s="349">
        <f>IFERROR(GETPIVOTDATA("Stock",#REF!,"Dealer",""&amp;$S$18&amp;"","Model",""&amp;$S44&amp;""),0)</f>
        <v>0</v>
      </c>
      <c r="AD44" s="350">
        <f>IFERROR(GETPIVOTDATA("MDP",#REF!,"Dealer",""&amp;$S$18&amp;"","Model",""&amp;$S44&amp;""),0)</f>
        <v>0</v>
      </c>
      <c r="AE44" s="350">
        <f>IFERROR(GETPIVOTDATA("RRN",#REF!,"Model2",""&amp;$S44&amp;"","Dealer",""&amp;$S$18&amp;""),0)</f>
        <v>0</v>
      </c>
      <c r="AF44" s="350">
        <f>IFERROR(GETPIVOTDATA("CO",#REF!,"Dealer Name",""&amp;$S$18&amp;"","Model",""&amp;$S44&amp;""),0)</f>
        <v>0</v>
      </c>
      <c r="AG44" s="349">
        <f>IFERROR(GETPIVOTDATA("Sum of Distplan Final",#REF!,"Dealer",""&amp;$S$18&amp;"","Model",""&amp;$S44&amp;""),0)</f>
        <v>0</v>
      </c>
      <c r="AH44" s="349">
        <f>IFERROR(GETPIVOTDATA("RRN",#REF!,"Model",""&amp;$S44&amp;"","Dealer",""&amp;$S$18&amp;""),0)</f>
        <v>0</v>
      </c>
      <c r="AI44" s="349">
        <f t="shared" si="30"/>
        <v>0</v>
      </c>
      <c r="AJ44" s="349">
        <f>IFERROR(GETPIVOTDATA("volume_rs",#REF!,"Model",""&amp;$S44&amp;"","Dealer",""&amp;$S$18&amp;""),0)</f>
        <v>0</v>
      </c>
      <c r="AK44" s="351">
        <f t="shared" si="31"/>
        <v>0</v>
      </c>
      <c r="AL44" s="351">
        <f>IFERROR(GETPIVOTDATA("Area AGM",'Pvt OS'!#REF!,"Dealer",""&amp;$S$18&amp;"","Model",""&amp;$S44&amp;""),0)</f>
        <v>0</v>
      </c>
      <c r="AM44" s="349">
        <f t="shared" si="32"/>
        <v>0</v>
      </c>
      <c r="AN44" s="351">
        <f>IFERROR(GETPIVOTDATA("Row Labels",#REF!,"Dealer",""&amp;$S$18&amp;"","Model",""&amp;$S44&amp;""),0)</f>
        <v>0</v>
      </c>
      <c r="AO44" s="351">
        <f>IFERROR(GETPIVOTDATA("RS Afi",#REF!,"Dealer",""&amp;$S$18&amp;"","Model",""&amp;$S44&amp;""),0)</f>
        <v>0</v>
      </c>
      <c r="AP44" s="351">
        <f>IFERROR(GETPIVOTDATA("qty",#REF!,"Model",""&amp;$S44&amp;"","Dealer",""&amp;$S$18&amp;""),0)</f>
        <v>0</v>
      </c>
      <c r="AQ44" s="351">
        <f>IFERROR(GETPIVOTDATA("volume_rs",#REF!,"Model",""&amp;$S44&amp;"","Dealer",""&amp;$S$18&amp;""),0)</f>
        <v>0</v>
      </c>
      <c r="AR44" s="349">
        <f t="shared" si="33"/>
        <v>0</v>
      </c>
      <c r="AS44" s="349">
        <f>IFERROR(GETPIVOTDATA("Area AGM",'Pvt OS'!#REF!,"Dealer",""&amp;$S$18&amp;"","Model",""&amp;$S44&amp;""),0)</f>
        <v>0</v>
      </c>
      <c r="AT44" s="349">
        <f t="shared" si="34"/>
        <v>0</v>
      </c>
      <c r="AU44" s="352"/>
      <c r="AV44" s="353"/>
      <c r="AW44" s="353"/>
      <c r="AX44" s="353"/>
      <c r="AY44" s="353"/>
      <c r="AZ44" s="353"/>
      <c r="BA44" s="354"/>
      <c r="BB44" s="355"/>
      <c r="BC44" s="354"/>
      <c r="BD44" s="356"/>
    </row>
    <row r="45" ht="26.25" customHeight="1" spans="2:56">
      <c r="B45" s="225" t="s">
        <v>199</v>
      </c>
      <c r="C45" s="227">
        <f t="shared" si="10"/>
        <v>0</v>
      </c>
      <c r="D45" s="227">
        <f>IFERROR(GETPIVOTDATA("Area AGM",#REF!,"Dealer",""&amp;$S$18&amp;"","Model",""&amp;$B45&amp;"","Umur Outstansing",""&amp;D$2&amp;""),0)</f>
        <v>0</v>
      </c>
      <c r="E45" s="227">
        <f>IFERROR(GETPIVOTDATA("Area AGM",#REF!,"Dealer",""&amp;$S$18&amp;"","Model",""&amp;$B45&amp;"","Umur Outstansing",""&amp;E$2&amp;""),0)</f>
        <v>0</v>
      </c>
      <c r="F45" s="227">
        <f>IFERROR(GETPIVOTDATA("Area AGM",#REF!,"Dealer",""&amp;$S$18&amp;"","Model",""&amp;$B45&amp;"","Umur Outstansing",""&amp;F$2&amp;""),0)</f>
        <v>0</v>
      </c>
      <c r="G45" s="227">
        <f>IFERROR(GETPIVOTDATA("Area AGM",#REF!,"Dealer",""&amp;$S$18&amp;"","Model",""&amp;$B45&amp;"","Umur Outstansing",""&amp;G$2&amp;""),0)</f>
        <v>0</v>
      </c>
      <c r="H45" s="227">
        <f>IFERROR(GETPIVOTDATA("Area AGM",#REF!,"Dealer",""&amp;$S$18&amp;"","Model",""&amp;$B45&amp;"","Umur Outstansing",""&amp;H$2&amp;""),0)</f>
        <v>0</v>
      </c>
      <c r="J45" s="227">
        <f>IFERROR(GETPIVOTDATA("Area AGM",#REF!,"Dealer",""&amp;$S$18&amp;"","Model",""&amp;$B45&amp;""),0)</f>
        <v>0</v>
      </c>
      <c r="K45" s="227">
        <f>IFERROR(GETPIVOTDATA("Area AGM",#REF!,"Dealer",""&amp;$S$18&amp;"","Model",""&amp;$B45&amp;""),0)</f>
        <v>0</v>
      </c>
      <c r="M45" s="227"/>
      <c r="O45" s="227"/>
      <c r="P45" s="226" t="s">
        <v>185</v>
      </c>
      <c r="Q45" s="291">
        <f t="shared" si="26"/>
        <v>0</v>
      </c>
      <c r="R45" s="227">
        <f>IFERROR(GETPIVOTDATA("RS Target",#REF!,"Dealer",""&amp;$S$18&amp;"","Model",""&amp;$P45&amp;""),0)</f>
        <v>0</v>
      </c>
      <c r="S45" s="348" t="s">
        <v>185</v>
      </c>
      <c r="T45" s="349">
        <f t="shared" si="28"/>
        <v>0</v>
      </c>
      <c r="U45" s="349">
        <f>IFERROR(GETPIVOTDATA("Area AGM",'Pvt OS'!#REF!,"Dealer",""&amp;$S$18&amp;"","Model",""&amp;$S45&amp;""),0)</f>
        <v>0</v>
      </c>
      <c r="V45" s="349">
        <f t="shared" si="29"/>
        <v>0</v>
      </c>
      <c r="W45" s="350">
        <f>IFERROR(GETPIVOTDATA("Area AGM",'Pvt OS'!#REF!,"Dealer",""&amp;$S$18&amp;"","Model",""&amp;$S45&amp;""),0)+IFERROR(GETPIVOTDATA("Area AGM",'Pvt OS'!$A$8,"Dealer",""&amp;$S$18&amp;"","Model",""&amp;$S45&amp;""),0)</f>
        <v>0</v>
      </c>
      <c r="X45" s="349">
        <f t="shared" si="35"/>
        <v>0</v>
      </c>
      <c r="Y45" s="349">
        <f>IFERROR(GETPIVOTDATA("Area AGM",'Pvt OS'!$U$8,"Dealer",""&amp;$S$18&amp;"","Model",""&amp;$S45&amp;""),0)</f>
        <v>0</v>
      </c>
      <c r="Z45" s="349">
        <f>IFERROR(GETPIVOTDATA("Area AGM",'Pvt OS'!$M$8,"Dealer",""&amp;$S$18&amp;"","Model",""&amp;$S45&amp;""),0)</f>
        <v>0</v>
      </c>
      <c r="AA45" s="349">
        <f>IFERROR(GETPIVOTDATA("Area AGM",'Pvt OS'!#REF!,"Dealer",""&amp;$S$18&amp;"","Model",""&amp;$S45&amp;""),0)</f>
        <v>0</v>
      </c>
      <c r="AB45" s="349">
        <f>IFERROR(GETPIVOTDATA("Area AGM",'Pvt OS'!$AO$8,"Dealer",""&amp;$S$18&amp;"","Model",""&amp;$S45&amp;""),0)</f>
        <v>0</v>
      </c>
      <c r="AC45" s="349">
        <f>IFERROR(GETPIVOTDATA("Stock",#REF!,"Dealer",""&amp;$S$18&amp;"","Model",""&amp;$S45&amp;""),0)</f>
        <v>0</v>
      </c>
      <c r="AD45" s="350">
        <f>IFERROR(GETPIVOTDATA("MDP",#REF!,"Dealer",""&amp;$S$18&amp;"","Model",""&amp;$S45&amp;""),0)</f>
        <v>0</v>
      </c>
      <c r="AE45" s="350">
        <f>IFERROR(GETPIVOTDATA("RRN",#REF!,"Model2",""&amp;$S45&amp;"","Dealer",""&amp;$S$18&amp;""),0)</f>
        <v>0</v>
      </c>
      <c r="AF45" s="350">
        <f>IFERROR(GETPIVOTDATA("CO",#REF!,"Dealer Name",""&amp;$S$18&amp;"","Model",""&amp;$S45&amp;""),0)</f>
        <v>0</v>
      </c>
      <c r="AG45" s="349">
        <f>IFERROR(GETPIVOTDATA("Sum of Distplan Final",#REF!,"Dealer",""&amp;$S$18&amp;"","Model",""&amp;$S45&amp;""),0)</f>
        <v>0</v>
      </c>
      <c r="AH45" s="349">
        <f>IFERROR(GETPIVOTDATA("RRN",#REF!,"Model",""&amp;$S45&amp;"","Dealer",""&amp;$S$18&amp;""),0)</f>
        <v>0</v>
      </c>
      <c r="AI45" s="349">
        <f t="shared" si="30"/>
        <v>0</v>
      </c>
      <c r="AJ45" s="349">
        <f>IFERROR(GETPIVOTDATA("volume_rs",#REF!,"Model",""&amp;$S45&amp;"","Dealer",""&amp;$S$18&amp;""),0)</f>
        <v>0</v>
      </c>
      <c r="AK45" s="351">
        <f t="shared" si="31"/>
        <v>0</v>
      </c>
      <c r="AL45" s="351">
        <f>IFERROR(GETPIVOTDATA("Area AGM",'Pvt OS'!#REF!,"Dealer",""&amp;$S$18&amp;"","Model",""&amp;$S45&amp;""),0)</f>
        <v>0</v>
      </c>
      <c r="AM45" s="349">
        <f t="shared" si="32"/>
        <v>0</v>
      </c>
      <c r="AN45" s="351">
        <f>IFERROR(GETPIVOTDATA("Row Labels",#REF!,"Dealer",""&amp;$S$18&amp;"","Model",""&amp;$S45&amp;""),0)</f>
        <v>0</v>
      </c>
      <c r="AO45" s="351">
        <f>IFERROR(GETPIVOTDATA("RS Afi",#REF!,"Dealer",""&amp;$S$18&amp;"","Model",""&amp;$S45&amp;""),0)</f>
        <v>0</v>
      </c>
      <c r="AP45" s="351">
        <f>IFERROR(GETPIVOTDATA("qty",#REF!,"Model",""&amp;$S45&amp;"","Dealer",""&amp;$S$18&amp;""),0)</f>
        <v>0</v>
      </c>
      <c r="AQ45" s="351">
        <f>IFERROR(GETPIVOTDATA("volume_rs",#REF!,"Model",""&amp;$S45&amp;"","Dealer",""&amp;$S$18&amp;""),0)</f>
        <v>0</v>
      </c>
      <c r="AR45" s="349">
        <f t="shared" si="33"/>
        <v>0</v>
      </c>
      <c r="AS45" s="349">
        <f>IFERROR(GETPIVOTDATA("Area AGM",'Pvt OS'!#REF!,"Dealer",""&amp;$S$18&amp;"","Model",""&amp;$S45&amp;""),0)</f>
        <v>0</v>
      </c>
      <c r="AT45" s="349">
        <f t="shared" si="34"/>
        <v>0</v>
      </c>
      <c r="AU45" s="352"/>
      <c r="AV45" s="353"/>
      <c r="AW45" s="353"/>
      <c r="AX45" s="353"/>
      <c r="AY45" s="353"/>
      <c r="AZ45" s="353"/>
      <c r="BA45" s="354"/>
      <c r="BB45" s="355"/>
      <c r="BC45" s="354"/>
      <c r="BD45" s="356"/>
    </row>
    <row r="46" ht="26.25" customHeight="1" spans="2:56">
      <c r="B46" s="225" t="s">
        <v>200</v>
      </c>
      <c r="C46" s="227">
        <f t="shared" si="10"/>
        <v>0</v>
      </c>
      <c r="D46" s="227">
        <f>IFERROR(GETPIVOTDATA("Area AGM",#REF!,"Dealer",""&amp;$S$18&amp;"","Model",""&amp;$B46&amp;"","Umur Outstansing",""&amp;D$2&amp;""),0)</f>
        <v>0</v>
      </c>
      <c r="E46" s="227">
        <f>IFERROR(GETPIVOTDATA("Area AGM",#REF!,"Dealer",""&amp;$S$18&amp;"","Model",""&amp;$B46&amp;"","Umur Outstansing",""&amp;E$2&amp;""),0)</f>
        <v>0</v>
      </c>
      <c r="F46" s="227">
        <f>IFERROR(GETPIVOTDATA("Area AGM",#REF!,"Dealer",""&amp;$S$18&amp;"","Model",""&amp;$B46&amp;"","Umur Outstansing",""&amp;F$2&amp;""),0)</f>
        <v>0</v>
      </c>
      <c r="G46" s="227">
        <f>IFERROR(GETPIVOTDATA("Area AGM",#REF!,"Dealer",""&amp;$S$18&amp;"","Model",""&amp;$B46&amp;"","Umur Outstansing",""&amp;G$2&amp;""),0)</f>
        <v>0</v>
      </c>
      <c r="H46" s="227">
        <f>IFERROR(GETPIVOTDATA("Area AGM",#REF!,"Dealer",""&amp;$S$18&amp;"","Model",""&amp;$B46&amp;"","Umur Outstansing",""&amp;H$2&amp;""),0)</f>
        <v>0</v>
      </c>
      <c r="J46" s="227">
        <f>IFERROR(GETPIVOTDATA("Area AGM",#REF!,"Dealer",""&amp;$S$18&amp;"","Model",""&amp;$B46&amp;""),0)</f>
        <v>0</v>
      </c>
      <c r="K46" s="227">
        <f>IFERROR(GETPIVOTDATA("Area AGM",#REF!,"Dealer",""&amp;$S$18&amp;"","Model",""&amp;$B46&amp;""),0)</f>
        <v>0</v>
      </c>
      <c r="M46" s="227"/>
      <c r="O46" s="227"/>
      <c r="P46" s="226" t="s">
        <v>186</v>
      </c>
      <c r="Q46" s="291">
        <f t="shared" si="26"/>
        <v>0</v>
      </c>
      <c r="R46" s="227">
        <f>IFERROR(GETPIVOTDATA("RS Target",#REF!,"Dealer",""&amp;$S$18&amp;"","Model",""&amp;$P46&amp;""),0)</f>
        <v>0</v>
      </c>
      <c r="S46" s="348" t="s">
        <v>186</v>
      </c>
      <c r="T46" s="349">
        <f t="shared" si="28"/>
        <v>0</v>
      </c>
      <c r="U46" s="349">
        <f>IFERROR(GETPIVOTDATA("Area AGM",'Pvt OS'!#REF!,"Dealer",""&amp;$S$18&amp;"","Model",""&amp;$S46&amp;""),0)</f>
        <v>0</v>
      </c>
      <c r="V46" s="349">
        <f t="shared" si="29"/>
        <v>0</v>
      </c>
      <c r="W46" s="350">
        <f>IFERROR(GETPIVOTDATA("Area AGM",'Pvt OS'!#REF!,"Dealer",""&amp;$S$18&amp;"","Model",""&amp;$S46&amp;""),0)+IFERROR(GETPIVOTDATA("Area AGM",'Pvt OS'!$A$8,"Dealer",""&amp;$S$18&amp;"","Model",""&amp;$S46&amp;""),0)</f>
        <v>0</v>
      </c>
      <c r="X46" s="349">
        <f t="shared" si="35"/>
        <v>0</v>
      </c>
      <c r="Y46" s="349">
        <f>IFERROR(GETPIVOTDATA("Area AGM",'Pvt OS'!$U$8,"Dealer",""&amp;$S$18&amp;"","Model",""&amp;$S46&amp;""),0)</f>
        <v>0</v>
      </c>
      <c r="Z46" s="349">
        <f>IFERROR(GETPIVOTDATA("Area AGM",'Pvt OS'!$M$8,"Dealer",""&amp;$S$18&amp;"","Model",""&amp;$S46&amp;""),0)</f>
        <v>0</v>
      </c>
      <c r="AA46" s="349">
        <f>IFERROR(GETPIVOTDATA("Area AGM",'Pvt OS'!#REF!,"Dealer",""&amp;$S$18&amp;"","Model",""&amp;$S46&amp;""),0)</f>
        <v>0</v>
      </c>
      <c r="AB46" s="349">
        <f>IFERROR(GETPIVOTDATA("Area AGM",'Pvt OS'!$AO$8,"Dealer",""&amp;$S$18&amp;"","Model",""&amp;$S46&amp;""),0)</f>
        <v>0</v>
      </c>
      <c r="AC46" s="349">
        <f>IFERROR(GETPIVOTDATA("Stock",#REF!,"Dealer",""&amp;$S$18&amp;"","Model",""&amp;$S46&amp;""),0)</f>
        <v>0</v>
      </c>
      <c r="AD46" s="350">
        <f>IFERROR(GETPIVOTDATA("MDP",#REF!,"Dealer",""&amp;$S$18&amp;"","Model",""&amp;$S46&amp;""),0)</f>
        <v>0</v>
      </c>
      <c r="AE46" s="350">
        <f>IFERROR(GETPIVOTDATA("RRN",#REF!,"Model2",""&amp;$S46&amp;"","Dealer",""&amp;$S$18&amp;""),0)</f>
        <v>0</v>
      </c>
      <c r="AF46" s="350">
        <f>IFERROR(GETPIVOTDATA("CO",#REF!,"Dealer Name",""&amp;$S$18&amp;"","Model",""&amp;$S46&amp;""),0)</f>
        <v>0</v>
      </c>
      <c r="AG46" s="349">
        <f>IFERROR(GETPIVOTDATA("Sum of Distplan Final",#REF!,"Dealer",""&amp;$S$18&amp;"","Model",""&amp;$S46&amp;""),0)</f>
        <v>0</v>
      </c>
      <c r="AH46" s="349">
        <f>IFERROR(GETPIVOTDATA("RRN",#REF!,"Model",""&amp;$S46&amp;"","Dealer",""&amp;$S$18&amp;""),0)</f>
        <v>0</v>
      </c>
      <c r="AI46" s="349">
        <f t="shared" si="30"/>
        <v>0</v>
      </c>
      <c r="AJ46" s="349">
        <f>IFERROR(GETPIVOTDATA("volume_rs",#REF!,"Model",""&amp;$S46&amp;"","Dealer",""&amp;$S$18&amp;""),0)</f>
        <v>0</v>
      </c>
      <c r="AK46" s="351">
        <f t="shared" si="31"/>
        <v>0</v>
      </c>
      <c r="AL46" s="351">
        <f>IFERROR(GETPIVOTDATA("Area AGM",'Pvt OS'!#REF!,"Dealer",""&amp;$S$18&amp;"","Model",""&amp;$S46&amp;""),0)</f>
        <v>0</v>
      </c>
      <c r="AM46" s="349">
        <f t="shared" si="32"/>
        <v>0</v>
      </c>
      <c r="AN46" s="351">
        <f>IFERROR(GETPIVOTDATA("Row Labels",#REF!,"Dealer",""&amp;$S$18&amp;"","Model",""&amp;$S46&amp;""),0)</f>
        <v>0</v>
      </c>
      <c r="AO46" s="351">
        <f>IFERROR(GETPIVOTDATA("RS Afi",#REF!,"Dealer",""&amp;$S$18&amp;"","Model",""&amp;$S46&amp;""),0)</f>
        <v>0</v>
      </c>
      <c r="AP46" s="351">
        <f>IFERROR(GETPIVOTDATA("qty",#REF!,"Model",""&amp;$S46&amp;"","Dealer",""&amp;$S$18&amp;""),0)</f>
        <v>0</v>
      </c>
      <c r="AQ46" s="351">
        <f>IFERROR(GETPIVOTDATA("volume_rs",#REF!,"Model",""&amp;$S46&amp;"","Dealer",""&amp;$S$18&amp;""),0)</f>
        <v>0</v>
      </c>
      <c r="AR46" s="349">
        <f t="shared" si="33"/>
        <v>0</v>
      </c>
      <c r="AS46" s="349">
        <f>IFERROR(GETPIVOTDATA("Area AGM",'Pvt OS'!#REF!,"Dealer",""&amp;$S$18&amp;"","Model",""&amp;$S46&amp;""),0)</f>
        <v>0</v>
      </c>
      <c r="AT46" s="349">
        <f t="shared" si="34"/>
        <v>0</v>
      </c>
      <c r="AU46" s="352"/>
      <c r="AV46" s="353"/>
      <c r="AW46" s="353"/>
      <c r="AX46" s="353"/>
      <c r="AY46" s="353"/>
      <c r="AZ46" s="353"/>
      <c r="BA46" s="354"/>
      <c r="BB46" s="355"/>
      <c r="BC46" s="354"/>
      <c r="BD46" s="356"/>
    </row>
    <row r="47" ht="26.25" customHeight="1" spans="2:56">
      <c r="B47" s="225" t="s">
        <v>201</v>
      </c>
      <c r="C47" s="227">
        <f t="shared" si="10"/>
        <v>0</v>
      </c>
      <c r="D47" s="227">
        <f>IFERROR(GETPIVOTDATA("Area AGM",#REF!,"Dealer",""&amp;$S$18&amp;"","Model",""&amp;$B47&amp;"","Umur Outstansing",""&amp;D$2&amp;""),0)</f>
        <v>0</v>
      </c>
      <c r="E47" s="227">
        <f>IFERROR(GETPIVOTDATA("Area AGM",#REF!,"Dealer",""&amp;$S$18&amp;"","Model",""&amp;$B47&amp;"","Umur Outstansing",""&amp;E$2&amp;""),0)</f>
        <v>0</v>
      </c>
      <c r="F47" s="227">
        <f>IFERROR(GETPIVOTDATA("Area AGM",#REF!,"Dealer",""&amp;$S$18&amp;"","Model",""&amp;$B47&amp;"","Umur Outstansing",""&amp;F$2&amp;""),0)</f>
        <v>0</v>
      </c>
      <c r="G47" s="227">
        <f>IFERROR(GETPIVOTDATA("Area AGM",#REF!,"Dealer",""&amp;$S$18&amp;"","Model",""&amp;$B47&amp;"","Umur Outstansing",""&amp;G$2&amp;""),0)</f>
        <v>0</v>
      </c>
      <c r="H47" s="227">
        <f>IFERROR(GETPIVOTDATA("Area AGM",#REF!,"Dealer",""&amp;$S$18&amp;"","Model",""&amp;$B47&amp;"","Umur Outstansing",""&amp;H$2&amp;""),0)</f>
        <v>0</v>
      </c>
      <c r="J47" s="227">
        <f>IFERROR(GETPIVOTDATA("Area AGM",#REF!,"Dealer",""&amp;$S$18&amp;"","Model",""&amp;$B47&amp;""),0)</f>
        <v>0</v>
      </c>
      <c r="K47" s="227">
        <f>IFERROR(GETPIVOTDATA("Area AGM",#REF!,"Dealer",""&amp;$S$18&amp;"","Model",""&amp;$B47&amp;""),0)</f>
        <v>0</v>
      </c>
      <c r="M47" s="227"/>
      <c r="O47" s="227"/>
      <c r="P47" s="226" t="s">
        <v>187</v>
      </c>
      <c r="Q47" s="291">
        <f t="shared" si="26"/>
        <v>0</v>
      </c>
      <c r="R47" s="227">
        <f>IFERROR(GETPIVOTDATA("RS Target",#REF!,"Dealer",""&amp;$S$18&amp;"","Model",""&amp;$P47&amp;""),0)</f>
        <v>0</v>
      </c>
      <c r="S47" s="348" t="s">
        <v>187</v>
      </c>
      <c r="T47" s="349">
        <f t="shared" si="28"/>
        <v>0</v>
      </c>
      <c r="U47" s="349">
        <f>IFERROR(GETPIVOTDATA("Area AGM",'Pvt OS'!#REF!,"Dealer",""&amp;$S$18&amp;"","Model",""&amp;$S47&amp;""),0)</f>
        <v>0</v>
      </c>
      <c r="V47" s="349">
        <f t="shared" si="29"/>
        <v>0</v>
      </c>
      <c r="W47" s="350">
        <f>IFERROR(GETPIVOTDATA("Area AGM",'Pvt OS'!#REF!,"Dealer",""&amp;$S$18&amp;"","Model",""&amp;$S47&amp;""),0)+IFERROR(GETPIVOTDATA("Area AGM",'Pvt OS'!$A$8,"Dealer",""&amp;$S$18&amp;"","Model",""&amp;$S47&amp;""),0)</f>
        <v>0</v>
      </c>
      <c r="X47" s="349">
        <f t="shared" si="35"/>
        <v>0</v>
      </c>
      <c r="Y47" s="349">
        <f>IFERROR(GETPIVOTDATA("Area AGM",'Pvt OS'!$U$8,"Dealer",""&amp;$S$18&amp;"","Model",""&amp;$S47&amp;""),0)</f>
        <v>0</v>
      </c>
      <c r="Z47" s="349">
        <f>IFERROR(GETPIVOTDATA("Area AGM",'Pvt OS'!$M$8,"Dealer",""&amp;$S$18&amp;"","Model",""&amp;$S47&amp;""),0)</f>
        <v>0</v>
      </c>
      <c r="AA47" s="349">
        <f>IFERROR(GETPIVOTDATA("Area AGM",'Pvt OS'!#REF!,"Dealer",""&amp;$S$18&amp;"","Model",""&amp;$S47&amp;""),0)</f>
        <v>0</v>
      </c>
      <c r="AB47" s="349">
        <f>IFERROR(GETPIVOTDATA("Area AGM",'Pvt OS'!$AO$8,"Dealer",""&amp;$S$18&amp;"","Model",""&amp;$S47&amp;""),0)</f>
        <v>0</v>
      </c>
      <c r="AC47" s="349">
        <f>IFERROR(GETPIVOTDATA("Stock",#REF!,"Dealer",""&amp;$S$18&amp;"","Model",""&amp;$S47&amp;""),0)</f>
        <v>0</v>
      </c>
      <c r="AD47" s="350">
        <f>IFERROR(GETPIVOTDATA("MDP",#REF!,"Dealer",""&amp;$S$18&amp;"","Model",""&amp;$S47&amp;""),0)</f>
        <v>0</v>
      </c>
      <c r="AE47" s="350">
        <f>IFERROR(GETPIVOTDATA("RRN",#REF!,"Model2",""&amp;$S47&amp;"","Dealer",""&amp;$S$18&amp;""),0)</f>
        <v>0</v>
      </c>
      <c r="AF47" s="350">
        <f>IFERROR(GETPIVOTDATA("CO",#REF!,"Dealer Name",""&amp;$S$18&amp;"","Model",""&amp;$S47&amp;""),0)</f>
        <v>0</v>
      </c>
      <c r="AG47" s="349">
        <f>IFERROR(GETPIVOTDATA("Sum of Distplan Final",#REF!,"Dealer",""&amp;$S$18&amp;"","Model",""&amp;$S47&amp;""),0)</f>
        <v>0</v>
      </c>
      <c r="AH47" s="349">
        <f>IFERROR(GETPIVOTDATA("RRN",#REF!,"Model",""&amp;$S47&amp;"","Dealer",""&amp;$S$18&amp;""),0)</f>
        <v>0</v>
      </c>
      <c r="AI47" s="349">
        <f t="shared" si="30"/>
        <v>0</v>
      </c>
      <c r="AJ47" s="349">
        <f>IFERROR(GETPIVOTDATA("volume_rs",#REF!,"Model",""&amp;$S47&amp;"","Dealer",""&amp;$S$18&amp;""),0)</f>
        <v>0</v>
      </c>
      <c r="AK47" s="351">
        <f t="shared" si="31"/>
        <v>0</v>
      </c>
      <c r="AL47" s="351">
        <f>IFERROR(GETPIVOTDATA("Area AGM",'Pvt OS'!#REF!,"Dealer",""&amp;$S$18&amp;"","Model",""&amp;$S47&amp;""),0)</f>
        <v>0</v>
      </c>
      <c r="AM47" s="349">
        <f t="shared" si="32"/>
        <v>0</v>
      </c>
      <c r="AN47" s="351">
        <f>IFERROR(GETPIVOTDATA("Row Labels",#REF!,"Dealer",""&amp;$S$18&amp;"","Model",""&amp;$S47&amp;""),0)</f>
        <v>0</v>
      </c>
      <c r="AO47" s="351">
        <f>IFERROR(GETPIVOTDATA("RS Afi",#REF!,"Dealer",""&amp;$S$18&amp;"","Model",""&amp;$S47&amp;""),0)</f>
        <v>0</v>
      </c>
      <c r="AP47" s="351">
        <f>IFERROR(GETPIVOTDATA("qty",#REF!,"Model",""&amp;$S47&amp;"","Dealer",""&amp;$S$18&amp;""),0)</f>
        <v>0</v>
      </c>
      <c r="AQ47" s="351">
        <f>IFERROR(GETPIVOTDATA("volume_rs",#REF!,"Model",""&amp;$S47&amp;"","Dealer",""&amp;$S$18&amp;""),0)</f>
        <v>0</v>
      </c>
      <c r="AR47" s="349">
        <f t="shared" si="33"/>
        <v>0</v>
      </c>
      <c r="AS47" s="349">
        <f>IFERROR(GETPIVOTDATA("Area AGM",'Pvt OS'!#REF!,"Dealer",""&amp;$S$18&amp;"","Model",""&amp;$S47&amp;""),0)</f>
        <v>0</v>
      </c>
      <c r="AT47" s="349">
        <f t="shared" si="34"/>
        <v>0</v>
      </c>
      <c r="AU47" s="352"/>
      <c r="AV47" s="353"/>
      <c r="AW47" s="353"/>
      <c r="AX47" s="353"/>
      <c r="AY47" s="353"/>
      <c r="AZ47" s="353"/>
      <c r="BA47" s="354"/>
      <c r="BB47" s="355"/>
      <c r="BC47" s="354"/>
      <c r="BD47" s="356"/>
    </row>
    <row r="48" ht="26.25" customHeight="1" spans="2:56">
      <c r="B48" s="225" t="s">
        <v>202</v>
      </c>
      <c r="C48" s="227">
        <f t="shared" si="10"/>
        <v>0</v>
      </c>
      <c r="D48" s="227">
        <f>IFERROR(GETPIVOTDATA("Area AGM",#REF!,"Dealer",""&amp;$S$18&amp;"","Model",""&amp;$B48&amp;"","Umur Outstansing",""&amp;D$2&amp;""),0)</f>
        <v>0</v>
      </c>
      <c r="E48" s="227">
        <f>IFERROR(GETPIVOTDATA("Area AGM",#REF!,"Dealer",""&amp;$S$18&amp;"","Model",""&amp;$B48&amp;"","Umur Outstansing",""&amp;E$2&amp;""),0)</f>
        <v>0</v>
      </c>
      <c r="F48" s="227">
        <f>IFERROR(GETPIVOTDATA("Area AGM",#REF!,"Dealer",""&amp;$S$18&amp;"","Model",""&amp;$B48&amp;"","Umur Outstansing",""&amp;F$2&amp;""),0)</f>
        <v>0</v>
      </c>
      <c r="G48" s="227">
        <f>IFERROR(GETPIVOTDATA("Area AGM",#REF!,"Dealer",""&amp;$S$18&amp;"","Model",""&amp;$B48&amp;"","Umur Outstansing",""&amp;G$2&amp;""),0)</f>
        <v>0</v>
      </c>
      <c r="H48" s="227">
        <f>IFERROR(GETPIVOTDATA("Area AGM",#REF!,"Dealer",""&amp;$S$18&amp;"","Model",""&amp;$B48&amp;"","Umur Outstansing",""&amp;H$2&amp;""),0)</f>
        <v>0</v>
      </c>
      <c r="J48" s="227">
        <f>IFERROR(GETPIVOTDATA("Area AGM",#REF!,"Dealer",""&amp;$S$18&amp;"","Model",""&amp;$B48&amp;""),0)</f>
        <v>0</v>
      </c>
      <c r="K48" s="227">
        <f>IFERROR(GETPIVOTDATA("Area AGM",#REF!,"Dealer",""&amp;$S$18&amp;"","Model",""&amp;$B48&amp;""),0)</f>
        <v>0</v>
      </c>
      <c r="M48" s="227"/>
      <c r="O48" s="227"/>
      <c r="P48" s="226" t="s">
        <v>188</v>
      </c>
      <c r="Q48" s="291">
        <f t="shared" si="26"/>
        <v>0</v>
      </c>
      <c r="R48" s="227">
        <f>IFERROR(GETPIVOTDATA("RS Target",#REF!,"Dealer",""&amp;$S$18&amp;"","Model",""&amp;$P48&amp;""),0)</f>
        <v>0</v>
      </c>
      <c r="S48" s="348" t="s">
        <v>188</v>
      </c>
      <c r="T48" s="349">
        <f t="shared" si="28"/>
        <v>0</v>
      </c>
      <c r="U48" s="349">
        <f>IFERROR(GETPIVOTDATA("Area AGM",'Pvt OS'!#REF!,"Dealer",""&amp;$S$18&amp;"","Model",""&amp;$S48&amp;""),0)</f>
        <v>0</v>
      </c>
      <c r="V48" s="349">
        <f t="shared" si="29"/>
        <v>0</v>
      </c>
      <c r="W48" s="350">
        <f>IFERROR(GETPIVOTDATA("Area AGM",'Pvt OS'!#REF!,"Dealer",""&amp;$S$18&amp;"","Model",""&amp;$S48&amp;""),0)+IFERROR(GETPIVOTDATA("Area AGM",'Pvt OS'!$A$8,"Dealer",""&amp;$S$18&amp;"","Model",""&amp;$S48&amp;""),0)</f>
        <v>0</v>
      </c>
      <c r="X48" s="349">
        <f t="shared" si="35"/>
        <v>0</v>
      </c>
      <c r="Y48" s="350">
        <f>IFERROR(GETPIVOTDATA("Area AGM",'Pvt OS'!$U$8,"Dealer",""&amp;$S$18&amp;"","Model",""&amp;$S48&amp;""),0)</f>
        <v>0</v>
      </c>
      <c r="Z48" s="349">
        <f>IFERROR(GETPIVOTDATA("Area AGM",'Pvt OS'!$M$8,"Dealer",""&amp;$S$18&amp;"","Model",""&amp;$S48&amp;""),0)</f>
        <v>0</v>
      </c>
      <c r="AA48" s="349">
        <f>IFERROR(GETPIVOTDATA("Area AGM",'Pvt OS'!#REF!,"Dealer",""&amp;$S$18&amp;"","Model",""&amp;$S48&amp;""),0)</f>
        <v>0</v>
      </c>
      <c r="AB48" s="349">
        <f>IFERROR(GETPIVOTDATA("Area AGM",'Pvt OS'!$AO$8,"Dealer",""&amp;$S$18&amp;"","Model",""&amp;$S48&amp;""),0)</f>
        <v>0</v>
      </c>
      <c r="AC48" s="349">
        <f>IFERROR(GETPIVOTDATA("Stock",#REF!,"Dealer",""&amp;$S$18&amp;"","Model",""&amp;$S48&amp;""),0)</f>
        <v>0</v>
      </c>
      <c r="AD48" s="350">
        <f>IFERROR(GETPIVOTDATA("MDP",#REF!,"Dealer",""&amp;$S$18&amp;"","Model",""&amp;$S48&amp;""),0)</f>
        <v>0</v>
      </c>
      <c r="AE48" s="350">
        <f>IFERROR(GETPIVOTDATA("RRN",#REF!,"Model2",""&amp;$S48&amp;"","Dealer",""&amp;$S$18&amp;""),0)</f>
        <v>0</v>
      </c>
      <c r="AF48" s="350">
        <f>IFERROR(GETPIVOTDATA("CO",#REF!,"Dealer Name",""&amp;$S$18&amp;"","Model",""&amp;$S48&amp;""),0)</f>
        <v>0</v>
      </c>
      <c r="AG48" s="349">
        <f>IFERROR(GETPIVOTDATA("Sum of Distplan Final",#REF!,"Dealer",""&amp;$S$18&amp;"","Model",""&amp;$S48&amp;""),0)</f>
        <v>0</v>
      </c>
      <c r="AH48" s="349">
        <f>IFERROR(GETPIVOTDATA("RRN",#REF!,"Model",""&amp;$S48&amp;"","Dealer",""&amp;$S$18&amp;""),0)</f>
        <v>0</v>
      </c>
      <c r="AI48" s="349">
        <f t="shared" si="30"/>
        <v>0</v>
      </c>
      <c r="AJ48" s="349">
        <f>IFERROR(GETPIVOTDATA("volume_rs",#REF!,"Model",""&amp;$S48&amp;"","Dealer",""&amp;$S$18&amp;""),0)</f>
        <v>0</v>
      </c>
      <c r="AK48" s="351">
        <f t="shared" si="31"/>
        <v>0</v>
      </c>
      <c r="AL48" s="351">
        <f>IFERROR(GETPIVOTDATA("Area AGM",'Pvt OS'!#REF!,"Dealer",""&amp;$S$18&amp;"","Model",""&amp;$S48&amp;""),0)</f>
        <v>0</v>
      </c>
      <c r="AM48" s="349">
        <f t="shared" si="32"/>
        <v>0</v>
      </c>
      <c r="AN48" s="351">
        <f>IFERROR(GETPIVOTDATA("Row Labels",#REF!,"Dealer",""&amp;$S$18&amp;"","Model",""&amp;$S48&amp;""),0)</f>
        <v>0</v>
      </c>
      <c r="AO48" s="351">
        <f>IFERROR(GETPIVOTDATA("RS Afi",#REF!,"Dealer",""&amp;$S$18&amp;"","Model",""&amp;$S48&amp;""),0)</f>
        <v>0</v>
      </c>
      <c r="AP48" s="351">
        <f>IFERROR(GETPIVOTDATA("qty",#REF!,"Model",""&amp;$S48&amp;"","Dealer",""&amp;$S$18&amp;""),0)</f>
        <v>0</v>
      </c>
      <c r="AQ48" s="351">
        <f>IFERROR(GETPIVOTDATA("volume_rs",#REF!,"Model",""&amp;$S48&amp;"","Dealer",""&amp;$S$18&amp;""),0)</f>
        <v>0</v>
      </c>
      <c r="AR48" s="349">
        <f t="shared" si="33"/>
        <v>0</v>
      </c>
      <c r="AS48" s="349">
        <f>IFERROR(GETPIVOTDATA("Area AGM",'Pvt OS'!#REF!,"Dealer",""&amp;$S$18&amp;"","Model",""&amp;$S48&amp;""),0)</f>
        <v>0</v>
      </c>
      <c r="AT48" s="349">
        <f t="shared" si="34"/>
        <v>0</v>
      </c>
      <c r="AU48" s="352"/>
      <c r="AV48" s="353"/>
      <c r="AW48" s="353"/>
      <c r="AX48" s="353"/>
      <c r="AY48" s="353"/>
      <c r="AZ48" s="353"/>
      <c r="BA48" s="354"/>
      <c r="BB48" s="355"/>
      <c r="BC48" s="354"/>
      <c r="BD48" s="356"/>
    </row>
    <row r="49" ht="26.25" customHeight="1" spans="2:56">
      <c r="B49" s="225" t="s">
        <v>203</v>
      </c>
      <c r="C49" s="227">
        <f t="shared" si="10"/>
        <v>0</v>
      </c>
      <c r="D49" s="227">
        <f>IFERROR(GETPIVOTDATA("Area AGM",#REF!,"Dealer",""&amp;$S$18&amp;"","Model",""&amp;$B49&amp;"","Umur Outstansing",""&amp;D$2&amp;""),0)</f>
        <v>0</v>
      </c>
      <c r="E49" s="227">
        <f>IFERROR(GETPIVOTDATA("Area AGM",#REF!,"Dealer",""&amp;$S$18&amp;"","Model",""&amp;$B49&amp;"","Umur Outstansing",""&amp;E$2&amp;""),0)</f>
        <v>0</v>
      </c>
      <c r="F49" s="227">
        <f>IFERROR(GETPIVOTDATA("Area AGM",#REF!,"Dealer",""&amp;$S$18&amp;"","Model",""&amp;$B49&amp;"","Umur Outstansing",""&amp;F$2&amp;""),0)</f>
        <v>0</v>
      </c>
      <c r="G49" s="227">
        <f>IFERROR(GETPIVOTDATA("Area AGM",#REF!,"Dealer",""&amp;$S$18&amp;"","Model",""&amp;$B49&amp;"","Umur Outstansing",""&amp;G$2&amp;""),0)</f>
        <v>0</v>
      </c>
      <c r="H49" s="227">
        <f>IFERROR(GETPIVOTDATA("Area AGM",#REF!,"Dealer",""&amp;$S$18&amp;"","Model",""&amp;$B49&amp;"","Umur Outstansing",""&amp;H$2&amp;""),0)</f>
        <v>0</v>
      </c>
      <c r="J49" s="227">
        <f>IFERROR(GETPIVOTDATA("Area AGM",#REF!,"Dealer",""&amp;$S$18&amp;"","Model",""&amp;$B49&amp;""),0)</f>
        <v>0</v>
      </c>
      <c r="K49" s="227">
        <f>IFERROR(GETPIVOTDATA("Area AGM",#REF!,"Dealer",""&amp;$S$18&amp;"","Model",""&amp;$B49&amp;""),0)</f>
        <v>0</v>
      </c>
      <c r="M49" s="227"/>
      <c r="O49" s="227"/>
      <c r="P49" s="226" t="s">
        <v>189</v>
      </c>
      <c r="Q49" s="291">
        <f t="shared" si="26"/>
        <v>0</v>
      </c>
      <c r="R49" s="227">
        <f>IFERROR(GETPIVOTDATA("RS Target",#REF!,"Dealer",""&amp;$S$18&amp;"","Model",""&amp;$P49&amp;""),0)</f>
        <v>0</v>
      </c>
      <c r="S49" s="348" t="s">
        <v>189</v>
      </c>
      <c r="T49" s="349">
        <f t="shared" si="28"/>
        <v>0</v>
      </c>
      <c r="U49" s="349">
        <f>IFERROR(GETPIVOTDATA("Area AGM",'Pvt OS'!#REF!,"Dealer",""&amp;$S$18&amp;"","Model",""&amp;$S49&amp;""),0)</f>
        <v>0</v>
      </c>
      <c r="V49" s="349">
        <f t="shared" si="29"/>
        <v>0</v>
      </c>
      <c r="W49" s="350">
        <f>IFERROR(GETPIVOTDATA("Area AGM",'Pvt OS'!#REF!,"Dealer",""&amp;$S$18&amp;"","Model",""&amp;$S49&amp;""),0)+IFERROR(GETPIVOTDATA("Area AGM",'Pvt OS'!$A$8,"Dealer",""&amp;$S$18&amp;"","Model",""&amp;$S49&amp;""),0)</f>
        <v>0</v>
      </c>
      <c r="X49" s="349">
        <f t="shared" si="35"/>
        <v>0</v>
      </c>
      <c r="Y49" s="349">
        <f>IFERROR(GETPIVOTDATA("Area AGM",'Pvt OS'!$U$8,"Dealer",""&amp;$S$18&amp;"","Model",""&amp;$S49&amp;""),0)</f>
        <v>0</v>
      </c>
      <c r="Z49" s="349">
        <f>IFERROR(GETPIVOTDATA("Area AGM",'Pvt OS'!$M$8,"Dealer",""&amp;$S$18&amp;"","Model",""&amp;$S49&amp;""),0)</f>
        <v>0</v>
      </c>
      <c r="AA49" s="349">
        <f>IFERROR(GETPIVOTDATA("Area AGM",'Pvt OS'!#REF!,"Dealer",""&amp;$S$18&amp;"","Model",""&amp;$S49&amp;""),0)</f>
        <v>0</v>
      </c>
      <c r="AB49" s="349">
        <f>IFERROR(GETPIVOTDATA("Area AGM",'Pvt OS'!$AO$8,"Dealer",""&amp;$S$18&amp;"","Model",""&amp;$S49&amp;""),0)</f>
        <v>0</v>
      </c>
      <c r="AC49" s="349">
        <f>IFERROR(GETPIVOTDATA("Stock",#REF!,"Dealer",""&amp;$S$18&amp;"","Model",""&amp;$S49&amp;""),0)</f>
        <v>0</v>
      </c>
      <c r="AD49" s="350">
        <f>IFERROR(GETPIVOTDATA("MDP",#REF!,"Dealer",""&amp;$S$18&amp;"","Model",""&amp;$S49&amp;""),0)</f>
        <v>0</v>
      </c>
      <c r="AE49" s="350">
        <f>IFERROR(GETPIVOTDATA("RRN",#REF!,"Model2",""&amp;$S49&amp;"","Dealer",""&amp;$S$18&amp;""),0)</f>
        <v>0</v>
      </c>
      <c r="AF49" s="350">
        <f>IFERROR(GETPIVOTDATA("CO",#REF!,"Dealer Name",""&amp;$S$18&amp;"","Model",""&amp;$S49&amp;""),0)</f>
        <v>0</v>
      </c>
      <c r="AG49" s="349">
        <f>IFERROR(GETPIVOTDATA("Sum of Distplan Final",#REF!,"Dealer",""&amp;$S$18&amp;"","Model",""&amp;$S49&amp;""),0)</f>
        <v>0</v>
      </c>
      <c r="AH49" s="349">
        <f>IFERROR(GETPIVOTDATA("RRN",#REF!,"Model",""&amp;$S49&amp;"","Dealer",""&amp;$S$18&amp;""),0)</f>
        <v>0</v>
      </c>
      <c r="AI49" s="349">
        <f t="shared" si="30"/>
        <v>0</v>
      </c>
      <c r="AJ49" s="349">
        <f>IFERROR(GETPIVOTDATA("volume_rs",#REF!,"Model",""&amp;$S49&amp;"","Dealer",""&amp;$S$18&amp;""),0)</f>
        <v>0</v>
      </c>
      <c r="AK49" s="351">
        <f t="shared" si="31"/>
        <v>0</v>
      </c>
      <c r="AL49" s="351">
        <f>IFERROR(GETPIVOTDATA("Area AGM",'Pvt OS'!#REF!,"Dealer",""&amp;$S$18&amp;"","Model",""&amp;$S49&amp;""),0)</f>
        <v>0</v>
      </c>
      <c r="AM49" s="349">
        <f t="shared" si="32"/>
        <v>0</v>
      </c>
      <c r="AN49" s="351">
        <f>IFERROR(GETPIVOTDATA("Row Labels",#REF!,"Dealer",""&amp;$S$18&amp;"","Model",""&amp;$S49&amp;""),0)</f>
        <v>0</v>
      </c>
      <c r="AO49" s="351">
        <f>IFERROR(GETPIVOTDATA("RS Afi",#REF!,"Dealer",""&amp;$S$18&amp;"","Model",""&amp;$S49&amp;""),0)</f>
        <v>0</v>
      </c>
      <c r="AP49" s="351">
        <f>IFERROR(GETPIVOTDATA("qty",#REF!,"Model",""&amp;$S49&amp;"","Dealer",""&amp;$S$18&amp;""),0)</f>
        <v>0</v>
      </c>
      <c r="AQ49" s="351">
        <f>IFERROR(GETPIVOTDATA("volume_rs",#REF!,"Model",""&amp;$S49&amp;"","Dealer",""&amp;$S$18&amp;""),0)</f>
        <v>0</v>
      </c>
      <c r="AR49" s="349">
        <f t="shared" si="33"/>
        <v>0</v>
      </c>
      <c r="AS49" s="349">
        <f>IFERROR(GETPIVOTDATA("Area AGM",'Pvt OS'!#REF!,"Dealer",""&amp;$S$18&amp;"","Model",""&amp;$S49&amp;""),0)</f>
        <v>0</v>
      </c>
      <c r="AT49" s="349">
        <f t="shared" si="34"/>
        <v>0</v>
      </c>
      <c r="AU49" s="352"/>
      <c r="AV49" s="353"/>
      <c r="AW49" s="353"/>
      <c r="AX49" s="353"/>
      <c r="AY49" s="353"/>
      <c r="AZ49" s="353"/>
      <c r="BA49" s="354"/>
      <c r="BB49" s="355"/>
      <c r="BC49" s="354"/>
      <c r="BD49" s="356"/>
    </row>
    <row r="50" ht="26.25" customHeight="1" spans="2:56">
      <c r="B50" s="225" t="s">
        <v>204</v>
      </c>
      <c r="C50" s="227">
        <f t="shared" si="10"/>
        <v>0</v>
      </c>
      <c r="D50" s="227">
        <f>IFERROR(GETPIVOTDATA("Area AGM",#REF!,"Dealer",""&amp;$S$18&amp;"","Model",""&amp;$B50&amp;"","Umur Outstansing",""&amp;D$2&amp;""),0)</f>
        <v>0</v>
      </c>
      <c r="E50" s="227">
        <f>IFERROR(GETPIVOTDATA("Area AGM",#REF!,"Dealer",""&amp;$S$18&amp;"","Model",""&amp;$B50&amp;"","Umur Outstansing",""&amp;E$2&amp;""),0)</f>
        <v>0</v>
      </c>
      <c r="F50" s="227">
        <f>IFERROR(GETPIVOTDATA("Area AGM",#REF!,"Dealer",""&amp;$S$18&amp;"","Model",""&amp;$B50&amp;"","Umur Outstansing",""&amp;F$2&amp;""),0)</f>
        <v>0</v>
      </c>
      <c r="G50" s="227">
        <f>IFERROR(GETPIVOTDATA("Area AGM",#REF!,"Dealer",""&amp;$S$18&amp;"","Model",""&amp;$B50&amp;"","Umur Outstansing",""&amp;G$2&amp;""),0)</f>
        <v>0</v>
      </c>
      <c r="H50" s="227">
        <f>IFERROR(GETPIVOTDATA("Area AGM",#REF!,"Dealer",""&amp;$S$18&amp;"","Model",""&amp;$B50&amp;"","Umur Outstansing",""&amp;H$2&amp;""),0)</f>
        <v>0</v>
      </c>
      <c r="J50" s="227">
        <f>IFERROR(GETPIVOTDATA("Area AGM",#REF!,"Dealer",""&amp;$S$18&amp;"","Model",""&amp;$B50&amp;""),0)</f>
        <v>0</v>
      </c>
      <c r="K50" s="227">
        <f>IFERROR(GETPIVOTDATA("Area AGM",#REF!,"Dealer",""&amp;$S$18&amp;"","Model",""&amp;$B50&amp;""),0)</f>
        <v>0</v>
      </c>
      <c r="M50" s="227"/>
      <c r="O50" s="227"/>
      <c r="P50" s="226" t="s">
        <v>190</v>
      </c>
      <c r="Q50" s="291">
        <f t="shared" si="26"/>
        <v>0</v>
      </c>
      <c r="R50" s="227">
        <f>IFERROR(GETPIVOTDATA("RS Target",#REF!,"Dealer",""&amp;$S$18&amp;"","Model",""&amp;$P50&amp;""),0)</f>
        <v>0</v>
      </c>
      <c r="S50" s="348" t="s">
        <v>190</v>
      </c>
      <c r="T50" s="349">
        <f t="shared" si="28"/>
        <v>0</v>
      </c>
      <c r="U50" s="349">
        <f>IFERROR(GETPIVOTDATA("Area AGM",'Pvt OS'!#REF!,"Dealer",""&amp;$S$18&amp;"","Model",""&amp;$S50&amp;""),0)</f>
        <v>0</v>
      </c>
      <c r="V50" s="349">
        <f t="shared" si="29"/>
        <v>0</v>
      </c>
      <c r="W50" s="350">
        <f>IFERROR(GETPIVOTDATA("Area AGM",'Pvt OS'!#REF!,"Dealer",""&amp;$S$18&amp;"","Model",""&amp;$S50&amp;""),0)+IFERROR(GETPIVOTDATA("Area AGM",'Pvt OS'!$A$8,"Dealer",""&amp;$S$18&amp;"","Model",""&amp;$S50&amp;""),0)</f>
        <v>0</v>
      </c>
      <c r="X50" s="349">
        <f t="shared" si="35"/>
        <v>0</v>
      </c>
      <c r="Y50" s="349">
        <f>IFERROR(GETPIVOTDATA("Area AGM",'Pvt OS'!$U$8,"Dealer",""&amp;$S$18&amp;"","Model",""&amp;$S50&amp;""),0)</f>
        <v>0</v>
      </c>
      <c r="Z50" s="349">
        <f>IFERROR(GETPIVOTDATA("Area AGM",'Pvt OS'!$M$8,"Dealer",""&amp;$S$18&amp;"","Model",""&amp;$S50&amp;""),0)</f>
        <v>0</v>
      </c>
      <c r="AA50" s="349">
        <f>IFERROR(GETPIVOTDATA("Area AGM",'Pvt OS'!#REF!,"Dealer",""&amp;$S$18&amp;"","Model",""&amp;$S50&amp;""),0)</f>
        <v>0</v>
      </c>
      <c r="AB50" s="349">
        <f>IFERROR(GETPIVOTDATA("Area AGM",'Pvt OS'!$AO$8,"Dealer",""&amp;$S$18&amp;"","Model",""&amp;$S50&amp;""),0)</f>
        <v>0</v>
      </c>
      <c r="AC50" s="349">
        <f>IFERROR(GETPIVOTDATA("Stock",#REF!,"Dealer",""&amp;$S$18&amp;"","Model",""&amp;$S50&amp;""),0)</f>
        <v>0</v>
      </c>
      <c r="AD50" s="350">
        <f>IFERROR(GETPIVOTDATA("MDP",#REF!,"Dealer",""&amp;$S$18&amp;"","Model",""&amp;$S50&amp;""),0)</f>
        <v>0</v>
      </c>
      <c r="AE50" s="350">
        <f>IFERROR(GETPIVOTDATA("RRN",#REF!,"Model2",""&amp;$S50&amp;"","Dealer",""&amp;$S$18&amp;""),0)</f>
        <v>0</v>
      </c>
      <c r="AF50" s="350">
        <f>IFERROR(GETPIVOTDATA("CO",#REF!,"Dealer Name",""&amp;$S$18&amp;"","Model",""&amp;$S50&amp;""),0)</f>
        <v>0</v>
      </c>
      <c r="AG50" s="349">
        <f>IFERROR(GETPIVOTDATA("Sum of Distplan Final",#REF!,"Dealer",""&amp;$S$18&amp;"","Model",""&amp;$S50&amp;""),0)</f>
        <v>0</v>
      </c>
      <c r="AH50" s="349">
        <f>IFERROR(GETPIVOTDATA("RRN",#REF!,"Model",""&amp;$S50&amp;"","Dealer",""&amp;$S$18&amp;""),0)</f>
        <v>0</v>
      </c>
      <c r="AI50" s="349">
        <f t="shared" si="30"/>
        <v>0</v>
      </c>
      <c r="AJ50" s="349">
        <f>IFERROR(GETPIVOTDATA("volume_rs",#REF!,"Model",""&amp;$S50&amp;"","Dealer",""&amp;$S$18&amp;""),0)</f>
        <v>0</v>
      </c>
      <c r="AK50" s="351">
        <f t="shared" si="31"/>
        <v>0</v>
      </c>
      <c r="AL50" s="351">
        <f>IFERROR(GETPIVOTDATA("Area AGM",'Pvt OS'!#REF!,"Dealer",""&amp;$S$18&amp;"","Model",""&amp;$S50&amp;""),0)</f>
        <v>0</v>
      </c>
      <c r="AM50" s="349">
        <f t="shared" si="32"/>
        <v>0</v>
      </c>
      <c r="AN50" s="351">
        <f>IFERROR(GETPIVOTDATA("Row Labels",#REF!,"Dealer",""&amp;$S$18&amp;"","Model",""&amp;$S50&amp;""),0)</f>
        <v>0</v>
      </c>
      <c r="AO50" s="351">
        <f>IFERROR(GETPIVOTDATA("RS Afi",#REF!,"Dealer",""&amp;$S$18&amp;"","Model",""&amp;$S50&amp;""),0)</f>
        <v>0</v>
      </c>
      <c r="AP50" s="351">
        <f>IFERROR(GETPIVOTDATA("qty",#REF!,"Model",""&amp;$S50&amp;"","Dealer",""&amp;$S$18&amp;""),0)</f>
        <v>0</v>
      </c>
      <c r="AQ50" s="351">
        <f>IFERROR(GETPIVOTDATA("volume_rs",#REF!,"Model",""&amp;$S50&amp;"","Dealer",""&amp;$S$18&amp;""),0)</f>
        <v>0</v>
      </c>
      <c r="AR50" s="349">
        <f t="shared" si="33"/>
        <v>0</v>
      </c>
      <c r="AS50" s="349">
        <f>IFERROR(GETPIVOTDATA("Area AGM",'Pvt OS'!#REF!,"Dealer",""&amp;$S$18&amp;"","Model",""&amp;$S50&amp;""),0)</f>
        <v>0</v>
      </c>
      <c r="AT50" s="349">
        <f t="shared" si="34"/>
        <v>0</v>
      </c>
      <c r="AU50" s="352"/>
      <c r="AV50" s="353"/>
      <c r="AW50" s="353"/>
      <c r="AX50" s="353"/>
      <c r="AY50" s="353"/>
      <c r="AZ50" s="353"/>
      <c r="BA50" s="354"/>
      <c r="BB50" s="355"/>
      <c r="BC50" s="354"/>
      <c r="BD50" s="356"/>
    </row>
    <row r="51" ht="26.25" customHeight="1" spans="2:56">
      <c r="B51" s="225" t="s">
        <v>205</v>
      </c>
      <c r="C51" s="227">
        <f t="shared" si="10"/>
        <v>0</v>
      </c>
      <c r="D51" s="227">
        <f>IFERROR(GETPIVOTDATA("Area AGM",#REF!,"Dealer",""&amp;$S$18&amp;"","Model",""&amp;$B51&amp;"","Umur Outstansing",""&amp;D$2&amp;""),0)</f>
        <v>0</v>
      </c>
      <c r="E51" s="227">
        <f>IFERROR(GETPIVOTDATA("Area AGM",#REF!,"Dealer",""&amp;$S$18&amp;"","Model",""&amp;$B51&amp;"","Umur Outstansing",""&amp;E$2&amp;""),0)</f>
        <v>0</v>
      </c>
      <c r="F51" s="227">
        <f>IFERROR(GETPIVOTDATA("Area AGM",#REF!,"Dealer",""&amp;$S$18&amp;"","Model",""&amp;$B51&amp;"","Umur Outstansing",""&amp;F$2&amp;""),0)</f>
        <v>0</v>
      </c>
      <c r="G51" s="227">
        <f>IFERROR(GETPIVOTDATA("Area AGM",#REF!,"Dealer",""&amp;$S$18&amp;"","Model",""&amp;$B51&amp;"","Umur Outstansing",""&amp;G$2&amp;""),0)</f>
        <v>0</v>
      </c>
      <c r="H51" s="227">
        <f>IFERROR(GETPIVOTDATA("Area AGM",#REF!,"Dealer",""&amp;$S$18&amp;"","Model",""&amp;$B51&amp;"","Umur Outstansing",""&amp;H$2&amp;""),0)</f>
        <v>0</v>
      </c>
      <c r="J51" s="227">
        <f>IFERROR(GETPIVOTDATA("Area AGM",#REF!,"Dealer",""&amp;$S$18&amp;"","Model",""&amp;$B51&amp;""),0)</f>
        <v>0</v>
      </c>
      <c r="K51" s="227">
        <f>IFERROR(GETPIVOTDATA("Area AGM",#REF!,"Dealer",""&amp;$S$18&amp;"","Model",""&amp;$B51&amp;""),0)</f>
        <v>0</v>
      </c>
      <c r="M51" s="227"/>
      <c r="O51" s="227"/>
      <c r="P51" s="226" t="s">
        <v>191</v>
      </c>
      <c r="Q51" s="291">
        <f t="shared" si="26"/>
        <v>0</v>
      </c>
      <c r="R51" s="227">
        <f>IFERROR(GETPIVOTDATA("RS Target",#REF!,"Dealer",""&amp;$S$18&amp;"","Model",""&amp;$P51&amp;""),0)</f>
        <v>0</v>
      </c>
      <c r="S51" s="348" t="s">
        <v>191</v>
      </c>
      <c r="T51" s="349">
        <f t="shared" si="28"/>
        <v>0</v>
      </c>
      <c r="U51" s="349">
        <f>IFERROR(GETPIVOTDATA("Area AGM",'Pvt OS'!#REF!,"Dealer",""&amp;$S$18&amp;"","Model",""&amp;$S51&amp;""),0)</f>
        <v>0</v>
      </c>
      <c r="V51" s="349">
        <f t="shared" si="29"/>
        <v>0</v>
      </c>
      <c r="W51" s="350">
        <f>IFERROR(GETPIVOTDATA("Area AGM",'Pvt OS'!#REF!,"Dealer",""&amp;$S$18&amp;"","Model",""&amp;$S51&amp;""),0)+IFERROR(GETPIVOTDATA("Area AGM",'Pvt OS'!$A$8,"Dealer",""&amp;$S$18&amp;"","Model",""&amp;$S51&amp;""),0)</f>
        <v>0</v>
      </c>
      <c r="X51" s="349">
        <f t="shared" si="35"/>
        <v>0</v>
      </c>
      <c r="Y51" s="349">
        <f>IFERROR(GETPIVOTDATA("Area AGM",'Pvt OS'!$U$8,"Dealer",""&amp;$S$18&amp;"","Model",""&amp;$S51&amp;""),0)</f>
        <v>0</v>
      </c>
      <c r="Z51" s="349">
        <f>IFERROR(GETPIVOTDATA("Area AGM",'Pvt OS'!$M$8,"Dealer",""&amp;$S$18&amp;"","Model",""&amp;$S51&amp;""),0)</f>
        <v>0</v>
      </c>
      <c r="AA51" s="349">
        <f>IFERROR(GETPIVOTDATA("Area AGM",'Pvt OS'!#REF!,"Dealer",""&amp;$S$18&amp;"","Model",""&amp;$S51&amp;""),0)</f>
        <v>0</v>
      </c>
      <c r="AB51" s="349">
        <f>IFERROR(GETPIVOTDATA("Area AGM",'Pvt OS'!$AO$8,"Dealer",""&amp;$S$18&amp;"","Model",""&amp;$S51&amp;""),0)</f>
        <v>0</v>
      </c>
      <c r="AC51" s="349">
        <f>IFERROR(GETPIVOTDATA("Stock",#REF!,"Dealer",""&amp;$S$18&amp;"","Model",""&amp;$S51&amp;""),0)</f>
        <v>0</v>
      </c>
      <c r="AD51" s="350">
        <f>IFERROR(GETPIVOTDATA("MDP",#REF!,"Dealer",""&amp;$S$18&amp;"","Model",""&amp;$S51&amp;""),0)</f>
        <v>0</v>
      </c>
      <c r="AE51" s="350">
        <f>IFERROR(GETPIVOTDATA("RRN",#REF!,"Model2",""&amp;$S51&amp;"","Dealer",""&amp;$S$18&amp;""),0)</f>
        <v>0</v>
      </c>
      <c r="AF51" s="350">
        <f>IFERROR(GETPIVOTDATA("CO",#REF!,"Dealer Name",""&amp;$S$18&amp;"","Model",""&amp;$S51&amp;""),0)</f>
        <v>0</v>
      </c>
      <c r="AG51" s="349">
        <f>IFERROR(GETPIVOTDATA("Sum of Distplan Final",#REF!,"Dealer",""&amp;$S$18&amp;"","Model",""&amp;$S51&amp;""),0)</f>
        <v>0</v>
      </c>
      <c r="AH51" s="349">
        <f>IFERROR(GETPIVOTDATA("RRN",#REF!,"Model",""&amp;$S51&amp;"","Dealer",""&amp;$S$18&amp;""),0)</f>
        <v>0</v>
      </c>
      <c r="AI51" s="349">
        <f t="shared" si="30"/>
        <v>0</v>
      </c>
      <c r="AJ51" s="349">
        <f>IFERROR(GETPIVOTDATA("volume_rs",#REF!,"Model",""&amp;$S51&amp;"","Dealer",""&amp;$S$18&amp;""),0)</f>
        <v>0</v>
      </c>
      <c r="AK51" s="351">
        <f t="shared" si="31"/>
        <v>0</v>
      </c>
      <c r="AL51" s="351">
        <f>IFERROR(GETPIVOTDATA("Area AGM",'Pvt OS'!#REF!,"Dealer",""&amp;$S$18&amp;"","Model",""&amp;$S51&amp;""),0)</f>
        <v>0</v>
      </c>
      <c r="AM51" s="349">
        <f t="shared" si="32"/>
        <v>0</v>
      </c>
      <c r="AN51" s="351">
        <f>IFERROR(GETPIVOTDATA("Row Labels",#REF!,"Dealer",""&amp;$S$18&amp;"","Model",""&amp;$S51&amp;""),0)</f>
        <v>0</v>
      </c>
      <c r="AO51" s="351">
        <f>IFERROR(GETPIVOTDATA("RS Afi",#REF!,"Dealer",""&amp;$S$18&amp;"","Model",""&amp;$S51&amp;""),0)</f>
        <v>0</v>
      </c>
      <c r="AP51" s="351">
        <f>IFERROR(GETPIVOTDATA("qty",#REF!,"Model",""&amp;$S51&amp;"","Dealer",""&amp;$S$18&amp;""),0)</f>
        <v>0</v>
      </c>
      <c r="AQ51" s="351">
        <f>IFERROR(GETPIVOTDATA("volume_rs",#REF!,"Model",""&amp;$S51&amp;"","Dealer",""&amp;$S$18&amp;""),0)</f>
        <v>0</v>
      </c>
      <c r="AR51" s="349">
        <f t="shared" si="33"/>
        <v>0</v>
      </c>
      <c r="AS51" s="349">
        <f>IFERROR(GETPIVOTDATA("Area AGM",'Pvt OS'!#REF!,"Dealer",""&amp;$S$18&amp;"","Model",""&amp;$S51&amp;""),0)</f>
        <v>0</v>
      </c>
      <c r="AT51" s="349">
        <f t="shared" si="34"/>
        <v>0</v>
      </c>
      <c r="AU51" s="352"/>
      <c r="AV51" s="353"/>
      <c r="AW51" s="353"/>
      <c r="AX51" s="353"/>
      <c r="AY51" s="353"/>
      <c r="AZ51" s="353"/>
      <c r="BA51" s="354"/>
      <c r="BB51" s="355"/>
      <c r="BC51" s="354"/>
      <c r="BD51" s="356"/>
    </row>
    <row r="52" ht="26.25" customHeight="1" spans="2:56">
      <c r="B52" s="225" t="s">
        <v>206</v>
      </c>
      <c r="C52" s="227">
        <f t="shared" si="10"/>
        <v>0</v>
      </c>
      <c r="D52" s="227">
        <f>IFERROR(GETPIVOTDATA("Area AGM",#REF!,"Dealer",""&amp;$S$18&amp;"","Model",""&amp;$B52&amp;"","Umur Outstansing",""&amp;D$2&amp;""),0)</f>
        <v>0</v>
      </c>
      <c r="E52" s="227">
        <f>IFERROR(GETPIVOTDATA("Area AGM",#REF!,"Dealer",""&amp;$S$18&amp;"","Model",""&amp;$B52&amp;"","Umur Outstansing",""&amp;E$2&amp;""),0)</f>
        <v>0</v>
      </c>
      <c r="F52" s="227">
        <f>IFERROR(GETPIVOTDATA("Area AGM",#REF!,"Dealer",""&amp;$S$18&amp;"","Model",""&amp;$B52&amp;"","Umur Outstansing",""&amp;F$2&amp;""),0)</f>
        <v>0</v>
      </c>
      <c r="G52" s="227">
        <f>IFERROR(GETPIVOTDATA("Area AGM",#REF!,"Dealer",""&amp;$S$18&amp;"","Model",""&amp;$B52&amp;"","Umur Outstansing",""&amp;G$2&amp;""),0)</f>
        <v>0</v>
      </c>
      <c r="H52" s="227">
        <f>IFERROR(GETPIVOTDATA("Area AGM",#REF!,"Dealer",""&amp;$S$18&amp;"","Model",""&amp;$B52&amp;"","Umur Outstansing",""&amp;H$2&amp;""),0)</f>
        <v>0</v>
      </c>
      <c r="J52" s="227">
        <f>IFERROR(GETPIVOTDATA("Area AGM",#REF!,"Dealer",""&amp;$S$18&amp;"","Model",""&amp;$B52&amp;""),0)</f>
        <v>0</v>
      </c>
      <c r="K52" s="227">
        <f>IFERROR(GETPIVOTDATA("Area AGM",#REF!,"Dealer",""&amp;$S$18&amp;"","Model",""&amp;$B52&amp;""),0)</f>
        <v>0</v>
      </c>
      <c r="M52" s="227"/>
      <c r="O52" s="227"/>
      <c r="P52" s="226" t="s">
        <v>192</v>
      </c>
      <c r="Q52" s="291">
        <f t="shared" si="26"/>
        <v>0</v>
      </c>
      <c r="R52" s="227">
        <f>IFERROR(GETPIVOTDATA("RS Target",#REF!,"Dealer",""&amp;$S$18&amp;"","Model",""&amp;$P52&amp;""),0)</f>
        <v>0</v>
      </c>
      <c r="S52" s="348" t="s">
        <v>192</v>
      </c>
      <c r="T52" s="349">
        <f t="shared" si="28"/>
        <v>0</v>
      </c>
      <c r="U52" s="349">
        <f>IFERROR(GETPIVOTDATA("Area AGM",'Pvt OS'!#REF!,"Dealer",""&amp;$S$18&amp;"","Model",""&amp;$S52&amp;""),0)</f>
        <v>0</v>
      </c>
      <c r="V52" s="349">
        <f t="shared" si="29"/>
        <v>0</v>
      </c>
      <c r="W52" s="350">
        <f>IFERROR(GETPIVOTDATA("Area AGM",'Pvt OS'!#REF!,"Dealer",""&amp;$S$18&amp;"","Model",""&amp;$S52&amp;""),0)+IFERROR(GETPIVOTDATA("Area AGM",'Pvt OS'!$A$8,"Dealer",""&amp;$S$18&amp;"","Model",""&amp;$S52&amp;""),0)</f>
        <v>0</v>
      </c>
      <c r="X52" s="349">
        <f t="shared" si="35"/>
        <v>0</v>
      </c>
      <c r="Y52" s="349">
        <f>IFERROR(GETPIVOTDATA("Area AGM",'Pvt OS'!$U$8,"Dealer",""&amp;$S$18&amp;"","Model",""&amp;$S52&amp;""),0)</f>
        <v>0</v>
      </c>
      <c r="Z52" s="349">
        <f>IFERROR(GETPIVOTDATA("Area AGM",'Pvt OS'!$M$8,"Dealer",""&amp;$S$18&amp;"","Model",""&amp;$S52&amp;""),0)</f>
        <v>0</v>
      </c>
      <c r="AA52" s="349">
        <f>IFERROR(GETPIVOTDATA("Area AGM",'Pvt OS'!#REF!,"Dealer",""&amp;$S$18&amp;"","Model",""&amp;$S52&amp;""),0)</f>
        <v>0</v>
      </c>
      <c r="AB52" s="349">
        <f>IFERROR(GETPIVOTDATA("Area AGM",'Pvt OS'!$AO$8,"Dealer",""&amp;$S$18&amp;"","Model",""&amp;$S52&amp;""),0)</f>
        <v>0</v>
      </c>
      <c r="AC52" s="349">
        <f>IFERROR(GETPIVOTDATA("Stock",#REF!,"Dealer",""&amp;$S$18&amp;"","Model",""&amp;$S52&amp;""),0)</f>
        <v>0</v>
      </c>
      <c r="AD52" s="350">
        <f>IFERROR(GETPIVOTDATA("MDP",#REF!,"Dealer",""&amp;$S$18&amp;"","Model",""&amp;$S52&amp;""),0)</f>
        <v>0</v>
      </c>
      <c r="AE52" s="350">
        <f>IFERROR(GETPIVOTDATA("RRN",#REF!,"Model2",""&amp;$S52&amp;"","Dealer",""&amp;$S$18&amp;""),0)</f>
        <v>0</v>
      </c>
      <c r="AF52" s="350">
        <f>IFERROR(GETPIVOTDATA("CO",#REF!,"Dealer Name",""&amp;$S$18&amp;"","Model",""&amp;$S52&amp;""),0)</f>
        <v>0</v>
      </c>
      <c r="AG52" s="349">
        <f>IFERROR(GETPIVOTDATA("Sum of Distplan Final",#REF!,"Dealer",""&amp;$S$18&amp;"","Model",""&amp;$S52&amp;""),0)</f>
        <v>0</v>
      </c>
      <c r="AH52" s="349">
        <f>IFERROR(GETPIVOTDATA("RRN",#REF!,"Model",""&amp;$S52&amp;"","Dealer",""&amp;$S$18&amp;""),0)</f>
        <v>0</v>
      </c>
      <c r="AI52" s="349">
        <f t="shared" si="30"/>
        <v>0</v>
      </c>
      <c r="AJ52" s="349">
        <f>IFERROR(GETPIVOTDATA("volume_rs",#REF!,"Model",""&amp;$S52&amp;"","Dealer",""&amp;$S$18&amp;""),0)</f>
        <v>0</v>
      </c>
      <c r="AK52" s="351">
        <f t="shared" si="31"/>
        <v>0</v>
      </c>
      <c r="AL52" s="351">
        <f>IFERROR(GETPIVOTDATA("Area AGM",'Pvt OS'!#REF!,"Dealer",""&amp;$S$18&amp;"","Model",""&amp;$S52&amp;""),0)</f>
        <v>0</v>
      </c>
      <c r="AM52" s="349">
        <f t="shared" si="32"/>
        <v>0</v>
      </c>
      <c r="AN52" s="351">
        <f>IFERROR(GETPIVOTDATA("Row Labels",#REF!,"Dealer",""&amp;$S$18&amp;"","Model",""&amp;$S52&amp;""),0)</f>
        <v>0</v>
      </c>
      <c r="AO52" s="351">
        <f>IFERROR(GETPIVOTDATA("RS Afi",#REF!,"Dealer",""&amp;$S$18&amp;"","Model",""&amp;$S52&amp;""),0)</f>
        <v>0</v>
      </c>
      <c r="AP52" s="351">
        <f>IFERROR(GETPIVOTDATA("qty",#REF!,"Model",""&amp;$S52&amp;"","Dealer",""&amp;$S$18&amp;""),0)</f>
        <v>0</v>
      </c>
      <c r="AQ52" s="351">
        <f>IFERROR(GETPIVOTDATA("volume_rs",#REF!,"Model",""&amp;$S52&amp;"","Dealer",""&amp;$S$18&amp;""),0)</f>
        <v>0</v>
      </c>
      <c r="AR52" s="349">
        <f t="shared" si="33"/>
        <v>0</v>
      </c>
      <c r="AS52" s="349">
        <f>IFERROR(GETPIVOTDATA("Area AGM",'Pvt OS'!#REF!,"Dealer",""&amp;$S$18&amp;"","Model",""&amp;$S52&amp;""),0)</f>
        <v>0</v>
      </c>
      <c r="AT52" s="349">
        <f t="shared" si="34"/>
        <v>0</v>
      </c>
      <c r="AU52" s="352"/>
      <c r="AV52" s="353"/>
      <c r="AW52" s="353"/>
      <c r="AX52" s="353"/>
      <c r="AY52" s="353"/>
      <c r="AZ52" s="353"/>
      <c r="BA52" s="354"/>
      <c r="BB52" s="355"/>
      <c r="BC52" s="354"/>
      <c r="BD52" s="356"/>
    </row>
    <row r="53" ht="26.25" customHeight="1" spans="2:56">
      <c r="B53" s="225" t="s">
        <v>207</v>
      </c>
      <c r="C53" s="227">
        <f t="shared" ref="C53" si="36">SUM(D53:G53)</f>
        <v>0</v>
      </c>
      <c r="D53" s="227">
        <f>IFERROR(GETPIVOTDATA("Area AGM",#REF!,"Dealer",""&amp;$S$18&amp;"","Model",""&amp;$B53&amp;"","Umur Outstansing",""&amp;D$2&amp;""),0)</f>
        <v>0</v>
      </c>
      <c r="E53" s="227">
        <f>IFERROR(GETPIVOTDATA("Area AGM",#REF!,"Dealer",""&amp;$S$18&amp;"","Model",""&amp;$B53&amp;"","Umur Outstansing",""&amp;E$2&amp;""),0)</f>
        <v>0</v>
      </c>
      <c r="F53" s="227">
        <f>IFERROR(GETPIVOTDATA("Area AGM",#REF!,"Dealer",""&amp;$S$18&amp;"","Model",""&amp;$B53&amp;"","Umur Outstansing",""&amp;F$2&amp;""),0)</f>
        <v>0</v>
      </c>
      <c r="G53" s="227">
        <f>IFERROR(GETPIVOTDATA("Area AGM",#REF!,"Dealer",""&amp;$S$18&amp;"","Model",""&amp;$B53&amp;"","Umur Outstansing",""&amp;G$2&amp;""),0)</f>
        <v>0</v>
      </c>
      <c r="H53" s="227">
        <f>IFERROR(GETPIVOTDATA("Area AGM",#REF!,"Dealer",""&amp;$S$18&amp;"","Model",""&amp;$B53&amp;"","Umur Outstansing",""&amp;H$2&amp;""),0)</f>
        <v>0</v>
      </c>
      <c r="J53" s="227">
        <f>IFERROR(GETPIVOTDATA("Area AGM",#REF!,"Dealer",""&amp;$S$18&amp;"","Model",""&amp;$B53&amp;""),0)</f>
        <v>0</v>
      </c>
      <c r="K53" s="227">
        <f>IFERROR(GETPIVOTDATA("Area AGM",#REF!,"Dealer",""&amp;$S$18&amp;"","Model",""&amp;$B53&amp;""),0)</f>
        <v>0</v>
      </c>
      <c r="M53" s="227"/>
      <c r="O53" s="227"/>
      <c r="P53" s="226" t="s">
        <v>193</v>
      </c>
      <c r="Q53" s="291">
        <f t="shared" si="26"/>
        <v>0</v>
      </c>
      <c r="R53" s="227">
        <f>IFERROR(GETPIVOTDATA("RS Target",#REF!,"Dealer",""&amp;$S$18&amp;"","Model",""&amp;$P53&amp;""),0)</f>
        <v>0</v>
      </c>
      <c r="S53" s="348" t="s">
        <v>193</v>
      </c>
      <c r="T53" s="349">
        <f t="shared" si="28"/>
        <v>0</v>
      </c>
      <c r="U53" s="349">
        <f>IFERROR(GETPIVOTDATA("Area AGM",'Pvt OS'!#REF!,"Dealer",""&amp;$S$18&amp;"","Model",""&amp;$S53&amp;""),0)</f>
        <v>0</v>
      </c>
      <c r="V53" s="349">
        <f t="shared" si="29"/>
        <v>0</v>
      </c>
      <c r="W53" s="350">
        <f>IFERROR(GETPIVOTDATA("Area AGM",'Pvt OS'!#REF!,"Dealer",""&amp;$S$18&amp;"","Model",""&amp;$S53&amp;""),0)+IFERROR(GETPIVOTDATA("Area AGM",'Pvt OS'!$A$8,"Dealer",""&amp;$S$18&amp;"","Model",""&amp;$S53&amp;""),0)</f>
        <v>0</v>
      </c>
      <c r="X53" s="349">
        <f t="shared" si="35"/>
        <v>0</v>
      </c>
      <c r="Y53" s="349">
        <f>IFERROR(GETPIVOTDATA("Area AGM",'Pvt OS'!$U$8,"Dealer",""&amp;$S$18&amp;"","Model",""&amp;$S53&amp;""),0)</f>
        <v>0</v>
      </c>
      <c r="Z53" s="349">
        <f>IFERROR(GETPIVOTDATA("Area AGM",'Pvt OS'!$M$8,"Dealer",""&amp;$S$18&amp;"","Model",""&amp;$S53&amp;""),0)</f>
        <v>0</v>
      </c>
      <c r="AA53" s="349">
        <f>IFERROR(GETPIVOTDATA("Area AGM",'Pvt OS'!#REF!,"Dealer",""&amp;$S$18&amp;"","Model",""&amp;$S53&amp;""),0)</f>
        <v>0</v>
      </c>
      <c r="AB53" s="349">
        <f>IFERROR(GETPIVOTDATA("Area AGM",'Pvt OS'!$AO$8,"Dealer",""&amp;$S$18&amp;"","Model",""&amp;$S53&amp;""),0)</f>
        <v>0</v>
      </c>
      <c r="AC53" s="349">
        <f>IFERROR(GETPIVOTDATA("Stock",#REF!,"Dealer",""&amp;$S$18&amp;"","Model",""&amp;$S53&amp;""),0)</f>
        <v>0</v>
      </c>
      <c r="AD53" s="349">
        <f>IFERROR(GETPIVOTDATA("MDP",#REF!,"Dealer",""&amp;$S$18&amp;"","Model",""&amp;$S53&amp;""),0)</f>
        <v>0</v>
      </c>
      <c r="AE53" s="350">
        <f>IFERROR(GETPIVOTDATA("RRN",#REF!,"Model2",""&amp;$S53&amp;"","Dealer",""&amp;$S$18&amp;""),0)</f>
        <v>0</v>
      </c>
      <c r="AF53" s="350">
        <f>IFERROR(GETPIVOTDATA("CO",#REF!,"Dealer Name",""&amp;$S$18&amp;"","Model",""&amp;$S53&amp;""),0)</f>
        <v>0</v>
      </c>
      <c r="AG53" s="349">
        <f>IFERROR(GETPIVOTDATA("Sum of Distplan Final",#REF!,"Dealer",""&amp;$S$18&amp;"","Model",""&amp;$S53&amp;""),0)</f>
        <v>0</v>
      </c>
      <c r="AH53" s="349">
        <f>IFERROR(GETPIVOTDATA("RRN",#REF!,"Model",""&amp;$S53&amp;"","Dealer",""&amp;$S$18&amp;""),0)</f>
        <v>0</v>
      </c>
      <c r="AI53" s="349">
        <f t="shared" si="30"/>
        <v>0</v>
      </c>
      <c r="AJ53" s="349">
        <f>IFERROR(GETPIVOTDATA("volume_rs",#REF!,"Model",""&amp;$S53&amp;"","Dealer",""&amp;$S$18&amp;""),0)</f>
        <v>0</v>
      </c>
      <c r="AK53" s="351">
        <f t="shared" si="31"/>
        <v>0</v>
      </c>
      <c r="AL53" s="351">
        <f>IFERROR(GETPIVOTDATA("Area AGM",'Pvt OS'!#REF!,"Dealer",""&amp;$S$18&amp;"","Model",""&amp;$S53&amp;""),0)</f>
        <v>0</v>
      </c>
      <c r="AM53" s="349">
        <f t="shared" si="32"/>
        <v>0</v>
      </c>
      <c r="AN53" s="351">
        <f>IFERROR(GETPIVOTDATA("Row Labels",#REF!,"Dealer",""&amp;$S$18&amp;"","Model",""&amp;$S53&amp;""),0)</f>
        <v>0</v>
      </c>
      <c r="AO53" s="351">
        <f>IFERROR(GETPIVOTDATA("RS Afi",#REF!,"Dealer",""&amp;$S$18&amp;"","Model",""&amp;$S53&amp;""),0)</f>
        <v>0</v>
      </c>
      <c r="AP53" s="351">
        <f>IFERROR(GETPIVOTDATA("qty",#REF!,"Model",""&amp;$S53&amp;"","Dealer",""&amp;$S$18&amp;""),0)</f>
        <v>0</v>
      </c>
      <c r="AQ53" s="351">
        <f>IFERROR(GETPIVOTDATA("volume_rs",#REF!,"Model",""&amp;$S53&amp;"","Dealer",""&amp;$S$18&amp;""),0)</f>
        <v>0</v>
      </c>
      <c r="AR53" s="349">
        <f t="shared" si="33"/>
        <v>0</v>
      </c>
      <c r="AS53" s="349">
        <f>IFERROR(GETPIVOTDATA("Area AGM",'Pvt OS'!#REF!,"Dealer",""&amp;$S$18&amp;"","Model",""&amp;$S53&amp;""),0)</f>
        <v>0</v>
      </c>
      <c r="AT53" s="349">
        <f t="shared" si="34"/>
        <v>0</v>
      </c>
      <c r="AU53" s="352"/>
      <c r="AV53" s="353"/>
      <c r="AW53" s="353"/>
      <c r="AX53" s="353"/>
      <c r="AY53" s="353"/>
      <c r="AZ53" s="353"/>
      <c r="BA53" s="354"/>
      <c r="BB53" s="355"/>
      <c r="BC53" s="354"/>
      <c r="BD53" s="356"/>
    </row>
    <row r="54" ht="26.25" customHeight="1" spans="2:56">
      <c r="M54" s="227"/>
      <c r="O54" s="227"/>
      <c r="P54" s="226" t="s">
        <v>194</v>
      </c>
      <c r="Q54" s="291">
        <f t="shared" si="26"/>
        <v>0</v>
      </c>
      <c r="R54" s="227">
        <f>IFERROR(GETPIVOTDATA("RS Target",#REF!,"Dealer",""&amp;$S$18&amp;"","Model",""&amp;$P54&amp;""),0)</f>
        <v>0</v>
      </c>
      <c r="S54" s="348" t="s">
        <v>194</v>
      </c>
      <c r="T54" s="349">
        <f t="shared" si="28"/>
        <v>0</v>
      </c>
      <c r="U54" s="349">
        <f>IFERROR(GETPIVOTDATA("Area AGM",'Pvt OS'!#REF!,"Dealer",""&amp;$S$18&amp;"","Model",""&amp;$S54&amp;""),0)</f>
        <v>0</v>
      </c>
      <c r="V54" s="349">
        <f t="shared" si="29"/>
        <v>0</v>
      </c>
      <c r="W54" s="350">
        <f>IFERROR(GETPIVOTDATA("Area AGM",'Pvt OS'!#REF!,"Dealer",""&amp;$S$18&amp;"","Model",""&amp;$S54&amp;""),0)+IFERROR(GETPIVOTDATA("Area AGM",'Pvt OS'!$A$8,"Dealer",""&amp;$S$18&amp;"","Model",""&amp;$S54&amp;""),0)</f>
        <v>0</v>
      </c>
      <c r="X54" s="349">
        <f t="shared" si="35"/>
        <v>0</v>
      </c>
      <c r="Y54" s="349">
        <f>IFERROR(GETPIVOTDATA("Area AGM",'Pvt OS'!$U$8,"Dealer",""&amp;$S$18&amp;"","Model",""&amp;$S54&amp;""),0)</f>
        <v>0</v>
      </c>
      <c r="Z54" s="349">
        <f>IFERROR(GETPIVOTDATA("Area AGM",'Pvt OS'!$M$8,"Dealer",""&amp;$S$18&amp;"","Model",""&amp;$S54&amp;""),0)</f>
        <v>0</v>
      </c>
      <c r="AA54" s="349">
        <f>IFERROR(GETPIVOTDATA("Area AGM",'Pvt OS'!#REF!,"Dealer",""&amp;$S$18&amp;"","Model",""&amp;$S54&amp;""),0)</f>
        <v>0</v>
      </c>
      <c r="AB54" s="349">
        <f>IFERROR(GETPIVOTDATA("Area AGM",'Pvt OS'!$AO$8,"Dealer",""&amp;$S$18&amp;"","Model",""&amp;$S54&amp;""),0)</f>
        <v>0</v>
      </c>
      <c r="AC54" s="349">
        <f>IFERROR(GETPIVOTDATA("Stock",#REF!,"Dealer",""&amp;$S$18&amp;"","Model",""&amp;$S54&amp;""),0)</f>
        <v>0</v>
      </c>
      <c r="AD54" s="350">
        <f>IFERROR(GETPIVOTDATA("MDP",#REF!,"Dealer",""&amp;$S$18&amp;"","Model",""&amp;$S54&amp;""),0)</f>
        <v>0</v>
      </c>
      <c r="AE54" s="350">
        <f>IFERROR(GETPIVOTDATA("RRN",#REF!,"Model2",""&amp;$S54&amp;"","Dealer",""&amp;$S$18&amp;""),0)</f>
        <v>0</v>
      </c>
      <c r="AF54" s="350">
        <f>IFERROR(GETPIVOTDATA("CO",#REF!,"Dealer Name",""&amp;$S$18&amp;"","Model",""&amp;$S54&amp;""),0)</f>
        <v>0</v>
      </c>
      <c r="AG54" s="349">
        <f>IFERROR(GETPIVOTDATA("Sum of Distplan Final",#REF!,"Dealer",""&amp;$S$18&amp;"","Model",""&amp;$S54&amp;""),0)</f>
        <v>0</v>
      </c>
      <c r="AH54" s="349">
        <f>IFERROR(GETPIVOTDATA("RRN",#REF!,"Model",""&amp;$S54&amp;"","Dealer",""&amp;$S$18&amp;""),0)</f>
        <v>0</v>
      </c>
      <c r="AI54" s="349">
        <f t="shared" si="30"/>
        <v>0</v>
      </c>
      <c r="AJ54" s="349">
        <f>IFERROR(GETPIVOTDATA("volume_rs",#REF!,"Model",""&amp;$S54&amp;"","Dealer",""&amp;$S$18&amp;""),0)</f>
        <v>0</v>
      </c>
      <c r="AK54" s="351">
        <f t="shared" si="31"/>
        <v>0</v>
      </c>
      <c r="AL54" s="351">
        <f>IFERROR(GETPIVOTDATA("Area AGM",'Pvt OS'!#REF!,"Dealer",""&amp;$S$18&amp;"","Model",""&amp;$S54&amp;""),0)</f>
        <v>0</v>
      </c>
      <c r="AM54" s="349">
        <f t="shared" si="32"/>
        <v>0</v>
      </c>
      <c r="AN54" s="351">
        <f>IFERROR(GETPIVOTDATA("Row Labels",#REF!,"Dealer",""&amp;$S$18&amp;"","Model",""&amp;$S54&amp;""),0)</f>
        <v>0</v>
      </c>
      <c r="AO54" s="351">
        <f>IFERROR(GETPIVOTDATA("RS Afi",#REF!,"Dealer",""&amp;$S$18&amp;"","Model",""&amp;$S54&amp;""),0)</f>
        <v>0</v>
      </c>
      <c r="AP54" s="351">
        <f>IFERROR(GETPIVOTDATA("qty",#REF!,"Model",""&amp;$S54&amp;"","Dealer",""&amp;$S$18&amp;""),0)</f>
        <v>0</v>
      </c>
      <c r="AQ54" s="351">
        <f>IFERROR(GETPIVOTDATA("volume_rs",#REF!,"Model",""&amp;$S54&amp;"","Dealer",""&amp;$S$18&amp;""),0)</f>
        <v>0</v>
      </c>
      <c r="AR54" s="349">
        <f t="shared" si="33"/>
        <v>0</v>
      </c>
      <c r="AS54" s="349">
        <f>IFERROR(GETPIVOTDATA("Area AGM",'Pvt OS'!#REF!,"Dealer",""&amp;$S$18&amp;"","Model",""&amp;$S54&amp;""),0)</f>
        <v>0</v>
      </c>
      <c r="AT54" s="349">
        <f t="shared" si="34"/>
        <v>0</v>
      </c>
      <c r="AU54" s="352"/>
      <c r="AV54" s="353"/>
      <c r="AW54" s="353"/>
      <c r="AX54" s="353"/>
      <c r="AY54" s="353"/>
      <c r="AZ54" s="353"/>
      <c r="BA54" s="354"/>
      <c r="BB54" s="355"/>
      <c r="BC54" s="354"/>
      <c r="BD54" s="356"/>
    </row>
    <row r="55" ht="26.25" customHeight="1" spans="2:56">
      <c r="M55" s="227"/>
      <c r="O55" s="227"/>
      <c r="P55" s="226" t="s">
        <v>195</v>
      </c>
      <c r="Q55" s="291">
        <f t="shared" si="26"/>
        <v>0</v>
      </c>
      <c r="R55" s="227">
        <f>IFERROR(GETPIVOTDATA("RS Target",#REF!,"Dealer",""&amp;$S$18&amp;"","Model",""&amp;$P55&amp;""),0)</f>
        <v>0</v>
      </c>
      <c r="S55" s="348" t="s">
        <v>195</v>
      </c>
      <c r="T55" s="349">
        <f t="shared" si="28"/>
        <v>0</v>
      </c>
      <c r="U55" s="349">
        <f>IFERROR(GETPIVOTDATA("Area AGM",'Pvt OS'!#REF!,"Dealer",""&amp;$S$18&amp;"","Model",""&amp;$S55&amp;""),0)</f>
        <v>0</v>
      </c>
      <c r="V55" s="349">
        <f t="shared" si="29"/>
        <v>0</v>
      </c>
      <c r="W55" s="350">
        <f>IFERROR(GETPIVOTDATA("Area AGM",'Pvt OS'!#REF!,"Dealer",""&amp;$S$18&amp;"","Model",""&amp;$S55&amp;""),0)+IFERROR(GETPIVOTDATA("Area AGM",'Pvt OS'!$A$8,"Dealer",""&amp;$S$18&amp;"","Model",""&amp;$S55&amp;""),0)</f>
        <v>0</v>
      </c>
      <c r="X55" s="349">
        <f t="shared" si="35"/>
        <v>0</v>
      </c>
      <c r="Y55" s="349">
        <f>IFERROR(GETPIVOTDATA("Area AGM",'Pvt OS'!$U$8,"Dealer",""&amp;$S$18&amp;"","Model",""&amp;$S55&amp;""),0)</f>
        <v>0</v>
      </c>
      <c r="Z55" s="349">
        <f>IFERROR(GETPIVOTDATA("Area AGM",'Pvt OS'!$M$8,"Dealer",""&amp;$S$18&amp;"","Model",""&amp;$S55&amp;""),0)</f>
        <v>0</v>
      </c>
      <c r="AA55" s="349">
        <f>IFERROR(GETPIVOTDATA("Area AGM",'Pvt OS'!#REF!,"Dealer",""&amp;$S$18&amp;"","Model",""&amp;$S55&amp;""),0)</f>
        <v>0</v>
      </c>
      <c r="AB55" s="349">
        <f>IFERROR(GETPIVOTDATA("Area AGM",'Pvt OS'!$AO$8,"Dealer",""&amp;$S$18&amp;"","Model",""&amp;$S55&amp;""),0)</f>
        <v>0</v>
      </c>
      <c r="AC55" s="349">
        <f>IFERROR(GETPIVOTDATA("Stock",#REF!,"Dealer",""&amp;$S$18&amp;"","Model",""&amp;$S55&amp;""),0)</f>
        <v>0</v>
      </c>
      <c r="AD55" s="350">
        <f>IFERROR(GETPIVOTDATA("MDP",#REF!,"Dealer",""&amp;$S$18&amp;"","Model",""&amp;$S55&amp;""),0)</f>
        <v>0</v>
      </c>
      <c r="AE55" s="350">
        <f>IFERROR(GETPIVOTDATA("RRN",#REF!,"Model2",""&amp;$S55&amp;"","Dealer",""&amp;$S$18&amp;""),0)</f>
        <v>0</v>
      </c>
      <c r="AF55" s="350">
        <f>IFERROR(GETPIVOTDATA("CO",#REF!,"Dealer Name",""&amp;$S$18&amp;"","Model",""&amp;$S55&amp;""),0)</f>
        <v>0</v>
      </c>
      <c r="AG55" s="349">
        <f>IFERROR(GETPIVOTDATA("Sum of Distplan Final",#REF!,"Dealer",""&amp;$S$18&amp;"","Model",""&amp;$S55&amp;""),0)</f>
        <v>0</v>
      </c>
      <c r="AH55" s="349">
        <f>IFERROR(GETPIVOTDATA("RRN",#REF!,"Model",""&amp;$S55&amp;"","Dealer",""&amp;$S$18&amp;""),0)</f>
        <v>0</v>
      </c>
      <c r="AI55" s="349">
        <f t="shared" si="30"/>
        <v>0</v>
      </c>
      <c r="AJ55" s="349">
        <f>IFERROR(GETPIVOTDATA("volume_rs",#REF!,"Model",""&amp;$S55&amp;"","Dealer",""&amp;$S$18&amp;""),0)</f>
        <v>0</v>
      </c>
      <c r="AK55" s="351">
        <f t="shared" si="31"/>
        <v>0</v>
      </c>
      <c r="AL55" s="351">
        <f>IFERROR(GETPIVOTDATA("Area AGM",'Pvt OS'!#REF!,"Dealer",""&amp;$S$18&amp;"","Model",""&amp;$S55&amp;""),0)</f>
        <v>0</v>
      </c>
      <c r="AM55" s="349">
        <f t="shared" si="32"/>
        <v>0</v>
      </c>
      <c r="AN55" s="351">
        <f>IFERROR(GETPIVOTDATA("Row Labels",#REF!,"Dealer",""&amp;$S$18&amp;"","Model",""&amp;$S55&amp;""),0)</f>
        <v>0</v>
      </c>
      <c r="AO55" s="351">
        <f>IFERROR(GETPIVOTDATA("RS Afi",#REF!,"Dealer",""&amp;$S$18&amp;"","Model",""&amp;$S55&amp;""),0)</f>
        <v>0</v>
      </c>
      <c r="AP55" s="351">
        <f>IFERROR(GETPIVOTDATA("qty",#REF!,"Model",""&amp;$S55&amp;"","Dealer",""&amp;$S$18&amp;""),0)</f>
        <v>0</v>
      </c>
      <c r="AQ55" s="351">
        <f>IFERROR(GETPIVOTDATA("volume_rs",#REF!,"Model",""&amp;$S55&amp;"","Dealer",""&amp;$S$18&amp;""),0)</f>
        <v>0</v>
      </c>
      <c r="AR55" s="349">
        <f t="shared" si="33"/>
        <v>0</v>
      </c>
      <c r="AS55" s="349">
        <f>IFERROR(GETPIVOTDATA("Area AGM",'Pvt OS'!#REF!,"Dealer",""&amp;$S$18&amp;"","Model",""&amp;$S55&amp;""),0)</f>
        <v>0</v>
      </c>
      <c r="AT55" s="349">
        <f t="shared" si="34"/>
        <v>0</v>
      </c>
      <c r="AU55" s="352"/>
      <c r="AV55" s="353"/>
      <c r="AW55" s="353"/>
      <c r="AX55" s="353"/>
      <c r="AY55" s="353"/>
      <c r="AZ55" s="353"/>
      <c r="BA55" s="354"/>
      <c r="BB55" s="355"/>
      <c r="BC55" s="354"/>
      <c r="BD55" s="356"/>
    </row>
    <row r="56" ht="26.25" customHeight="1" spans="2:56">
      <c r="M56" s="227"/>
      <c r="O56" s="227"/>
      <c r="P56" s="226" t="s">
        <v>196</v>
      </c>
      <c r="Q56" s="291">
        <f t="shared" si="26"/>
        <v>0</v>
      </c>
      <c r="R56" s="227">
        <f>IFERROR(GETPIVOTDATA("RS Target",#REF!,"Dealer",""&amp;$S$18&amp;"","Model",""&amp;$P56&amp;""),0)</f>
        <v>0</v>
      </c>
      <c r="S56" s="348" t="s">
        <v>196</v>
      </c>
      <c r="T56" s="349">
        <f t="shared" si="28"/>
        <v>0</v>
      </c>
      <c r="U56" s="349">
        <f>IFERROR(GETPIVOTDATA("Area AGM",'Pvt OS'!#REF!,"Dealer",""&amp;$S$18&amp;"","Model",""&amp;$S56&amp;""),0)</f>
        <v>0</v>
      </c>
      <c r="V56" s="349">
        <f t="shared" si="29"/>
        <v>0</v>
      </c>
      <c r="W56" s="350">
        <f>IFERROR(GETPIVOTDATA("Area AGM",'Pvt OS'!#REF!,"Dealer",""&amp;$S$18&amp;"","Model",""&amp;$S56&amp;""),0)+IFERROR(GETPIVOTDATA("Area AGM",'Pvt OS'!$A$8,"Dealer",""&amp;$S$18&amp;"","Model",""&amp;$S56&amp;""),0)</f>
        <v>0</v>
      </c>
      <c r="X56" s="349">
        <f t="shared" si="35"/>
        <v>0</v>
      </c>
      <c r="Y56" s="349">
        <f>IFERROR(GETPIVOTDATA("Area AGM",'Pvt OS'!$U$8,"Dealer",""&amp;$S$18&amp;"","Model",""&amp;$S56&amp;""),0)</f>
        <v>0</v>
      </c>
      <c r="Z56" s="349">
        <f>IFERROR(GETPIVOTDATA("Area AGM",'Pvt OS'!$M$8,"Dealer",""&amp;$S$18&amp;"","Model",""&amp;$S56&amp;""),0)</f>
        <v>0</v>
      </c>
      <c r="AA56" s="349">
        <f>IFERROR(GETPIVOTDATA("Area AGM",'Pvt OS'!#REF!,"Dealer",""&amp;$S$18&amp;"","Model",""&amp;$S56&amp;""),0)</f>
        <v>0</v>
      </c>
      <c r="AB56" s="349">
        <f>IFERROR(GETPIVOTDATA("Area AGM",'Pvt OS'!$AO$8,"Dealer",""&amp;$S$18&amp;"","Model",""&amp;$S56&amp;""),0)</f>
        <v>0</v>
      </c>
      <c r="AC56" s="349">
        <f>IFERROR(GETPIVOTDATA("Stock",#REF!,"Dealer",""&amp;$S$18&amp;"","Model",""&amp;$S56&amp;""),0)</f>
        <v>0</v>
      </c>
      <c r="AD56" s="350">
        <f>IFERROR(GETPIVOTDATA("MDP",#REF!,"Dealer",""&amp;$S$18&amp;"","Model",""&amp;$S56&amp;""),0)</f>
        <v>0</v>
      </c>
      <c r="AE56" s="350">
        <f>IFERROR(GETPIVOTDATA("RRN",#REF!,"Model2",""&amp;$S56&amp;"","Dealer",""&amp;$S$18&amp;""),0)</f>
        <v>0</v>
      </c>
      <c r="AF56" s="350">
        <f>IFERROR(GETPIVOTDATA("CO",#REF!,"Dealer Name",""&amp;$S$18&amp;"","Model",""&amp;$S56&amp;""),0)</f>
        <v>0</v>
      </c>
      <c r="AG56" s="349">
        <f>IFERROR(GETPIVOTDATA("Sum of Distplan Final",#REF!,"Dealer",""&amp;$S$18&amp;"","Model",""&amp;$S56&amp;""),0)</f>
        <v>0</v>
      </c>
      <c r="AH56" s="349">
        <f>IFERROR(GETPIVOTDATA("RRN",#REF!,"Model",""&amp;$S56&amp;"","Dealer",""&amp;$S$18&amp;""),0)</f>
        <v>0</v>
      </c>
      <c r="AI56" s="349">
        <f t="shared" si="30"/>
        <v>0</v>
      </c>
      <c r="AJ56" s="349">
        <f>IFERROR(GETPIVOTDATA("volume_rs",#REF!,"Model",""&amp;$S56&amp;"","Dealer",""&amp;$S$18&amp;""),0)</f>
        <v>0</v>
      </c>
      <c r="AK56" s="351">
        <f t="shared" si="31"/>
        <v>0</v>
      </c>
      <c r="AL56" s="351">
        <f>IFERROR(GETPIVOTDATA("Area AGM",'Pvt OS'!#REF!,"Dealer",""&amp;$S$18&amp;"","Model",""&amp;$S56&amp;""),0)</f>
        <v>0</v>
      </c>
      <c r="AM56" s="349">
        <f t="shared" si="32"/>
        <v>0</v>
      </c>
      <c r="AN56" s="351">
        <f>IFERROR(GETPIVOTDATA("Row Labels",#REF!,"Dealer",""&amp;$S$18&amp;"","Model",""&amp;$S56&amp;""),0)</f>
        <v>0</v>
      </c>
      <c r="AO56" s="351">
        <f>IFERROR(GETPIVOTDATA("RS Afi",#REF!,"Dealer",""&amp;$S$18&amp;"","Model",""&amp;$S56&amp;""),0)</f>
        <v>0</v>
      </c>
      <c r="AP56" s="351">
        <f>IFERROR(GETPIVOTDATA("qty",#REF!,"Model",""&amp;$S56&amp;"","Dealer",""&amp;$S$18&amp;""),0)</f>
        <v>0</v>
      </c>
      <c r="AQ56" s="351">
        <f>IFERROR(GETPIVOTDATA("volume_rs",#REF!,"Model",""&amp;$S56&amp;"","Dealer",""&amp;$S$18&amp;""),0)</f>
        <v>0</v>
      </c>
      <c r="AR56" s="349">
        <f t="shared" si="33"/>
        <v>0</v>
      </c>
      <c r="AS56" s="349">
        <f>IFERROR(GETPIVOTDATA("Area AGM",'Pvt OS'!#REF!,"Dealer",""&amp;$S$18&amp;"","Model",""&amp;$S56&amp;""),0)</f>
        <v>0</v>
      </c>
      <c r="AT56" s="349">
        <f t="shared" si="34"/>
        <v>0</v>
      </c>
      <c r="AU56" s="352"/>
      <c r="AV56" s="353"/>
      <c r="AW56" s="353"/>
      <c r="AX56" s="353"/>
      <c r="AY56" s="353"/>
      <c r="AZ56" s="353"/>
      <c r="BA56" s="354"/>
      <c r="BB56" s="355"/>
      <c r="BC56" s="354"/>
      <c r="BD56" s="356"/>
    </row>
    <row r="57" ht="26.25" customHeight="1" spans="2:56">
      <c r="M57" s="227"/>
      <c r="O57" s="227"/>
      <c r="P57" s="226" t="s">
        <v>197</v>
      </c>
      <c r="Q57" s="291">
        <f t="shared" si="26"/>
        <v>0</v>
      </c>
      <c r="R57" s="227">
        <f>IFERROR(GETPIVOTDATA("RS Target",#REF!,"Dealer",""&amp;$S$18&amp;"","Model",""&amp;$P57&amp;""),0)</f>
        <v>0</v>
      </c>
      <c r="S57" s="348" t="s">
        <v>197</v>
      </c>
      <c r="T57" s="349">
        <f t="shared" si="28"/>
        <v>0</v>
      </c>
      <c r="U57" s="349">
        <f>IFERROR(GETPIVOTDATA("Area AGM",'Pvt OS'!#REF!,"Dealer",""&amp;$S$18&amp;"","Model",""&amp;$S57&amp;""),0)</f>
        <v>0</v>
      </c>
      <c r="V57" s="349">
        <f t="shared" si="29"/>
        <v>0</v>
      </c>
      <c r="W57" s="350">
        <f>IFERROR(GETPIVOTDATA("Area AGM",'Pvt OS'!#REF!,"Dealer",""&amp;$S$18&amp;"","Model",""&amp;$S57&amp;""),0)+IFERROR(GETPIVOTDATA("Area AGM",'Pvt OS'!$A$8,"Dealer",""&amp;$S$18&amp;"","Model",""&amp;$S57&amp;""),0)</f>
        <v>0</v>
      </c>
      <c r="X57" s="349">
        <f t="shared" si="35"/>
        <v>0</v>
      </c>
      <c r="Y57" s="349">
        <f>IFERROR(GETPIVOTDATA("Area AGM",'Pvt OS'!$U$8,"Dealer",""&amp;$S$18&amp;"","Model",""&amp;$S57&amp;""),0)</f>
        <v>0</v>
      </c>
      <c r="Z57" s="349">
        <f>IFERROR(GETPIVOTDATA("Area AGM",'Pvt OS'!$M$8,"Dealer",""&amp;$S$18&amp;"","Model",""&amp;$S57&amp;""),0)</f>
        <v>0</v>
      </c>
      <c r="AA57" s="349">
        <f>IFERROR(GETPIVOTDATA("Area AGM",'Pvt OS'!#REF!,"Dealer",""&amp;$S$18&amp;"","Model",""&amp;$S57&amp;""),0)</f>
        <v>0</v>
      </c>
      <c r="AB57" s="349">
        <f>IFERROR(GETPIVOTDATA("Area AGM",'Pvt OS'!$AO$8,"Dealer",""&amp;$S$18&amp;"","Model",""&amp;$S57&amp;""),0)</f>
        <v>0</v>
      </c>
      <c r="AC57" s="349">
        <f>IFERROR(GETPIVOTDATA("Stock",#REF!,"Dealer",""&amp;$S$18&amp;"","Model",""&amp;$S57&amp;""),0)</f>
        <v>0</v>
      </c>
      <c r="AD57" s="350">
        <f>IFERROR(GETPIVOTDATA("MDP",#REF!,"Dealer",""&amp;$S$18&amp;"","Model",""&amp;$S57&amp;""),0)</f>
        <v>0</v>
      </c>
      <c r="AE57" s="350">
        <f>IFERROR(GETPIVOTDATA("RRN",#REF!,"Model2",""&amp;$S57&amp;"","Dealer",""&amp;$S$18&amp;""),0)</f>
        <v>0</v>
      </c>
      <c r="AF57" s="350">
        <f>IFERROR(GETPIVOTDATA("CO",#REF!,"Dealer Name",""&amp;$S$18&amp;"","Model",""&amp;$S57&amp;""),0)</f>
        <v>0</v>
      </c>
      <c r="AG57" s="349">
        <f>IFERROR(GETPIVOTDATA("Sum of Distplan Final",#REF!,"Dealer",""&amp;$S$18&amp;"","Model",""&amp;$S57&amp;""),0)</f>
        <v>0</v>
      </c>
      <c r="AH57" s="349">
        <f>IFERROR(GETPIVOTDATA("RRN",#REF!,"Model",""&amp;$S57&amp;"","Dealer",""&amp;$S$18&amp;""),0)</f>
        <v>0</v>
      </c>
      <c r="AI57" s="349">
        <f t="shared" si="30"/>
        <v>0</v>
      </c>
      <c r="AJ57" s="349">
        <f>IFERROR(GETPIVOTDATA("volume_rs",#REF!,"Model",""&amp;$S57&amp;"","Dealer",""&amp;$S$18&amp;""),0)</f>
        <v>0</v>
      </c>
      <c r="AK57" s="351">
        <f t="shared" si="31"/>
        <v>0</v>
      </c>
      <c r="AL57" s="351">
        <f>IFERROR(GETPIVOTDATA("Area AGM",'Pvt OS'!#REF!,"Dealer",""&amp;$S$18&amp;"","Model",""&amp;$S57&amp;""),0)</f>
        <v>0</v>
      </c>
      <c r="AM57" s="349">
        <f t="shared" si="32"/>
        <v>0</v>
      </c>
      <c r="AN57" s="351">
        <f>IFERROR(GETPIVOTDATA("Row Labels",#REF!,"Dealer",""&amp;$S$18&amp;"","Model",""&amp;$S57&amp;""),0)</f>
        <v>0</v>
      </c>
      <c r="AO57" s="351">
        <f>IFERROR(GETPIVOTDATA("RS Afi",#REF!,"Dealer",""&amp;$S$18&amp;"","Model",""&amp;$S57&amp;""),0)</f>
        <v>0</v>
      </c>
      <c r="AP57" s="351">
        <f>IFERROR(GETPIVOTDATA("qty",#REF!,"Model",""&amp;$S57&amp;"","Dealer",""&amp;$S$18&amp;""),0)</f>
        <v>0</v>
      </c>
      <c r="AQ57" s="351">
        <f>IFERROR(GETPIVOTDATA("volume_rs",#REF!,"Model",""&amp;$S57&amp;"","Dealer",""&amp;$S$18&amp;""),0)</f>
        <v>0</v>
      </c>
      <c r="AR57" s="349">
        <f t="shared" si="33"/>
        <v>0</v>
      </c>
      <c r="AS57" s="349">
        <f>IFERROR(GETPIVOTDATA("Area AGM",'Pvt OS'!#REF!,"Dealer",""&amp;$S$18&amp;"","Model",""&amp;$S57&amp;""),0)</f>
        <v>0</v>
      </c>
      <c r="AT57" s="349">
        <f t="shared" si="34"/>
        <v>0</v>
      </c>
      <c r="AU57" s="352"/>
      <c r="AV57" s="353"/>
      <c r="AW57" s="353"/>
      <c r="AX57" s="353"/>
      <c r="AY57" s="353"/>
      <c r="AZ57" s="353"/>
      <c r="BA57" s="354"/>
      <c r="BB57" s="355"/>
      <c r="BC57" s="354"/>
      <c r="BD57" s="356"/>
    </row>
    <row r="58" ht="26.25" customHeight="1" spans="2:56">
      <c r="M58" s="227"/>
      <c r="O58" s="227"/>
      <c r="P58" s="226" t="s">
        <v>198</v>
      </c>
      <c r="Q58" s="291">
        <f t="shared" si="26"/>
        <v>0</v>
      </c>
      <c r="R58" s="227">
        <f>IFERROR(GETPIVOTDATA("RS Target",#REF!,"Dealer",""&amp;$S$18&amp;"","Model",""&amp;$P58&amp;""),0)</f>
        <v>0</v>
      </c>
      <c r="S58" s="348" t="s">
        <v>198</v>
      </c>
      <c r="T58" s="349">
        <f t="shared" si="28"/>
        <v>0</v>
      </c>
      <c r="U58" s="349">
        <f>IFERROR(GETPIVOTDATA("Area AGM",'Pvt OS'!#REF!,"Dealer",""&amp;$S$18&amp;"","Model",""&amp;$S58&amp;""),0)</f>
        <v>0</v>
      </c>
      <c r="V58" s="349">
        <f t="shared" si="29"/>
        <v>0</v>
      </c>
      <c r="W58" s="350">
        <f>IFERROR(GETPIVOTDATA("Area AGM",'Pvt OS'!#REF!,"Dealer",""&amp;$S$18&amp;"","Model",""&amp;$S58&amp;""),0)+IFERROR(GETPIVOTDATA("Area AGM",'Pvt OS'!$A$8,"Dealer",""&amp;$S$18&amp;"","Model",""&amp;$S58&amp;""),0)</f>
        <v>0</v>
      </c>
      <c r="X58" s="349">
        <f t="shared" si="35"/>
        <v>0</v>
      </c>
      <c r="Y58" s="349">
        <f>IFERROR(GETPIVOTDATA("Area AGM",'Pvt OS'!$U$8,"Dealer",""&amp;$S$18&amp;"","Model",""&amp;$S58&amp;""),0)</f>
        <v>0</v>
      </c>
      <c r="Z58" s="349">
        <f>IFERROR(GETPIVOTDATA("Area AGM",'Pvt OS'!$M$8,"Dealer",""&amp;$S$18&amp;"","Model",""&amp;$S58&amp;""),0)</f>
        <v>0</v>
      </c>
      <c r="AA58" s="349">
        <f>IFERROR(GETPIVOTDATA("Area AGM",'Pvt OS'!#REF!,"Dealer",""&amp;$S$18&amp;"","Model",""&amp;$S58&amp;""),0)</f>
        <v>0</v>
      </c>
      <c r="AB58" s="349">
        <f>IFERROR(GETPIVOTDATA("Area AGM",'Pvt OS'!$AO$8,"Dealer",""&amp;$S$18&amp;"","Model",""&amp;$S58&amp;""),0)</f>
        <v>0</v>
      </c>
      <c r="AC58" s="349">
        <f>IFERROR(GETPIVOTDATA("Stock",#REF!,"Dealer",""&amp;$S$18&amp;"","Model",""&amp;$S58&amp;""),0)</f>
        <v>0</v>
      </c>
      <c r="AD58" s="350">
        <f>IFERROR(GETPIVOTDATA("MDP",#REF!,"Dealer",""&amp;$S$18&amp;"","Model",""&amp;$S58&amp;""),0)</f>
        <v>0</v>
      </c>
      <c r="AE58" s="350">
        <f>IFERROR(GETPIVOTDATA("RRN",#REF!,"Model2",""&amp;$S58&amp;"","Dealer",""&amp;$S$18&amp;""),0)</f>
        <v>0</v>
      </c>
      <c r="AF58" s="350">
        <f>IFERROR(GETPIVOTDATA("CO",#REF!,"Dealer Name",""&amp;$S$18&amp;"","Model",""&amp;$S58&amp;""),0)</f>
        <v>0</v>
      </c>
      <c r="AG58" s="349">
        <f>IFERROR(GETPIVOTDATA("Sum of Distplan Final",#REF!,"Dealer",""&amp;$S$18&amp;"","Model",""&amp;$S58&amp;""),0)</f>
        <v>0</v>
      </c>
      <c r="AH58" s="349">
        <f>IFERROR(GETPIVOTDATA("RRN",#REF!,"Model",""&amp;$S58&amp;"","Dealer",""&amp;$S$18&amp;""),0)</f>
        <v>0</v>
      </c>
      <c r="AI58" s="349">
        <f t="shared" si="30"/>
        <v>0</v>
      </c>
      <c r="AJ58" s="349">
        <f>IFERROR(GETPIVOTDATA("volume_rs",#REF!,"Model",""&amp;$S58&amp;"","Dealer",""&amp;$S$18&amp;""),0)</f>
        <v>0</v>
      </c>
      <c r="AK58" s="351">
        <f t="shared" si="31"/>
        <v>0</v>
      </c>
      <c r="AL58" s="351">
        <f>IFERROR(GETPIVOTDATA("Area AGM",'Pvt OS'!#REF!,"Dealer",""&amp;$S$18&amp;"","Model",""&amp;$S58&amp;""),0)</f>
        <v>0</v>
      </c>
      <c r="AM58" s="349">
        <f t="shared" si="32"/>
        <v>0</v>
      </c>
      <c r="AN58" s="351">
        <f>IFERROR(GETPIVOTDATA("Row Labels",#REF!,"Dealer",""&amp;$S$18&amp;"","Model",""&amp;$S58&amp;""),0)</f>
        <v>0</v>
      </c>
      <c r="AO58" s="351">
        <f>IFERROR(GETPIVOTDATA("RS Afi",#REF!,"Dealer",""&amp;$S$18&amp;"","Model",""&amp;$S58&amp;""),0)</f>
        <v>0</v>
      </c>
      <c r="AP58" s="351">
        <f>IFERROR(GETPIVOTDATA("qty",#REF!,"Model",""&amp;$S58&amp;"","Dealer",""&amp;$S$18&amp;""),0)</f>
        <v>0</v>
      </c>
      <c r="AQ58" s="351">
        <f>IFERROR(GETPIVOTDATA("volume_rs",#REF!,"Model",""&amp;$S58&amp;"","Dealer",""&amp;$S$18&amp;""),0)</f>
        <v>0</v>
      </c>
      <c r="AR58" s="349">
        <f t="shared" si="33"/>
        <v>0</v>
      </c>
      <c r="AS58" s="349">
        <f>IFERROR(GETPIVOTDATA("Area AGM",'Pvt OS'!#REF!,"Dealer",""&amp;$S$18&amp;"","Model",""&amp;$S58&amp;""),0)</f>
        <v>0</v>
      </c>
      <c r="AT58" s="349">
        <f t="shared" si="34"/>
        <v>0</v>
      </c>
      <c r="AU58" s="352"/>
      <c r="AV58" s="353"/>
      <c r="AW58" s="353"/>
      <c r="AX58" s="353"/>
      <c r="AY58" s="353"/>
      <c r="AZ58" s="353"/>
      <c r="BA58" s="354"/>
      <c r="BB58" s="355"/>
      <c r="BC58" s="354"/>
      <c r="BD58" s="356"/>
    </row>
    <row r="59" ht="26.25" customHeight="1" spans="2:56">
      <c r="M59" s="227"/>
      <c r="O59" s="227"/>
      <c r="P59" s="226" t="s">
        <v>199</v>
      </c>
      <c r="Q59" s="291">
        <f t="shared" si="26"/>
        <v>0</v>
      </c>
      <c r="R59" s="227">
        <f>IFERROR(GETPIVOTDATA("RS Target",#REF!,"Dealer",""&amp;$S$18&amp;"","Model",""&amp;$P59&amp;""),0)</f>
        <v>0</v>
      </c>
      <c r="S59" s="348" t="s">
        <v>199</v>
      </c>
      <c r="T59" s="349">
        <f t="shared" si="28"/>
        <v>0</v>
      </c>
      <c r="U59" s="349">
        <f>IFERROR(GETPIVOTDATA("Area AGM",'Pvt OS'!#REF!,"Dealer",""&amp;$S$18&amp;"","Model",""&amp;$S59&amp;""),0)</f>
        <v>0</v>
      </c>
      <c r="V59" s="349">
        <f t="shared" si="29"/>
        <v>0</v>
      </c>
      <c r="W59" s="350">
        <f>IFERROR(GETPIVOTDATA("Area AGM",'Pvt OS'!#REF!,"Dealer",""&amp;$S$18&amp;"","Model",""&amp;$S59&amp;""),0)+IFERROR(GETPIVOTDATA("Area AGM",'Pvt OS'!$A$8,"Dealer",""&amp;$S$18&amp;"","Model",""&amp;$S59&amp;""),0)</f>
        <v>0</v>
      </c>
      <c r="X59" s="349">
        <f t="shared" si="35"/>
        <v>0</v>
      </c>
      <c r="Y59" s="349">
        <f>IFERROR(GETPIVOTDATA("Area AGM",'Pvt OS'!$U$8,"Dealer",""&amp;$S$18&amp;"","Model",""&amp;$S59&amp;""),0)</f>
        <v>0</v>
      </c>
      <c r="Z59" s="349">
        <f>IFERROR(GETPIVOTDATA("Area AGM",'Pvt OS'!$M$8,"Dealer",""&amp;$S$18&amp;"","Model",""&amp;$S59&amp;""),0)</f>
        <v>0</v>
      </c>
      <c r="AA59" s="349">
        <f>IFERROR(GETPIVOTDATA("Area AGM",'Pvt OS'!#REF!,"Dealer",""&amp;$S$18&amp;"","Model",""&amp;$S59&amp;""),0)</f>
        <v>0</v>
      </c>
      <c r="AB59" s="349">
        <f>IFERROR(GETPIVOTDATA("Area AGM",'Pvt OS'!$AO$8,"Dealer",""&amp;$S$18&amp;"","Model",""&amp;$S59&amp;""),0)</f>
        <v>0</v>
      </c>
      <c r="AC59" s="349">
        <f>IFERROR(GETPIVOTDATA("Stock",#REF!,"Dealer",""&amp;$S$18&amp;"","Model",""&amp;$S59&amp;""),0)</f>
        <v>0</v>
      </c>
      <c r="AD59" s="350">
        <f>IFERROR(GETPIVOTDATA("MDP",#REF!,"Dealer",""&amp;$S$18&amp;"","Model",""&amp;$S59&amp;""),0)</f>
        <v>0</v>
      </c>
      <c r="AE59" s="350">
        <f>IFERROR(GETPIVOTDATA("RRN",#REF!,"Model2",""&amp;$S59&amp;"","Dealer",""&amp;$S$18&amp;""),0)</f>
        <v>0</v>
      </c>
      <c r="AF59" s="350">
        <f>IFERROR(GETPIVOTDATA("CO",#REF!,"Dealer Name",""&amp;$S$18&amp;"","Model",""&amp;$S59&amp;""),0)</f>
        <v>0</v>
      </c>
      <c r="AG59" s="349">
        <f>IFERROR(GETPIVOTDATA("Sum of Distplan Final",#REF!,"Dealer",""&amp;$S$18&amp;"","Model",""&amp;$S59&amp;""),0)</f>
        <v>0</v>
      </c>
      <c r="AH59" s="349">
        <f>IFERROR(GETPIVOTDATA("RRN",#REF!,"Model",""&amp;$S59&amp;"","Dealer",""&amp;$S$18&amp;""),0)</f>
        <v>0</v>
      </c>
      <c r="AI59" s="349">
        <f t="shared" si="30"/>
        <v>0</v>
      </c>
      <c r="AJ59" s="349">
        <f>IFERROR(GETPIVOTDATA("volume_rs",#REF!,"Model",""&amp;$S59&amp;"","Dealer",""&amp;$S$18&amp;""),0)</f>
        <v>0</v>
      </c>
      <c r="AK59" s="351">
        <f t="shared" si="31"/>
        <v>0</v>
      </c>
      <c r="AL59" s="351">
        <f>IFERROR(GETPIVOTDATA("Area AGM",'Pvt OS'!#REF!,"Dealer",""&amp;$S$18&amp;"","Model",""&amp;$S59&amp;""),0)</f>
        <v>0</v>
      </c>
      <c r="AM59" s="349">
        <f t="shared" si="32"/>
        <v>0</v>
      </c>
      <c r="AN59" s="351">
        <f>IFERROR(GETPIVOTDATA("Row Labels",#REF!,"Dealer",""&amp;$S$18&amp;"","Model",""&amp;$S59&amp;""),0)</f>
        <v>0</v>
      </c>
      <c r="AO59" s="351">
        <f>IFERROR(GETPIVOTDATA("RS Afi",#REF!,"Dealer",""&amp;$S$18&amp;"","Model",""&amp;$S59&amp;""),0)</f>
        <v>0</v>
      </c>
      <c r="AP59" s="351">
        <f>IFERROR(GETPIVOTDATA("qty",#REF!,"Model",""&amp;$S59&amp;"","Dealer",""&amp;$S$18&amp;""),0)</f>
        <v>0</v>
      </c>
      <c r="AQ59" s="351">
        <f>IFERROR(GETPIVOTDATA("volume_rs",#REF!,"Model",""&amp;$S59&amp;"","Dealer",""&amp;$S$18&amp;""),0)</f>
        <v>0</v>
      </c>
      <c r="AR59" s="349">
        <f t="shared" si="33"/>
        <v>0</v>
      </c>
      <c r="AS59" s="349">
        <f>IFERROR(GETPIVOTDATA("Area AGM",'Pvt OS'!#REF!,"Dealer",""&amp;$S$18&amp;"","Model",""&amp;$S59&amp;""),0)</f>
        <v>0</v>
      </c>
      <c r="AT59" s="349">
        <f t="shared" si="34"/>
        <v>0</v>
      </c>
      <c r="AU59" s="352"/>
      <c r="AV59" s="353"/>
      <c r="AW59" s="353"/>
      <c r="AX59" s="353"/>
      <c r="AY59" s="353"/>
      <c r="AZ59" s="353"/>
      <c r="BA59" s="354"/>
      <c r="BB59" s="355"/>
      <c r="BC59" s="354"/>
      <c r="BD59" s="356"/>
    </row>
    <row r="60" ht="26.25" customHeight="1" spans="2:56">
      <c r="M60" s="227"/>
      <c r="O60" s="227"/>
      <c r="P60" s="226" t="s">
        <v>200</v>
      </c>
      <c r="Q60" s="291">
        <f t="shared" si="26"/>
        <v>0</v>
      </c>
      <c r="R60" s="227">
        <f>IFERROR(GETPIVOTDATA("RS Target",#REF!,"Dealer",""&amp;$S$18&amp;"","Model",""&amp;$P60&amp;""),0)</f>
        <v>0</v>
      </c>
      <c r="S60" s="348" t="s">
        <v>200</v>
      </c>
      <c r="T60" s="349">
        <f t="shared" si="28"/>
        <v>0</v>
      </c>
      <c r="U60" s="349">
        <f>IFERROR(GETPIVOTDATA("Area AGM",'Pvt OS'!#REF!,"Dealer",""&amp;$S$18&amp;"","Model",""&amp;$S60&amp;""),0)</f>
        <v>0</v>
      </c>
      <c r="V60" s="349">
        <f t="shared" si="29"/>
        <v>0</v>
      </c>
      <c r="W60" s="350">
        <f>IFERROR(GETPIVOTDATA("Area AGM",'Pvt OS'!#REF!,"Dealer",""&amp;$S$18&amp;"","Model",""&amp;$S60&amp;""),0)+IFERROR(GETPIVOTDATA("Area AGM",'Pvt OS'!$A$8,"Dealer",""&amp;$S$18&amp;"","Model",""&amp;$S60&amp;""),0)</f>
        <v>0</v>
      </c>
      <c r="X60" s="349">
        <f t="shared" si="35"/>
        <v>0</v>
      </c>
      <c r="Y60" s="349">
        <f>IFERROR(GETPIVOTDATA("Area AGM",'Pvt OS'!$U$8,"Dealer",""&amp;$S$18&amp;"","Model",""&amp;$S60&amp;""),0)</f>
        <v>0</v>
      </c>
      <c r="Z60" s="349">
        <f>IFERROR(GETPIVOTDATA("Area AGM",'Pvt OS'!$M$8,"Dealer",""&amp;$S$18&amp;"","Model",""&amp;$S60&amp;""),0)</f>
        <v>0</v>
      </c>
      <c r="AA60" s="349">
        <f>IFERROR(GETPIVOTDATA("Area AGM",'Pvt OS'!#REF!,"Dealer",""&amp;$S$18&amp;"","Model",""&amp;$S60&amp;""),0)</f>
        <v>0</v>
      </c>
      <c r="AB60" s="349">
        <f>IFERROR(GETPIVOTDATA("Area AGM",'Pvt OS'!$AO$8,"Dealer",""&amp;$S$18&amp;"","Model",""&amp;$S60&amp;""),0)</f>
        <v>0</v>
      </c>
      <c r="AC60" s="349">
        <f>IFERROR(GETPIVOTDATA("Stock",#REF!,"Dealer",""&amp;$S$18&amp;"","Model",""&amp;$S60&amp;""),0)</f>
        <v>0</v>
      </c>
      <c r="AD60" s="350">
        <f>IFERROR(GETPIVOTDATA("MDP",#REF!,"Dealer",""&amp;$S$18&amp;"","Model",""&amp;$S60&amp;""),0)</f>
        <v>0</v>
      </c>
      <c r="AE60" s="350">
        <f>IFERROR(GETPIVOTDATA("RRN",#REF!,"Model2",""&amp;$S60&amp;"","Dealer",""&amp;$S$18&amp;""),0)</f>
        <v>0</v>
      </c>
      <c r="AF60" s="350">
        <f>IFERROR(GETPIVOTDATA("CO",#REF!,"Dealer Name",""&amp;$S$18&amp;"","Model",""&amp;$S60&amp;""),0)</f>
        <v>0</v>
      </c>
      <c r="AG60" s="349">
        <f>IFERROR(GETPIVOTDATA("Sum of Distplan Final",#REF!,"Dealer",""&amp;$S$18&amp;"","Model",""&amp;$S60&amp;""),0)</f>
        <v>0</v>
      </c>
      <c r="AH60" s="349">
        <f>IFERROR(GETPIVOTDATA("RRN",#REF!,"Model",""&amp;$S60&amp;"","Dealer",""&amp;$S$18&amp;""),0)</f>
        <v>0</v>
      </c>
      <c r="AI60" s="349">
        <f t="shared" si="30"/>
        <v>0</v>
      </c>
      <c r="AJ60" s="349">
        <f>IFERROR(GETPIVOTDATA("volume_rs",#REF!,"Model",""&amp;$S60&amp;"","Dealer",""&amp;$S$18&amp;""),0)</f>
        <v>0</v>
      </c>
      <c r="AK60" s="351">
        <f t="shared" si="31"/>
        <v>0</v>
      </c>
      <c r="AL60" s="351">
        <f>IFERROR(GETPIVOTDATA("Area AGM",'Pvt OS'!#REF!,"Dealer",""&amp;$S$18&amp;"","Model",""&amp;$S60&amp;""),0)</f>
        <v>0</v>
      </c>
      <c r="AM60" s="349">
        <f t="shared" si="32"/>
        <v>0</v>
      </c>
      <c r="AN60" s="351">
        <f>IFERROR(GETPIVOTDATA("Row Labels",#REF!,"Dealer",""&amp;$S$18&amp;"","Model",""&amp;$S60&amp;""),0)</f>
        <v>0</v>
      </c>
      <c r="AO60" s="351">
        <f>IFERROR(GETPIVOTDATA("RS Afi",#REF!,"Dealer",""&amp;$S$18&amp;"","Model",""&amp;$S60&amp;""),0)</f>
        <v>0</v>
      </c>
      <c r="AP60" s="351">
        <f>IFERROR(GETPIVOTDATA("qty",#REF!,"Model",""&amp;$S60&amp;"","Dealer",""&amp;$S$18&amp;""),0)</f>
        <v>0</v>
      </c>
      <c r="AQ60" s="351">
        <f>IFERROR(GETPIVOTDATA("volume_rs",#REF!,"Model",""&amp;$S60&amp;"","Dealer",""&amp;$S$18&amp;""),0)</f>
        <v>0</v>
      </c>
      <c r="AR60" s="349">
        <f t="shared" si="33"/>
        <v>0</v>
      </c>
      <c r="AS60" s="349">
        <f>IFERROR(GETPIVOTDATA("Area AGM",'Pvt OS'!#REF!,"Dealer",""&amp;$S$18&amp;"","Model",""&amp;$S60&amp;""),0)</f>
        <v>0</v>
      </c>
      <c r="AT60" s="349">
        <f t="shared" si="34"/>
        <v>0</v>
      </c>
      <c r="AU60" s="352"/>
      <c r="AV60" s="353"/>
      <c r="AW60" s="353"/>
      <c r="AX60" s="353"/>
      <c r="AY60" s="353"/>
      <c r="AZ60" s="353"/>
      <c r="BA60" s="354"/>
      <c r="BB60" s="355"/>
      <c r="BC60" s="354"/>
      <c r="BD60" s="356"/>
    </row>
    <row r="61" ht="26.25" customHeight="1" spans="2:56">
      <c r="M61" s="227"/>
      <c r="O61" s="227"/>
      <c r="P61" s="226" t="s">
        <v>201</v>
      </c>
      <c r="Q61" s="291">
        <f t="shared" si="26"/>
        <v>0</v>
      </c>
      <c r="R61" s="227">
        <f>IFERROR(GETPIVOTDATA("RS Target",#REF!,"Dealer",""&amp;$S$18&amp;"","Model",""&amp;$P61&amp;""),0)</f>
        <v>0</v>
      </c>
      <c r="S61" s="348" t="s">
        <v>201</v>
      </c>
      <c r="T61" s="349">
        <f t="shared" si="28"/>
        <v>0</v>
      </c>
      <c r="U61" s="349">
        <f>IFERROR(GETPIVOTDATA("Area AGM",'Pvt OS'!#REF!,"Dealer",""&amp;$S$18&amp;"","Model",""&amp;$S61&amp;""),0)</f>
        <v>0</v>
      </c>
      <c r="V61" s="349">
        <f t="shared" si="29"/>
        <v>0</v>
      </c>
      <c r="W61" s="350">
        <f>IFERROR(GETPIVOTDATA("Area AGM",'Pvt OS'!#REF!,"Dealer",""&amp;$S$18&amp;"","Model",""&amp;$S61&amp;""),0)+IFERROR(GETPIVOTDATA("Area AGM",'Pvt OS'!$A$8,"Dealer",""&amp;$S$18&amp;"","Model",""&amp;$S61&amp;""),0)</f>
        <v>0</v>
      </c>
      <c r="X61" s="349">
        <f t="shared" si="35"/>
        <v>0</v>
      </c>
      <c r="Y61" s="349">
        <f>IFERROR(GETPIVOTDATA("Area AGM",'Pvt OS'!$U$8,"Dealer",""&amp;$S$18&amp;"","Model",""&amp;$S61&amp;""),0)</f>
        <v>0</v>
      </c>
      <c r="Z61" s="349">
        <f>IFERROR(GETPIVOTDATA("Area AGM",'Pvt OS'!$M$8,"Dealer",""&amp;$S$18&amp;"","Model",""&amp;$S61&amp;""),0)</f>
        <v>0</v>
      </c>
      <c r="AA61" s="349">
        <f>IFERROR(GETPIVOTDATA("Area AGM",'Pvt OS'!#REF!,"Dealer",""&amp;$S$18&amp;"","Model",""&amp;$S61&amp;""),0)</f>
        <v>0</v>
      </c>
      <c r="AB61" s="349">
        <f>IFERROR(GETPIVOTDATA("Area AGM",'Pvt OS'!$AO$8,"Dealer",""&amp;$S$18&amp;"","Model",""&amp;$S61&amp;""),0)</f>
        <v>0</v>
      </c>
      <c r="AC61" s="349">
        <f>IFERROR(GETPIVOTDATA("Stock",#REF!,"Dealer",""&amp;$S$18&amp;"","Model",""&amp;$S61&amp;""),0)</f>
        <v>0</v>
      </c>
      <c r="AD61" s="350">
        <f>IFERROR(GETPIVOTDATA("MDP",#REF!,"Dealer",""&amp;$S$18&amp;"","Model",""&amp;$S61&amp;""),0)</f>
        <v>0</v>
      </c>
      <c r="AE61" s="350">
        <f>IFERROR(GETPIVOTDATA("RRN",#REF!,"Model2",""&amp;$S61&amp;"","Dealer",""&amp;$S$18&amp;""),0)</f>
        <v>0</v>
      </c>
      <c r="AF61" s="350">
        <f>IFERROR(GETPIVOTDATA("CO",#REF!,"Dealer Name",""&amp;$S$18&amp;"","Model",""&amp;$S61&amp;""),0)</f>
        <v>0</v>
      </c>
      <c r="AG61" s="349">
        <f>IFERROR(GETPIVOTDATA("Sum of Distplan Final",#REF!,"Dealer",""&amp;$S$18&amp;"","Model",""&amp;$S61&amp;""),0)</f>
        <v>0</v>
      </c>
      <c r="AH61" s="349">
        <f>IFERROR(GETPIVOTDATA("RRN",#REF!,"Model",""&amp;$S61&amp;"","Dealer",""&amp;$S$18&amp;""),0)</f>
        <v>0</v>
      </c>
      <c r="AI61" s="349">
        <f t="shared" si="30"/>
        <v>0</v>
      </c>
      <c r="AJ61" s="349">
        <f>IFERROR(GETPIVOTDATA("volume_rs",#REF!,"Model",""&amp;$S61&amp;"","Dealer",""&amp;$S$18&amp;""),0)</f>
        <v>0</v>
      </c>
      <c r="AK61" s="351">
        <f t="shared" si="31"/>
        <v>0</v>
      </c>
      <c r="AL61" s="351">
        <f>IFERROR(GETPIVOTDATA("Area AGM",'Pvt OS'!#REF!,"Dealer",""&amp;$S$18&amp;"","Model",""&amp;$S61&amp;""),0)</f>
        <v>0</v>
      </c>
      <c r="AM61" s="349">
        <f t="shared" si="32"/>
        <v>0</v>
      </c>
      <c r="AN61" s="351">
        <f>IFERROR(GETPIVOTDATA("Row Labels",#REF!,"Dealer",""&amp;$S$18&amp;"","Model",""&amp;$S61&amp;""),0)</f>
        <v>0</v>
      </c>
      <c r="AO61" s="351">
        <f>IFERROR(GETPIVOTDATA("RS Afi",#REF!,"Dealer",""&amp;$S$18&amp;"","Model",""&amp;$S61&amp;""),0)</f>
        <v>0</v>
      </c>
      <c r="AP61" s="351">
        <f>IFERROR(GETPIVOTDATA("qty",#REF!,"Model",""&amp;$S61&amp;"","Dealer",""&amp;$S$18&amp;""),0)</f>
        <v>0</v>
      </c>
      <c r="AQ61" s="351">
        <f>IFERROR(GETPIVOTDATA("volume_rs",#REF!,"Model",""&amp;$S61&amp;"","Dealer",""&amp;$S$18&amp;""),0)</f>
        <v>0</v>
      </c>
      <c r="AR61" s="349">
        <f t="shared" si="33"/>
        <v>0</v>
      </c>
      <c r="AS61" s="349">
        <f>IFERROR(GETPIVOTDATA("Area AGM",'Pvt OS'!#REF!,"Dealer",""&amp;$S$18&amp;"","Model",""&amp;$S61&amp;""),0)</f>
        <v>0</v>
      </c>
      <c r="AT61" s="349">
        <f t="shared" si="34"/>
        <v>0</v>
      </c>
      <c r="AU61" s="352"/>
      <c r="AV61" s="353"/>
      <c r="AW61" s="353"/>
      <c r="AX61" s="353"/>
      <c r="AY61" s="353"/>
      <c r="AZ61" s="353"/>
      <c r="BA61" s="354"/>
      <c r="BB61" s="355"/>
      <c r="BC61" s="354"/>
      <c r="BD61" s="356"/>
    </row>
    <row r="62" ht="26.25" customHeight="1" spans="2:56">
      <c r="M62" s="227"/>
      <c r="O62" s="227"/>
      <c r="P62" s="226" t="s">
        <v>202</v>
      </c>
      <c r="Q62" s="291">
        <f t="shared" si="26"/>
        <v>0</v>
      </c>
      <c r="R62" s="227">
        <f>IFERROR(GETPIVOTDATA("RS Target",#REF!,"Dealer",""&amp;$S$18&amp;"","Model",""&amp;$P62&amp;""),0)</f>
        <v>0</v>
      </c>
      <c r="S62" s="348" t="s">
        <v>202</v>
      </c>
      <c r="T62" s="349">
        <f t="shared" si="28"/>
        <v>0</v>
      </c>
      <c r="U62" s="349">
        <f>IFERROR(GETPIVOTDATA("Area AGM",'Pvt OS'!#REF!,"Dealer",""&amp;$S$18&amp;"","Model",""&amp;$S62&amp;""),0)</f>
        <v>0</v>
      </c>
      <c r="V62" s="349">
        <f t="shared" si="29"/>
        <v>0</v>
      </c>
      <c r="W62" s="350">
        <f>IFERROR(GETPIVOTDATA("Area AGM",'Pvt OS'!#REF!,"Dealer",""&amp;$S$18&amp;"","Model",""&amp;$S62&amp;""),0)+IFERROR(GETPIVOTDATA("Area AGM",'Pvt OS'!$A$8,"Dealer",""&amp;$S$18&amp;"","Model",""&amp;$S62&amp;""),0)</f>
        <v>0</v>
      </c>
      <c r="X62" s="349">
        <f t="shared" si="35"/>
        <v>0</v>
      </c>
      <c r="Y62" s="349">
        <f>IFERROR(GETPIVOTDATA("Area AGM",'Pvt OS'!$U$8,"Dealer",""&amp;$S$18&amp;"","Model",""&amp;$S62&amp;""),0)</f>
        <v>0</v>
      </c>
      <c r="Z62" s="349">
        <f>IFERROR(GETPIVOTDATA("Area AGM",'Pvt OS'!$M$8,"Dealer",""&amp;$S$18&amp;"","Model",""&amp;$S62&amp;""),0)</f>
        <v>0</v>
      </c>
      <c r="AA62" s="349">
        <f>IFERROR(GETPIVOTDATA("Area AGM",'Pvt OS'!#REF!,"Dealer",""&amp;$S$18&amp;"","Model",""&amp;$S62&amp;""),0)</f>
        <v>0</v>
      </c>
      <c r="AB62" s="349">
        <f>IFERROR(GETPIVOTDATA("Area AGM",'Pvt OS'!$AO$8,"Dealer",""&amp;$S$18&amp;"","Model",""&amp;$S62&amp;""),0)</f>
        <v>0</v>
      </c>
      <c r="AC62" s="349">
        <f>IFERROR(GETPIVOTDATA("Stock",#REF!,"Dealer",""&amp;$S$18&amp;"","Model",""&amp;$S62&amp;""),0)</f>
        <v>0</v>
      </c>
      <c r="AD62" s="350">
        <f>IFERROR(GETPIVOTDATA("MDP",#REF!,"Dealer",""&amp;$S$18&amp;"","Model",""&amp;$S62&amp;""),0)</f>
        <v>0</v>
      </c>
      <c r="AE62" s="350">
        <f>IFERROR(GETPIVOTDATA("RRN",#REF!,"Model2",""&amp;$S62&amp;"","Dealer",""&amp;$S$18&amp;""),0)</f>
        <v>0</v>
      </c>
      <c r="AF62" s="350">
        <f>IFERROR(GETPIVOTDATA("CO",#REF!,"Dealer Name",""&amp;$S$18&amp;"","Model",""&amp;$S62&amp;""),0)</f>
        <v>0</v>
      </c>
      <c r="AG62" s="349">
        <f>IFERROR(GETPIVOTDATA("Sum of Distplan Final",#REF!,"Dealer",""&amp;$S$18&amp;"","Model",""&amp;$S62&amp;""),0)</f>
        <v>0</v>
      </c>
      <c r="AH62" s="349">
        <f>IFERROR(GETPIVOTDATA("RRN",#REF!,"Model",""&amp;$S62&amp;"","Dealer",""&amp;$S$18&amp;""),0)</f>
        <v>0</v>
      </c>
      <c r="AI62" s="349">
        <f t="shared" si="30"/>
        <v>0</v>
      </c>
      <c r="AJ62" s="349">
        <f>IFERROR(GETPIVOTDATA("volume_rs",#REF!,"Model",""&amp;$S62&amp;"","Dealer",""&amp;$S$18&amp;""),0)</f>
        <v>0</v>
      </c>
      <c r="AK62" s="351">
        <f t="shared" si="31"/>
        <v>0</v>
      </c>
      <c r="AL62" s="351">
        <f>IFERROR(GETPIVOTDATA("Area AGM",'Pvt OS'!#REF!,"Dealer",""&amp;$S$18&amp;"","Model",""&amp;$S62&amp;""),0)</f>
        <v>0</v>
      </c>
      <c r="AM62" s="349">
        <f t="shared" si="32"/>
        <v>0</v>
      </c>
      <c r="AN62" s="351">
        <f>IFERROR(GETPIVOTDATA("Row Labels",#REF!,"Dealer",""&amp;$S$18&amp;"","Model",""&amp;$S62&amp;""),0)</f>
        <v>0</v>
      </c>
      <c r="AO62" s="351">
        <f>IFERROR(GETPIVOTDATA("RS Afi",#REF!,"Dealer",""&amp;$S$18&amp;"","Model",""&amp;$S62&amp;""),0)</f>
        <v>0</v>
      </c>
      <c r="AP62" s="351">
        <f>IFERROR(GETPIVOTDATA("qty",#REF!,"Model",""&amp;$S62&amp;"","Dealer",""&amp;$S$18&amp;""),0)</f>
        <v>0</v>
      </c>
      <c r="AQ62" s="351">
        <f>IFERROR(GETPIVOTDATA("volume_rs",#REF!,"Model",""&amp;$S62&amp;"","Dealer",""&amp;$S$18&amp;""),0)</f>
        <v>0</v>
      </c>
      <c r="AR62" s="349">
        <f t="shared" si="33"/>
        <v>0</v>
      </c>
      <c r="AS62" s="349">
        <f>IFERROR(GETPIVOTDATA("Area AGM",'Pvt OS'!#REF!,"Dealer",""&amp;$S$18&amp;"","Model",""&amp;$S62&amp;""),0)</f>
        <v>0</v>
      </c>
      <c r="AT62" s="349">
        <f t="shared" si="34"/>
        <v>0</v>
      </c>
      <c r="AU62" s="352"/>
      <c r="AV62" s="353"/>
      <c r="AW62" s="353"/>
      <c r="AX62" s="353"/>
      <c r="AY62" s="353"/>
      <c r="AZ62" s="353"/>
      <c r="BA62" s="354"/>
      <c r="BB62" s="355"/>
      <c r="BC62" s="354"/>
      <c r="BD62" s="356"/>
    </row>
    <row r="63" ht="26.25" customHeight="1" spans="2:56">
      <c r="M63" s="227"/>
      <c r="O63" s="227"/>
      <c r="P63" s="226" t="s">
        <v>203</v>
      </c>
      <c r="Q63" s="291">
        <f t="shared" si="26"/>
        <v>0</v>
      </c>
      <c r="R63" s="227">
        <f>IFERROR(GETPIVOTDATA("RS Target",#REF!,"Dealer",""&amp;$S$18&amp;"","Model",""&amp;$P63&amp;""),0)</f>
        <v>0</v>
      </c>
      <c r="S63" s="348" t="s">
        <v>203</v>
      </c>
      <c r="T63" s="349">
        <f t="shared" si="28"/>
        <v>0</v>
      </c>
      <c r="U63" s="349">
        <f>IFERROR(GETPIVOTDATA("Area AGM",'Pvt OS'!#REF!,"Dealer",""&amp;$S$18&amp;"","Model",""&amp;$S63&amp;""),0)</f>
        <v>0</v>
      </c>
      <c r="V63" s="349">
        <f t="shared" si="29"/>
        <v>0</v>
      </c>
      <c r="W63" s="350">
        <f>IFERROR(GETPIVOTDATA("Area AGM",'Pvt OS'!#REF!,"Dealer",""&amp;$S$18&amp;"","Model",""&amp;$S63&amp;""),0)+IFERROR(GETPIVOTDATA("Area AGM",'Pvt OS'!$A$8,"Dealer",""&amp;$S$18&amp;"","Model",""&amp;$S63&amp;""),0)</f>
        <v>0</v>
      </c>
      <c r="X63" s="349">
        <f t="shared" si="35"/>
        <v>0</v>
      </c>
      <c r="Y63" s="349">
        <f>IFERROR(GETPIVOTDATA("Area AGM",'Pvt OS'!$U$8,"Dealer",""&amp;$S$18&amp;"","Model",""&amp;$S63&amp;""),0)</f>
        <v>0</v>
      </c>
      <c r="Z63" s="349">
        <f>IFERROR(GETPIVOTDATA("Area AGM",'Pvt OS'!$M$8,"Dealer",""&amp;$S$18&amp;"","Model",""&amp;$S63&amp;""),0)</f>
        <v>0</v>
      </c>
      <c r="AA63" s="349">
        <f>IFERROR(GETPIVOTDATA("Area AGM",'Pvt OS'!#REF!,"Dealer",""&amp;$S$18&amp;"","Model",""&amp;$S63&amp;""),0)</f>
        <v>0</v>
      </c>
      <c r="AB63" s="349">
        <f>IFERROR(GETPIVOTDATA("Area AGM",'Pvt OS'!$AO$8,"Dealer",""&amp;$S$18&amp;"","Model",""&amp;$S63&amp;""),0)</f>
        <v>0</v>
      </c>
      <c r="AC63" s="349">
        <f>IFERROR(GETPIVOTDATA("Stock",#REF!,"Dealer",""&amp;$S$18&amp;"","Model",""&amp;$S63&amp;""),0)</f>
        <v>0</v>
      </c>
      <c r="AD63" s="350">
        <f>IFERROR(GETPIVOTDATA("MDP",#REF!,"Dealer",""&amp;$S$18&amp;"","Model",""&amp;$S63&amp;""),0)</f>
        <v>0</v>
      </c>
      <c r="AE63" s="350">
        <f>IFERROR(GETPIVOTDATA("RRN",#REF!,"Model2",""&amp;$S63&amp;"","Dealer",""&amp;$S$18&amp;""),0)</f>
        <v>0</v>
      </c>
      <c r="AF63" s="350">
        <f>IFERROR(GETPIVOTDATA("CO",#REF!,"Dealer Name",""&amp;$S$18&amp;"","Model",""&amp;$S63&amp;""),0)</f>
        <v>0</v>
      </c>
      <c r="AG63" s="349">
        <f>IFERROR(GETPIVOTDATA("Sum of Distplan Final",#REF!,"Dealer",""&amp;$S$18&amp;"","Model",""&amp;$S63&amp;""),0)</f>
        <v>0</v>
      </c>
      <c r="AH63" s="349">
        <f>IFERROR(GETPIVOTDATA("RRN",#REF!,"Model",""&amp;$S63&amp;"","Dealer",""&amp;$S$18&amp;""),0)</f>
        <v>0</v>
      </c>
      <c r="AI63" s="349">
        <f t="shared" si="30"/>
        <v>0</v>
      </c>
      <c r="AJ63" s="349">
        <f>IFERROR(GETPIVOTDATA("volume_rs",#REF!,"Model",""&amp;$S63&amp;"","Dealer",""&amp;$S$18&amp;""),0)</f>
        <v>0</v>
      </c>
      <c r="AK63" s="351">
        <f t="shared" si="31"/>
        <v>0</v>
      </c>
      <c r="AL63" s="351">
        <f>IFERROR(GETPIVOTDATA("Area AGM",'Pvt OS'!#REF!,"Dealer",""&amp;$S$18&amp;"","Model",""&amp;$S63&amp;""),0)</f>
        <v>0</v>
      </c>
      <c r="AM63" s="349">
        <f t="shared" si="32"/>
        <v>0</v>
      </c>
      <c r="AN63" s="351">
        <f>IFERROR(GETPIVOTDATA("Row Labels",#REF!,"Dealer",""&amp;$S$18&amp;"","Model",""&amp;$S63&amp;""),0)</f>
        <v>0</v>
      </c>
      <c r="AO63" s="351">
        <f>IFERROR(GETPIVOTDATA("RS Afi",#REF!,"Dealer",""&amp;$S$18&amp;"","Model",""&amp;$S63&amp;""),0)</f>
        <v>0</v>
      </c>
      <c r="AP63" s="351">
        <f>IFERROR(GETPIVOTDATA("qty",#REF!,"Model",""&amp;$S63&amp;"","Dealer",""&amp;$S$18&amp;""),0)</f>
        <v>0</v>
      </c>
      <c r="AQ63" s="351">
        <f>IFERROR(GETPIVOTDATA("volume_rs",#REF!,"Model",""&amp;$S63&amp;"","Dealer",""&amp;$S$18&amp;""),0)</f>
        <v>0</v>
      </c>
      <c r="AR63" s="349">
        <f t="shared" si="33"/>
        <v>0</v>
      </c>
      <c r="AS63" s="349">
        <f>IFERROR(GETPIVOTDATA("Area AGM",'Pvt OS'!#REF!,"Dealer",""&amp;$S$18&amp;"","Model",""&amp;$S63&amp;""),0)</f>
        <v>0</v>
      </c>
      <c r="AT63" s="349">
        <f t="shared" si="34"/>
        <v>0</v>
      </c>
      <c r="AU63" s="352"/>
      <c r="AV63" s="353"/>
      <c r="AW63" s="353"/>
      <c r="AX63" s="353"/>
      <c r="AY63" s="353"/>
      <c r="AZ63" s="353"/>
      <c r="BA63" s="354"/>
      <c r="BB63" s="355"/>
      <c r="BC63" s="354"/>
      <c r="BD63" s="356"/>
    </row>
    <row r="64" ht="26.25" customHeight="1" spans="2:56">
      <c r="M64" s="227"/>
      <c r="O64" s="227"/>
      <c r="P64" s="226" t="s">
        <v>204</v>
      </c>
      <c r="Q64" s="291">
        <f t="shared" si="26"/>
        <v>0</v>
      </c>
      <c r="R64" s="227">
        <f>IFERROR(GETPIVOTDATA("RS Target",#REF!,"Dealer",""&amp;$S$18&amp;"","Model",""&amp;$P64&amp;""),0)</f>
        <v>0</v>
      </c>
      <c r="S64" s="348" t="s">
        <v>204</v>
      </c>
      <c r="T64" s="349">
        <f t="shared" si="28"/>
        <v>0</v>
      </c>
      <c r="U64" s="349">
        <f>IFERROR(GETPIVOTDATA("Area AGM",'Pvt OS'!#REF!,"Dealer",""&amp;$S$18&amp;"","Model",""&amp;$S64&amp;""),0)</f>
        <v>0</v>
      </c>
      <c r="V64" s="349">
        <f t="shared" si="29"/>
        <v>0</v>
      </c>
      <c r="W64" s="350">
        <f>IFERROR(GETPIVOTDATA("Area AGM",'Pvt OS'!#REF!,"Dealer",""&amp;$S$18&amp;"","Model",""&amp;$S64&amp;""),0)+IFERROR(GETPIVOTDATA("Area AGM",'Pvt OS'!$A$8,"Dealer",""&amp;$S$18&amp;"","Model",""&amp;$S64&amp;""),0)</f>
        <v>0</v>
      </c>
      <c r="X64" s="349">
        <f t="shared" si="35"/>
        <v>0</v>
      </c>
      <c r="Y64" s="349">
        <f>IFERROR(GETPIVOTDATA("Area AGM",'Pvt OS'!$U$8,"Dealer",""&amp;$S$18&amp;"","Model",""&amp;$S64&amp;""),0)</f>
        <v>0</v>
      </c>
      <c r="Z64" s="349">
        <f>IFERROR(GETPIVOTDATA("Area AGM",'Pvt OS'!$M$8,"Dealer",""&amp;$S$18&amp;"","Model",""&amp;$S64&amp;""),0)</f>
        <v>0</v>
      </c>
      <c r="AA64" s="349">
        <f>IFERROR(GETPIVOTDATA("Area AGM",'Pvt OS'!#REF!,"Dealer",""&amp;$S$18&amp;"","Model",""&amp;$S64&amp;""),0)</f>
        <v>0</v>
      </c>
      <c r="AB64" s="349">
        <f>IFERROR(GETPIVOTDATA("Area AGM",'Pvt OS'!$AO$8,"Dealer",""&amp;$S$18&amp;"","Model",""&amp;$S64&amp;""),0)</f>
        <v>0</v>
      </c>
      <c r="AC64" s="349">
        <f>IFERROR(GETPIVOTDATA("Stock",#REF!,"Dealer",""&amp;$S$18&amp;"","Model",""&amp;$S64&amp;""),0)</f>
        <v>0</v>
      </c>
      <c r="AD64" s="350">
        <f>IFERROR(GETPIVOTDATA("MDP",#REF!,"Dealer",""&amp;$S$18&amp;"","Model",""&amp;$S64&amp;""),0)</f>
        <v>0</v>
      </c>
      <c r="AE64" s="350">
        <f>IFERROR(GETPIVOTDATA("RRN",#REF!,"Model2",""&amp;$S64&amp;"","Dealer",""&amp;$S$18&amp;""),0)</f>
        <v>0</v>
      </c>
      <c r="AF64" s="350">
        <f>IFERROR(GETPIVOTDATA("CO",#REF!,"Dealer Name",""&amp;$S$18&amp;"","Model",""&amp;$S64&amp;""),0)</f>
        <v>0</v>
      </c>
      <c r="AG64" s="349">
        <f>IFERROR(GETPIVOTDATA("Sum of Distplan Final",#REF!,"Dealer",""&amp;$S$18&amp;"","Model",""&amp;$S64&amp;""),0)</f>
        <v>0</v>
      </c>
      <c r="AH64" s="349">
        <f>IFERROR(GETPIVOTDATA("RRN",#REF!,"Model",""&amp;$S64&amp;"","Dealer",""&amp;$S$18&amp;""),0)</f>
        <v>0</v>
      </c>
      <c r="AI64" s="349">
        <f t="shared" si="30"/>
        <v>0</v>
      </c>
      <c r="AJ64" s="349">
        <f>IFERROR(GETPIVOTDATA("volume_rs",#REF!,"Model",""&amp;$S64&amp;"","Dealer",""&amp;$S$18&amp;""),0)</f>
        <v>0</v>
      </c>
      <c r="AK64" s="351">
        <f t="shared" si="31"/>
        <v>0</v>
      </c>
      <c r="AL64" s="351">
        <f>IFERROR(GETPIVOTDATA("Area AGM",'Pvt OS'!#REF!,"Dealer",""&amp;$S$18&amp;"","Model",""&amp;$S64&amp;""),0)</f>
        <v>0</v>
      </c>
      <c r="AM64" s="349">
        <f t="shared" si="32"/>
        <v>0</v>
      </c>
      <c r="AN64" s="351">
        <f>IFERROR(GETPIVOTDATA("Row Labels",#REF!,"Dealer",""&amp;$S$18&amp;"","Model",""&amp;$S64&amp;""),0)</f>
        <v>0</v>
      </c>
      <c r="AO64" s="351">
        <f>IFERROR(GETPIVOTDATA("RS Afi",#REF!,"Dealer",""&amp;$S$18&amp;"","Model",""&amp;$S64&amp;""),0)</f>
        <v>0</v>
      </c>
      <c r="AP64" s="351">
        <f>IFERROR(GETPIVOTDATA("qty",#REF!,"Model",""&amp;$S64&amp;"","Dealer",""&amp;$S$18&amp;""),0)</f>
        <v>0</v>
      </c>
      <c r="AQ64" s="351">
        <f>IFERROR(GETPIVOTDATA("volume_rs",#REF!,"Model",""&amp;$S64&amp;"","Dealer",""&amp;$S$18&amp;""),0)</f>
        <v>0</v>
      </c>
      <c r="AR64" s="349">
        <f t="shared" si="33"/>
        <v>0</v>
      </c>
      <c r="AS64" s="349">
        <f>IFERROR(GETPIVOTDATA("Area AGM",'Pvt OS'!#REF!,"Dealer",""&amp;$S$18&amp;"","Model",""&amp;$S64&amp;""),0)</f>
        <v>0</v>
      </c>
      <c r="AT64" s="349">
        <f t="shared" si="34"/>
        <v>0</v>
      </c>
      <c r="AU64" s="352"/>
      <c r="AV64" s="353"/>
      <c r="AW64" s="353"/>
      <c r="AX64" s="353"/>
      <c r="AY64" s="353"/>
      <c r="AZ64" s="353"/>
      <c r="BA64" s="354"/>
      <c r="BB64" s="355"/>
      <c r="BC64" s="354"/>
      <c r="BD64" s="356"/>
    </row>
    <row r="65" ht="26.25" customHeight="1" spans="13:56">
      <c r="M65" s="227"/>
      <c r="O65" s="227"/>
      <c r="P65" s="226" t="s">
        <v>205</v>
      </c>
      <c r="Q65" s="291">
        <f t="shared" si="26"/>
        <v>0</v>
      </c>
      <c r="R65" s="227">
        <f>IFERROR(GETPIVOTDATA("RS Target",#REF!,"Dealer",""&amp;$S$18&amp;"","Model",""&amp;$P65&amp;""),0)</f>
        <v>0</v>
      </c>
      <c r="S65" s="348" t="s">
        <v>205</v>
      </c>
      <c r="T65" s="349">
        <f t="shared" si="28"/>
        <v>0</v>
      </c>
      <c r="U65" s="349">
        <f>IFERROR(GETPIVOTDATA("Area AGM",'Pvt OS'!#REF!,"Dealer",""&amp;$S$18&amp;"","Model",""&amp;$S65&amp;""),0)</f>
        <v>0</v>
      </c>
      <c r="V65" s="349">
        <f t="shared" si="29"/>
        <v>0</v>
      </c>
      <c r="W65" s="350">
        <f>IFERROR(GETPIVOTDATA("Area AGM",'Pvt OS'!#REF!,"Dealer",""&amp;$S$18&amp;"","Model",""&amp;$S65&amp;""),0)+IFERROR(GETPIVOTDATA("Area AGM",'Pvt OS'!$A$8,"Dealer",""&amp;$S$18&amp;"","Model",""&amp;$S65&amp;""),0)</f>
        <v>0</v>
      </c>
      <c r="X65" s="349">
        <f t="shared" si="35"/>
        <v>0</v>
      </c>
      <c r="Y65" s="349">
        <f>IFERROR(GETPIVOTDATA("Area AGM",'Pvt OS'!$U$8,"Dealer",""&amp;$S$18&amp;"","Model",""&amp;$S65&amp;""),0)</f>
        <v>0</v>
      </c>
      <c r="Z65" s="349">
        <f>IFERROR(GETPIVOTDATA("Area AGM",'Pvt OS'!$M$8,"Dealer",""&amp;$S$18&amp;"","Model",""&amp;$S65&amp;""),0)</f>
        <v>0</v>
      </c>
      <c r="AA65" s="349">
        <f>IFERROR(GETPIVOTDATA("Area AGM",'Pvt OS'!#REF!,"Dealer",""&amp;$S$18&amp;"","Model",""&amp;$S65&amp;""),0)</f>
        <v>0</v>
      </c>
      <c r="AB65" s="349">
        <f>IFERROR(GETPIVOTDATA("Area AGM",'Pvt OS'!$AO$8,"Dealer",""&amp;$S$18&amp;"","Model",""&amp;$S65&amp;""),0)</f>
        <v>0</v>
      </c>
      <c r="AC65" s="349">
        <f>IFERROR(GETPIVOTDATA("Stock",#REF!,"Dealer",""&amp;$S$18&amp;"","Model",""&amp;$S65&amp;""),0)</f>
        <v>0</v>
      </c>
      <c r="AD65" s="350">
        <f>IFERROR(GETPIVOTDATA("MDP",#REF!,"Dealer",""&amp;$S$18&amp;"","Model",""&amp;$S65&amp;""),0)</f>
        <v>0</v>
      </c>
      <c r="AE65" s="350">
        <f>IFERROR(GETPIVOTDATA("RRN",#REF!,"Model2",""&amp;$S65&amp;"","Dealer",""&amp;$S$18&amp;""),0)</f>
        <v>0</v>
      </c>
      <c r="AF65" s="350">
        <f>IFERROR(GETPIVOTDATA("CO",#REF!,"Dealer Name",""&amp;$S$18&amp;"","Model",""&amp;$S65&amp;""),0)</f>
        <v>0</v>
      </c>
      <c r="AG65" s="349">
        <f>IFERROR(GETPIVOTDATA("Sum of Distplan Final",#REF!,"Dealer",""&amp;$S$18&amp;"","Model",""&amp;$S65&amp;""),0)</f>
        <v>0</v>
      </c>
      <c r="AH65" s="349">
        <f>IFERROR(GETPIVOTDATA("RRN",#REF!,"Model",""&amp;$S65&amp;"","Dealer",""&amp;$S$18&amp;""),0)</f>
        <v>0</v>
      </c>
      <c r="AI65" s="349">
        <f t="shared" si="30"/>
        <v>0</v>
      </c>
      <c r="AJ65" s="349">
        <f>IFERROR(GETPIVOTDATA("volume_rs",#REF!,"Model",""&amp;$S65&amp;"","Dealer",""&amp;$S$18&amp;""),0)</f>
        <v>0</v>
      </c>
      <c r="AK65" s="351">
        <f t="shared" si="31"/>
        <v>0</v>
      </c>
      <c r="AL65" s="351">
        <f>IFERROR(GETPIVOTDATA("Area AGM",'Pvt OS'!#REF!,"Dealer",""&amp;$S$18&amp;"","Model",""&amp;$S65&amp;""),0)</f>
        <v>0</v>
      </c>
      <c r="AM65" s="349">
        <f t="shared" si="32"/>
        <v>0</v>
      </c>
      <c r="AN65" s="351">
        <f>IFERROR(GETPIVOTDATA("Row Labels",#REF!,"Dealer",""&amp;$S$18&amp;"","Model",""&amp;$S65&amp;""),0)</f>
        <v>0</v>
      </c>
      <c r="AO65" s="351">
        <f>IFERROR(GETPIVOTDATA("RS Afi",#REF!,"Dealer",""&amp;$S$18&amp;"","Model",""&amp;$S65&amp;""),0)</f>
        <v>0</v>
      </c>
      <c r="AP65" s="351">
        <f>IFERROR(GETPIVOTDATA("qty",#REF!,"Model",""&amp;$S65&amp;"","Dealer",""&amp;$S$18&amp;""),0)</f>
        <v>0</v>
      </c>
      <c r="AQ65" s="351">
        <f>IFERROR(GETPIVOTDATA("volume_rs",#REF!,"Model",""&amp;$S65&amp;"","Dealer",""&amp;$S$18&amp;""),0)</f>
        <v>0</v>
      </c>
      <c r="AR65" s="349">
        <f t="shared" si="33"/>
        <v>0</v>
      </c>
      <c r="AS65" s="349">
        <f>IFERROR(GETPIVOTDATA("Area AGM",'Pvt OS'!#REF!,"Dealer",""&amp;$S$18&amp;"","Model",""&amp;$S65&amp;""),0)</f>
        <v>0</v>
      </c>
      <c r="AT65" s="349">
        <f t="shared" si="34"/>
        <v>0</v>
      </c>
      <c r="AU65" s="352"/>
      <c r="AV65" s="353"/>
      <c r="AW65" s="353"/>
      <c r="AX65" s="353"/>
      <c r="AY65" s="353"/>
      <c r="AZ65" s="353"/>
      <c r="BA65" s="354"/>
      <c r="BB65" s="355"/>
      <c r="BC65" s="354"/>
      <c r="BD65" s="356"/>
    </row>
    <row r="66" ht="26.25" customHeight="1" spans="13:56">
      <c r="M66" s="227"/>
      <c r="O66" s="227"/>
      <c r="P66" s="226" t="s">
        <v>206</v>
      </c>
      <c r="Q66" s="291">
        <f t="shared" si="26"/>
        <v>0</v>
      </c>
      <c r="R66" s="227">
        <f>IFERROR(GETPIVOTDATA("RS Target",#REF!,"Dealer",""&amp;$S$18&amp;"","Model",""&amp;$P66&amp;""),0)</f>
        <v>0</v>
      </c>
      <c r="S66" s="348" t="s">
        <v>206</v>
      </c>
      <c r="T66" s="349">
        <f t="shared" si="28"/>
        <v>0</v>
      </c>
      <c r="U66" s="349">
        <f>IFERROR(GETPIVOTDATA("Area AGM",'Pvt OS'!#REF!,"Dealer",""&amp;$S$18&amp;"","Model",""&amp;$S66&amp;""),0)</f>
        <v>0</v>
      </c>
      <c r="V66" s="349">
        <f t="shared" si="29"/>
        <v>0</v>
      </c>
      <c r="W66" s="350">
        <f>IFERROR(GETPIVOTDATA("Area AGM",'Pvt OS'!#REF!,"Dealer",""&amp;$S$18&amp;"","Model",""&amp;$S66&amp;""),0)+IFERROR(GETPIVOTDATA("Area AGM",'Pvt OS'!$A$8,"Dealer",""&amp;$S$18&amp;"","Model",""&amp;$S66&amp;""),0)</f>
        <v>0</v>
      </c>
      <c r="X66" s="349">
        <f t="shared" si="35"/>
        <v>0</v>
      </c>
      <c r="Y66" s="349">
        <f>IFERROR(GETPIVOTDATA("Area AGM",'Pvt OS'!$U$8,"Dealer",""&amp;$S$18&amp;"","Model",""&amp;$S66&amp;""),0)</f>
        <v>0</v>
      </c>
      <c r="Z66" s="349">
        <f>IFERROR(GETPIVOTDATA("Area AGM",'Pvt OS'!$M$8,"Dealer",""&amp;$S$18&amp;"","Model",""&amp;$S66&amp;""),0)</f>
        <v>0</v>
      </c>
      <c r="AA66" s="349">
        <f>IFERROR(GETPIVOTDATA("Area AGM",'Pvt OS'!#REF!,"Dealer",""&amp;$S$18&amp;"","Model",""&amp;$S66&amp;""),0)</f>
        <v>0</v>
      </c>
      <c r="AB66" s="349">
        <f>IFERROR(GETPIVOTDATA("Area AGM",'Pvt OS'!$AO$8,"Dealer",""&amp;$S$18&amp;"","Model",""&amp;$S66&amp;""),0)</f>
        <v>0</v>
      </c>
      <c r="AC66" s="349">
        <f>IFERROR(GETPIVOTDATA("Stock",#REF!,"Dealer",""&amp;$S$18&amp;"","Model",""&amp;$S66&amp;""),0)</f>
        <v>0</v>
      </c>
      <c r="AD66" s="350">
        <f>IFERROR(GETPIVOTDATA("MDP",#REF!,"Dealer",""&amp;$S$18&amp;"","Model",""&amp;$S66&amp;""),0)</f>
        <v>0</v>
      </c>
      <c r="AE66" s="350">
        <f>IFERROR(GETPIVOTDATA("RRN",#REF!,"Model2",""&amp;$S66&amp;"","Dealer",""&amp;$S$18&amp;""),0)</f>
        <v>0</v>
      </c>
      <c r="AF66" s="350">
        <f>IFERROR(GETPIVOTDATA("CO",#REF!,"Dealer Name",""&amp;$S$18&amp;"","Model",""&amp;$S66&amp;""),0)</f>
        <v>0</v>
      </c>
      <c r="AG66" s="349">
        <f>IFERROR(GETPIVOTDATA("Sum of Distplan Final",#REF!,"Dealer",""&amp;$S$18&amp;"","Model",""&amp;$S66&amp;""),0)</f>
        <v>0</v>
      </c>
      <c r="AH66" s="349">
        <f>IFERROR(GETPIVOTDATA("RRN",#REF!,"Model",""&amp;$S66&amp;"","Dealer",""&amp;$S$18&amp;""),0)</f>
        <v>0</v>
      </c>
      <c r="AI66" s="349">
        <f t="shared" si="30"/>
        <v>0</v>
      </c>
      <c r="AJ66" s="349">
        <f>IFERROR(GETPIVOTDATA("volume_rs",#REF!,"Model",""&amp;$S66&amp;"","Dealer",""&amp;$S$18&amp;""),0)</f>
        <v>0</v>
      </c>
      <c r="AK66" s="351">
        <f t="shared" si="31"/>
        <v>0</v>
      </c>
      <c r="AL66" s="351">
        <f>IFERROR(GETPIVOTDATA("Area AGM",'Pvt OS'!#REF!,"Dealer",""&amp;$S$18&amp;"","Model",""&amp;$S66&amp;""),0)</f>
        <v>0</v>
      </c>
      <c r="AM66" s="349">
        <f t="shared" si="32"/>
        <v>0</v>
      </c>
      <c r="AN66" s="351">
        <f>IFERROR(GETPIVOTDATA("Row Labels",#REF!,"Dealer",""&amp;$S$18&amp;"","Model",""&amp;$S66&amp;""),0)</f>
        <v>0</v>
      </c>
      <c r="AO66" s="351">
        <f>IFERROR(GETPIVOTDATA("RS Afi",#REF!,"Dealer",""&amp;$S$18&amp;"","Model",""&amp;$S66&amp;""),0)</f>
        <v>0</v>
      </c>
      <c r="AP66" s="351">
        <f>IFERROR(GETPIVOTDATA("qty",#REF!,"Model",""&amp;$S66&amp;"","Dealer",""&amp;$S$18&amp;""),0)</f>
        <v>0</v>
      </c>
      <c r="AQ66" s="351">
        <f>IFERROR(GETPIVOTDATA("volume_rs",#REF!,"Model",""&amp;$S66&amp;"","Dealer",""&amp;$S$18&amp;""),0)</f>
        <v>0</v>
      </c>
      <c r="AR66" s="349">
        <f t="shared" si="33"/>
        <v>0</v>
      </c>
      <c r="AS66" s="349">
        <f>IFERROR(GETPIVOTDATA("Area AGM",'Pvt OS'!#REF!,"Dealer",""&amp;$S$18&amp;"","Model",""&amp;$S66&amp;""),0)</f>
        <v>0</v>
      </c>
      <c r="AT66" s="349">
        <f t="shared" si="34"/>
        <v>0</v>
      </c>
      <c r="AU66" s="352"/>
      <c r="AV66" s="353"/>
      <c r="AW66" s="353"/>
      <c r="AX66" s="353"/>
      <c r="AY66" s="353"/>
      <c r="AZ66" s="353"/>
      <c r="BA66" s="354"/>
      <c r="BB66" s="355"/>
      <c r="BC66" s="354"/>
      <c r="BD66" s="356"/>
    </row>
    <row r="67" ht="26.25" customHeight="1" spans="13:56">
      <c r="M67" s="227"/>
      <c r="O67" s="227"/>
      <c r="P67" s="226" t="s">
        <v>207</v>
      </c>
      <c r="Q67" s="291">
        <f t="shared" ref="Q67" si="37">IFERROR(R67/AI67,0)</f>
        <v>0</v>
      </c>
      <c r="R67" s="227">
        <f>IFERROR(GETPIVOTDATA("RS Target",#REF!,"Dealer",""&amp;$S$18&amp;"","Model",""&amp;$P67&amp;""),0)</f>
        <v>0</v>
      </c>
      <c r="S67" s="348" t="s">
        <v>207</v>
      </c>
      <c r="T67" s="349">
        <f t="shared" ref="T67" si="38">SUM(Y67:AB67,AO67)</f>
        <v>0</v>
      </c>
      <c r="U67" s="349">
        <f>IFERROR(GETPIVOTDATA("Area AGM",'Pvt OS'!#REF!,"Dealer",""&amp;$S$18&amp;"","Model",""&amp;$S67&amp;""),0)</f>
        <v>0</v>
      </c>
      <c r="V67" s="349">
        <f t="shared" ref="V67" si="39">W67-X67</f>
        <v>0</v>
      </c>
      <c r="W67" s="350">
        <f>IFERROR(GETPIVOTDATA("Area AGM",'Pvt OS'!#REF!,"Dealer",""&amp;$S$18&amp;"","Model",""&amp;$S67&amp;""),0)+IFERROR(GETPIVOTDATA("Area AGM",'Pvt OS'!$A$8,"Dealer",""&amp;$S$18&amp;"","Model",""&amp;$S67&amp;""),0)</f>
        <v>0</v>
      </c>
      <c r="X67" s="349">
        <f t="shared" ref="X67" si="40">SUM(Y67:AB67)</f>
        <v>0</v>
      </c>
      <c r="Y67" s="349">
        <f>IFERROR(GETPIVOTDATA("Area AGM",'Pvt OS'!$U$8,"Dealer",""&amp;$S$18&amp;"","Model",""&amp;$S67&amp;""),0)</f>
        <v>0</v>
      </c>
      <c r="Z67" s="349">
        <f>IFERROR(GETPIVOTDATA("Area AGM",'Pvt OS'!$M$8,"Dealer",""&amp;$S$18&amp;"","Model",""&amp;$S67&amp;""),0)</f>
        <v>0</v>
      </c>
      <c r="AA67" s="349">
        <f>IFERROR(GETPIVOTDATA("Area AGM",'Pvt OS'!#REF!,"Dealer",""&amp;$S$18&amp;"","Model",""&amp;$S67&amp;""),0)</f>
        <v>0</v>
      </c>
      <c r="AB67" s="349">
        <f>IFERROR(GETPIVOTDATA("Area AGM",'Pvt OS'!$AO$8,"Dealer",""&amp;$S$18&amp;"","Model",""&amp;$S67&amp;""),0)</f>
        <v>0</v>
      </c>
      <c r="AC67" s="349">
        <f>IFERROR(GETPIVOTDATA("Stock",#REF!,"Dealer",""&amp;$S$18&amp;"","Model",""&amp;$S67&amp;""),0)</f>
        <v>0</v>
      </c>
      <c r="AD67" s="350">
        <f>IFERROR(GETPIVOTDATA("MDP",#REF!,"Dealer",""&amp;$S$18&amp;"","Model",""&amp;$S67&amp;""),0)</f>
        <v>0</v>
      </c>
      <c r="AE67" s="350">
        <f>IFERROR(GETPIVOTDATA("RRN",#REF!,"Model2",""&amp;$S67&amp;"","Dealer",""&amp;$S$18&amp;""),0)</f>
        <v>0</v>
      </c>
      <c r="AF67" s="350">
        <f>IFERROR(GETPIVOTDATA("CO",#REF!,"Dealer Name",""&amp;$S$18&amp;"","Model",""&amp;$S67&amp;""),0)</f>
        <v>0</v>
      </c>
      <c r="AG67" s="349">
        <f>IFERROR(GETPIVOTDATA("Sum of Distplan Final",#REF!,"Dealer",""&amp;$S$18&amp;"","Model",""&amp;$S67&amp;""),0)</f>
        <v>0</v>
      </c>
      <c r="AH67" s="349">
        <f>IFERROR(GETPIVOTDATA("RRN",#REF!,"Model",""&amp;$S67&amp;"","Dealer",""&amp;$S$18&amp;""),0)</f>
        <v>0</v>
      </c>
      <c r="AI67" s="349">
        <f t="shared" ref="AI67" si="41">AC67+AD67+AF67+AG67-AH67</f>
        <v>0</v>
      </c>
      <c r="AJ67" s="349">
        <f>IFERROR(GETPIVOTDATA("volume_rs",#REF!,"Model",""&amp;$S67&amp;"","Dealer",""&amp;$S$18&amp;""),0)</f>
        <v>0</v>
      </c>
      <c r="AK67" s="351">
        <f t="shared" ref="AK67" si="42">AI67-AJ67-X67+AN67</f>
        <v>0</v>
      </c>
      <c r="AL67" s="351">
        <f>IFERROR(GETPIVOTDATA("Area AGM",'Pvt OS'!#REF!,"Dealer",""&amp;$S$18&amp;"","Model",""&amp;$S67&amp;""),0)</f>
        <v>0</v>
      </c>
      <c r="AM67" s="349">
        <f t="shared" ref="AM67" si="43">AK67+AL67</f>
        <v>0</v>
      </c>
      <c r="AN67" s="351">
        <f>IFERROR(GETPIVOTDATA("Row Labels",#REF!,"Dealer",""&amp;$S$18&amp;"","Model",""&amp;$S67&amp;""),0)</f>
        <v>0</v>
      </c>
      <c r="AO67" s="351">
        <f>IFERROR(GETPIVOTDATA("RS Afi",#REF!,"Dealer",""&amp;$S$18&amp;"","Model",""&amp;$S67&amp;""),0)</f>
        <v>0</v>
      </c>
      <c r="AP67" s="351">
        <f>IFERROR(GETPIVOTDATA("qty",#REF!,"Model",""&amp;$S67&amp;"","Dealer",""&amp;$S$18&amp;""),0)</f>
        <v>0</v>
      </c>
      <c r="AQ67" s="351">
        <f>IFERROR(GETPIVOTDATA("volume_rs",#REF!,"Model",""&amp;$S67&amp;"","Dealer",""&amp;$S$18&amp;""),0)</f>
        <v>0</v>
      </c>
      <c r="AR67" s="349">
        <f t="shared" ref="AR67" si="44">AP67-AQ67</f>
        <v>0</v>
      </c>
      <c r="AS67" s="349">
        <f>IFERROR(GETPIVOTDATA("Area AGM",'Pvt OS'!#REF!,"Dealer",""&amp;$S$18&amp;"","Model",""&amp;$S67&amp;""),0)</f>
        <v>0</v>
      </c>
      <c r="AT67" s="349">
        <f t="shared" ref="AT67" si="45">AR67-AS67</f>
        <v>0</v>
      </c>
      <c r="AU67" s="352"/>
      <c r="AV67" s="353"/>
      <c r="AW67" s="353"/>
      <c r="AX67" s="353"/>
      <c r="AY67" s="353"/>
      <c r="AZ67" s="353"/>
      <c r="BA67" s="354"/>
      <c r="BB67" s="355"/>
      <c r="BC67" s="354"/>
      <c r="BD67" s="356"/>
    </row>
  </sheetData>
  <autoFilter xmlns:etc="http://www.wps.cn/officeDocument/2017/etCustomData" ref="P20:R31" etc:filterBottomFollowUsedRange="0">
    <extLst/>
  </autoFilter>
  <mergeCells count="51">
    <mergeCell ref="AR19:AT19"/>
    <mergeCell ref="BA19:BD19"/>
    <mergeCell ref="AU35:AZ35"/>
    <mergeCell ref="AU36:AZ36"/>
    <mergeCell ref="AU37:AZ37"/>
    <mergeCell ref="AU38:AZ38"/>
    <mergeCell ref="AU39:AZ39"/>
    <mergeCell ref="AU40:AZ40"/>
    <mergeCell ref="AU41:AZ41"/>
    <mergeCell ref="AU42:AZ42"/>
    <mergeCell ref="AU58:AZ58"/>
    <mergeCell ref="AU59:AZ59"/>
    <mergeCell ref="AU60:AZ60"/>
    <mergeCell ref="AU61:AZ61"/>
    <mergeCell ref="AU62:AZ62"/>
    <mergeCell ref="AU63:AZ63"/>
    <mergeCell ref="AU64:AZ64"/>
    <mergeCell ref="AU65:AZ65"/>
    <mergeCell ref="AU66:AZ66"/>
    <mergeCell ref="AU67:AZ67"/>
    <mergeCell ref="B4:B6"/>
    <mergeCell ref="L7:L17"/>
    <mergeCell ref="S19:S20"/>
    <mergeCell ref="T19:T20"/>
    <mergeCell ref="U19:U20"/>
    <mergeCell ref="V19:V20"/>
    <mergeCell ref="W19:W20"/>
    <mergeCell ref="X19:X20"/>
    <mergeCell ref="Y19:Y20"/>
    <mergeCell ref="Z19:Z20"/>
    <mergeCell ref="AA19:AA20"/>
    <mergeCell ref="AB19:AB20"/>
    <mergeCell ref="AC19:AC20"/>
    <mergeCell ref="AD19:AD20"/>
    <mergeCell ref="AE19:AE20"/>
    <mergeCell ref="AF19:AF20"/>
    <mergeCell ref="AG19:AG20"/>
    <mergeCell ref="AH19:AH20"/>
    <mergeCell ref="AI19:AI20"/>
    <mergeCell ref="AJ19:AJ20"/>
    <mergeCell ref="AK19:AK20"/>
    <mergeCell ref="AL19:AL20"/>
    <mergeCell ref="AM19:AM20"/>
    <mergeCell ref="AN19:AN20"/>
    <mergeCell ref="AO19:AO20"/>
    <mergeCell ref="AP19:AP20"/>
    <mergeCell ref="AQ19:AQ20"/>
    <mergeCell ref="AU21:AZ31"/>
    <mergeCell ref="C4:G5"/>
    <mergeCell ref="I4:L5"/>
    <mergeCell ref="AU19:AZ20"/>
  </mergeCells>
  <conditionalFormatting sqref="Q20:Q67">
    <cfRule type="cellIs" dxfId="14" priority="1" operator="greaterThan">
      <formula>0.85</formula>
    </cfRule>
  </conditionalFormatting>
  <dataValidations count="1">
    <dataValidation type="list" allowBlank="1" showInputMessage="1" showErrorMessage="1" sqref="S18">
      <formula1>$P$7:$P$17</formula1>
    </dataValidation>
  </dataValidations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814"/>
  <sheetViews>
    <sheetView zoomScale="70" zoomScaleNormal="70" topLeftCell="H1" workbookViewId="0">
      <selection activeCell="P6" sqref="P6"/>
    </sheetView>
  </sheetViews>
  <sheetFormatPr defaultColWidth="9" defaultRowHeight="15"/>
  <cols>
    <col min="1" max="1" width="24.2666666666667" customWidth="1"/>
    <col min="2" max="2" width="0.180952380952381" customWidth="1"/>
    <col min="4" max="4" width="18.4190476190476" customWidth="1"/>
    <col min="6" max="6" width="37.2571428571429" customWidth="1"/>
    <col min="8" max="8" width="14.2761904761905" customWidth="1"/>
    <col min="9" max="9" width="25.5428571428571" customWidth="1"/>
    <col min="10" max="10" width="22.1809523809524" style="6" customWidth="1"/>
    <col min="11" max="11" width="9.18095238095238" style="6"/>
    <col min="12" max="12" width="22" customWidth="1"/>
    <col min="13" max="13" width="48.4571428571429" customWidth="1"/>
    <col min="17" max="17" width="26.9047619047619" customWidth="1"/>
    <col min="18" max="18" width="25.4571428571429" customWidth="1"/>
    <col min="19" max="19" width="21.4571428571429" customWidth="1"/>
    <col min="20" max="30" width="9" hidden="1" customWidth="1"/>
    <col min="31" max="31" width="27.1809523809524" customWidth="1"/>
    <col min="32" max="32" width="14" customWidth="1"/>
    <col min="33" max="33" width="5.81904761904762" customWidth="1"/>
    <col min="34" max="34" width="22" customWidth="1"/>
  </cols>
  <sheetData>
    <row r="1" ht="18.75" customHeight="1" spans="1:41">
      <c r="A1" s="101" t="s">
        <v>208</v>
      </c>
      <c r="B1" s="101"/>
      <c r="C1" s="101"/>
      <c r="D1" s="102" t="s">
        <v>140</v>
      </c>
      <c r="E1" s="103"/>
      <c r="F1" s="104" t="s">
        <v>209</v>
      </c>
      <c r="G1" s="103"/>
      <c r="H1" s="103"/>
      <c r="I1" s="103"/>
      <c r="J1" s="105"/>
      <c r="K1" s="105"/>
      <c r="L1" s="106"/>
      <c r="M1" s="106"/>
      <c r="N1" s="103"/>
      <c r="O1" s="103"/>
      <c r="P1" s="103"/>
      <c r="Q1" s="107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J1" s="106"/>
      <c r="AK1" s="106"/>
    </row>
    <row r="2" ht="21" spans="1:41">
      <c r="A2" s="101" t="s">
        <v>210</v>
      </c>
      <c r="B2" s="101"/>
      <c r="C2" s="101"/>
      <c r="D2" s="102"/>
      <c r="E2" s="103"/>
      <c r="F2" s="104"/>
      <c r="G2" s="103"/>
      <c r="H2" s="103"/>
      <c r="I2" s="103"/>
      <c r="J2" s="105"/>
      <c r="K2" s="105"/>
      <c r="L2" s="106"/>
      <c r="M2" s="106"/>
      <c r="N2" s="103"/>
      <c r="O2" s="103"/>
      <c r="P2" s="103"/>
      <c r="Q2" s="107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J2" s="106"/>
      <c r="AK2" s="106"/>
    </row>
    <row r="3" spans="1:41">
      <c r="C3" s="103"/>
      <c r="D3" s="106"/>
      <c r="E3" s="103"/>
      <c r="F3" s="106"/>
      <c r="G3" s="103"/>
      <c r="H3" s="103"/>
      <c r="I3" s="103"/>
      <c r="J3" s="105"/>
      <c r="K3" s="105"/>
      <c r="L3" s="106"/>
      <c r="M3" s="106"/>
      <c r="N3" s="103"/>
      <c r="O3" s="103"/>
      <c r="P3" s="103"/>
      <c r="Q3" s="107"/>
      <c r="R3" s="108" t="s">
        <v>211</v>
      </c>
      <c r="S3" s="108" t="s">
        <v>212</v>
      </c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J3" s="106"/>
      <c r="AK3" s="106"/>
    </row>
    <row r="4" ht="40" customHeight="1" spans="1:41">
      <c r="A4" s="109" t="s">
        <v>213</v>
      </c>
      <c r="D4" s="110" t="s">
        <v>214</v>
      </c>
      <c r="E4" s="111"/>
      <c r="F4" s="112"/>
      <c r="G4" s="113" t="s">
        <v>215</v>
      </c>
      <c r="H4" s="114"/>
      <c r="I4" s="115" t="s">
        <v>216</v>
      </c>
      <c r="J4" s="116" t="s">
        <v>217</v>
      </c>
      <c r="K4" s="117"/>
      <c r="L4" s="111"/>
      <c r="M4" s="112"/>
      <c r="N4" s="118" t="s">
        <v>218</v>
      </c>
      <c r="O4" s="119"/>
      <c r="P4" s="120"/>
      <c r="Q4" s="121" t="s">
        <v>219</v>
      </c>
      <c r="R4" s="621" t="s">
        <v>220</v>
      </c>
      <c r="S4" s="622" t="s">
        <v>221</v>
      </c>
      <c r="U4" s="623" t="s">
        <v>222</v>
      </c>
      <c r="V4" s="624" t="s">
        <v>222</v>
      </c>
      <c r="W4" s="625" t="s">
        <v>222</v>
      </c>
      <c r="X4" s="625" t="s">
        <v>222</v>
      </c>
      <c r="Y4" s="625" t="s">
        <v>222</v>
      </c>
      <c r="Z4" s="625" t="s">
        <v>222</v>
      </c>
      <c r="AA4" s="625" t="s">
        <v>222</v>
      </c>
      <c r="AB4" s="625" t="s">
        <v>223</v>
      </c>
      <c r="AC4" s="625" t="s">
        <v>222</v>
      </c>
      <c r="AD4" s="625" t="s">
        <v>222</v>
      </c>
      <c r="AE4" s="626" t="s">
        <v>224</v>
      </c>
      <c r="AJ4" s="106"/>
      <c r="AK4" s="106"/>
    </row>
    <row r="5" spans="1:41">
      <c r="A5" s="128" t="s">
        <v>225</v>
      </c>
      <c r="B5" s="129"/>
      <c r="C5" s="101" t="s">
        <v>226</v>
      </c>
      <c r="D5" s="130" t="s">
        <v>2</v>
      </c>
      <c r="E5" s="130" t="s">
        <v>3</v>
      </c>
      <c r="F5" s="130" t="s">
        <v>4</v>
      </c>
      <c r="G5" s="101" t="s">
        <v>227</v>
      </c>
      <c r="H5" s="101" t="s">
        <v>228</v>
      </c>
      <c r="I5" s="101" t="s">
        <v>229</v>
      </c>
      <c r="J5" s="131" t="s">
        <v>5</v>
      </c>
      <c r="K5" s="131" t="s">
        <v>6</v>
      </c>
      <c r="L5" s="101" t="s">
        <v>141</v>
      </c>
      <c r="M5" s="101" t="s">
        <v>230</v>
      </c>
      <c r="N5" s="101" t="s">
        <v>231</v>
      </c>
      <c r="O5" s="101" t="s">
        <v>232</v>
      </c>
      <c r="P5" s="101" t="s">
        <v>233</v>
      </c>
      <c r="Q5" s="132" t="s">
        <v>7</v>
      </c>
      <c r="R5" s="124" t="s">
        <v>8</v>
      </c>
      <c r="S5" s="124" t="s">
        <v>9</v>
      </c>
      <c r="T5" s="101" t="s">
        <v>234</v>
      </c>
      <c r="U5" s="124" t="s">
        <v>235</v>
      </c>
      <c r="V5" s="125" t="s">
        <v>236</v>
      </c>
      <c r="W5" s="101" t="s">
        <v>237</v>
      </c>
      <c r="X5" s="101" t="s">
        <v>238</v>
      </c>
      <c r="Y5" s="101" t="s">
        <v>239</v>
      </c>
      <c r="Z5" s="101" t="s">
        <v>240</v>
      </c>
      <c r="AA5" s="101" t="s">
        <v>241</v>
      </c>
      <c r="AB5" s="101" t="s">
        <v>242</v>
      </c>
      <c r="AC5" s="101" t="s">
        <v>243</v>
      </c>
      <c r="AD5" s="101" t="s">
        <v>244</v>
      </c>
      <c r="AE5" s="124" t="s">
        <v>245</v>
      </c>
      <c r="AF5" s="128" t="s">
        <v>246</v>
      </c>
      <c r="AG5" s="128" t="s">
        <v>247</v>
      </c>
      <c r="AH5" s="133" t="s">
        <v>248</v>
      </c>
      <c r="AI5" s="128" t="s">
        <v>249</v>
      </c>
      <c r="AJ5" s="128" t="s">
        <v>250</v>
      </c>
      <c r="AK5" s="128" t="s">
        <v>251</v>
      </c>
      <c r="AL5" s="128" t="s">
        <v>250</v>
      </c>
    </row>
    <row r="6" ht="15.75" spans="1:41">
      <c r="A6" s="134">
        <v>46244</v>
      </c>
      <c r="B6" s="135"/>
      <c r="C6" s="136">
        <v>1</v>
      </c>
      <c r="D6" s="136" t="s">
        <v>140</v>
      </c>
      <c r="E6" s="19"/>
      <c r="F6" s="137" t="s">
        <v>252</v>
      </c>
      <c r="G6" s="138" t="str">
        <f>VLOOKUP($F6,List!$D$5:$G$35,3,0)</f>
        <v>Area 1</v>
      </c>
      <c r="H6" s="138" t="str">
        <f>VLOOKUP($F6,List!$D$5:$G$35,4,0)</f>
        <v>Area 1 - West Java</v>
      </c>
      <c r="I6" s="126" t="str">
        <f>J6&amp;K6</f>
        <v>NGC200R-DHXHKD00</v>
      </c>
      <c r="J6" s="139" t="s">
        <v>253</v>
      </c>
      <c r="K6" s="627" t="s">
        <v>254</v>
      </c>
      <c r="L6" s="20" t="str">
        <f>VLOOKUP(I6,'List Model'!A:E,4,0)</f>
        <v>YARIS CROSS GASOLINE</v>
      </c>
      <c r="M6" s="20" t="str">
        <f>VLOOKUP(I6,'List Model'!A:E,5,0)</f>
        <v>YARIS CROSS GASOLINE 1.5S CVT TSS</v>
      </c>
      <c r="N6" s="126">
        <f>IF($Q6="",0,_xlfn.DAYS($A$6,$Q6)+1)</f>
        <v>90</v>
      </c>
      <c r="O6" s="126" t="str">
        <f t="shared" ref="O6:O7" si="0">IF($N6=0,"0",IF(AND($N6&gt;=1,$N6&lt;=7),"1 Minggu",IF(AND($N6&gt;=8,$N6&lt;=14),"2 Minggu",IF(AND($N6&gt;=15,$N6&lt;=21),"3 Minggu",IF(AND($N6&gt;=22,$N6&lt;=28),"4 Minggu",IF($N6&gt;=29,"&gt; 4 Minggu",0))))))</f>
        <v>&gt; 4 Minggu</v>
      </c>
      <c r="P6" s="126" t="str">
        <f t="shared" ref="P6:P7" si="1">IF($N6=0,"0",IF(AND($N6&gt;=0,$N6&lt;30),"&lt;30D",IF(AND($N6&gt;=30,$N6&lt;=60),"30D-60D",IF($N6&gt;60,"&gt;60D",0))))</f>
        <v>&gt;60D</v>
      </c>
      <c r="Q6" s="140">
        <v>46155</v>
      </c>
      <c r="R6" s="141" t="s">
        <v>13</v>
      </c>
      <c r="S6" s="141" t="s">
        <v>16</v>
      </c>
      <c r="T6" s="19"/>
      <c r="U6" s="19"/>
      <c r="V6" s="126"/>
      <c r="W6" s="19"/>
      <c r="X6" s="19"/>
      <c r="Y6" s="19"/>
      <c r="Z6" s="19"/>
      <c r="AA6" s="19"/>
      <c r="AB6" s="19"/>
      <c r="AC6" s="19"/>
      <c r="AD6" s="19"/>
      <c r="AE6" s="142" t="s">
        <v>255</v>
      </c>
      <c r="AF6" s="142" t="s">
        <v>256</v>
      </c>
      <c r="AG6" s="143"/>
      <c r="AH6" s="142" t="s">
        <v>257</v>
      </c>
      <c r="AI6" s="143"/>
      <c r="AJ6" s="142" t="s">
        <v>258</v>
      </c>
      <c r="AK6" s="143">
        <v>2026</v>
      </c>
      <c r="AL6" s="144"/>
      <c r="AM6" s="145">
        <v>0.2</v>
      </c>
      <c r="AN6" s="145"/>
      <c r="AO6" s="145"/>
    </row>
    <row r="7" spans="1:41">
      <c r="C7" s="136">
        <v>2</v>
      </c>
      <c r="D7" s="136" t="s">
        <v>140</v>
      </c>
      <c r="E7" s="19"/>
      <c r="F7" s="137" t="s">
        <v>252</v>
      </c>
      <c r="G7" s="138" t="str">
        <f>VLOOKUP($F7,List!$D$5:$G$35,3,0)</f>
        <v>Area 1</v>
      </c>
      <c r="H7" s="138" t="str">
        <f>VLOOKUP($F7,List!$D$5:$G$35,4,0)</f>
        <v>Area 1 - West Java</v>
      </c>
      <c r="I7" s="126" t="str">
        <f t="shared" ref="I7" si="2">J7&amp;K7</f>
        <v>KDH223R-LEMDY00</v>
      </c>
      <c r="J7" s="139" t="s">
        <v>259</v>
      </c>
      <c r="K7" s="627" t="s">
        <v>254</v>
      </c>
      <c r="L7" s="20" t="str">
        <f>VLOOKUP(I7,'List Model'!A:E,4,0)</f>
        <v>HIACE</v>
      </c>
      <c r="M7" s="20" t="str">
        <f>VLOOKUP(I7,'List Model'!A:E,5,0)</f>
        <v>HI ACE COMMUTER M/T</v>
      </c>
      <c r="N7" s="126">
        <f t="shared" ref="N7:N58" si="3">IF($Q7="",0,_xlfn.DAYS($A$6,$Q7)+1)</f>
        <v>33</v>
      </c>
      <c r="O7" s="126" t="str">
        <f t="shared" si="0"/>
        <v>&gt; 4 Minggu</v>
      </c>
      <c r="P7" s="126" t="str">
        <f t="shared" si="1"/>
        <v>30D-60D</v>
      </c>
      <c r="Q7" s="140">
        <v>46212</v>
      </c>
      <c r="R7" s="141" t="s">
        <v>13</v>
      </c>
      <c r="S7" s="141" t="s">
        <v>16</v>
      </c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42" t="s">
        <v>260</v>
      </c>
      <c r="AF7" s="142" t="s">
        <v>256</v>
      </c>
      <c r="AG7" s="143"/>
      <c r="AH7" s="142" t="s">
        <v>261</v>
      </c>
      <c r="AI7" s="143"/>
      <c r="AJ7" s="142" t="s">
        <v>262</v>
      </c>
      <c r="AK7" s="143">
        <v>2026</v>
      </c>
      <c r="AL7" s="144"/>
      <c r="AM7" s="145">
        <v>0.2</v>
      </c>
      <c r="AN7" s="145"/>
      <c r="AO7" s="145"/>
    </row>
    <row r="8" spans="1:41">
      <c r="C8" s="136">
        <v>3</v>
      </c>
      <c r="D8" s="136" t="s">
        <v>140</v>
      </c>
      <c r="E8" s="19"/>
      <c r="F8" s="137" t="s">
        <v>252</v>
      </c>
      <c r="G8" s="138" t="str">
        <f>VLOOKUP($F8,List!$D$5:$G$35,3,0)</f>
        <v>Area 1</v>
      </c>
      <c r="H8" s="138" t="str">
        <f>VLOOKUP($F8,List!$D$5:$G$35,4,0)</f>
        <v>Area 1 - West Java</v>
      </c>
      <c r="I8" s="126" t="str">
        <f t="shared" ref="I8" si="4">J8&amp;K8</f>
        <v>KDH223R-LEMDY00</v>
      </c>
      <c r="J8" s="139" t="s">
        <v>259</v>
      </c>
      <c r="K8" s="627" t="s">
        <v>254</v>
      </c>
      <c r="L8" s="20" t="str">
        <f>VLOOKUP(I8,'List Model'!A:E,4,0)</f>
        <v>HIACE</v>
      </c>
      <c r="M8" s="20" t="str">
        <f>VLOOKUP(I8,'List Model'!A:E,5,0)</f>
        <v>HI ACE COMMUTER M/T</v>
      </c>
      <c r="N8" s="126">
        <f t="shared" si="3"/>
        <v>33</v>
      </c>
      <c r="O8" s="126" t="str">
        <f t="shared" ref="O8" si="5">IF($N8=0,"0",IF(AND($N8&gt;=1,$N8&lt;=7),"1 Minggu",IF(AND($N8&gt;=8,$N8&lt;=14),"2 Minggu",IF(AND($N8&gt;=15,$N8&lt;=21),"3 Minggu",IF(AND($N8&gt;=22,$N8&lt;=28),"4 Minggu",IF($N8&gt;=29,"&gt; 4 Minggu",0))))))</f>
        <v>&gt; 4 Minggu</v>
      </c>
      <c r="P8" s="126" t="str">
        <f t="shared" ref="P8" si="6">IF($N8=0,"0",IF(AND($N8&gt;=0,$N8&lt;30),"&lt;30D",IF(AND($N8&gt;=30,$N8&lt;=60),"30D-60D",IF($N8&gt;60,"&gt;60D",0))))</f>
        <v>30D-60D</v>
      </c>
      <c r="Q8" s="140">
        <v>46212</v>
      </c>
      <c r="R8" s="141" t="s">
        <v>13</v>
      </c>
      <c r="S8" s="141" t="s">
        <v>16</v>
      </c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42" t="s">
        <v>263</v>
      </c>
      <c r="AF8" s="142" t="s">
        <v>264</v>
      </c>
      <c r="AG8" s="143"/>
      <c r="AH8" s="142" t="s">
        <v>261</v>
      </c>
      <c r="AI8" s="143"/>
      <c r="AJ8" s="142" t="s">
        <v>262</v>
      </c>
      <c r="AK8" s="143">
        <v>2026</v>
      </c>
      <c r="AL8" s="146"/>
      <c r="AM8" s="145">
        <v>0.2</v>
      </c>
      <c r="AN8" s="146"/>
      <c r="AO8" s="143"/>
    </row>
    <row r="9" spans="1:41">
      <c r="C9" s="136">
        <v>4</v>
      </c>
      <c r="D9" s="136" t="s">
        <v>140</v>
      </c>
      <c r="E9" s="19"/>
      <c r="F9" s="137" t="s">
        <v>252</v>
      </c>
      <c r="G9" s="138" t="str">
        <f>VLOOKUP($F9,List!$D$5:$G$35,3,0)</f>
        <v>Area 1</v>
      </c>
      <c r="H9" s="138" t="str">
        <f>VLOOKUP($F9,List!$D$5:$G$35,4,0)</f>
        <v>Area 1 - West Java</v>
      </c>
      <c r="I9" s="126" t="str">
        <f t="shared" ref="I9:I10" si="7">J9&amp;K9</f>
        <v>MAGH10R-BPXHBD10</v>
      </c>
      <c r="J9" s="139" t="s">
        <v>265</v>
      </c>
      <c r="K9" s="139">
        <v>10</v>
      </c>
      <c r="L9" s="20" t="str">
        <f>VLOOKUP(I9,'List Model'!A:E,4,0)</f>
        <v>INNOVA ZENIX HYBRID</v>
      </c>
      <c r="M9" s="20" t="str">
        <f>VLOOKUP(I9,'List Model'!A:E,5,0)</f>
        <v>INNOVA ZENIX HYBRID 2.0Q HV CVT TSS</v>
      </c>
      <c r="N9" s="126">
        <f t="shared" si="3"/>
        <v>32</v>
      </c>
      <c r="O9" s="126" t="str">
        <f t="shared" ref="O9:O10" si="8">IF($N9=0,"0",IF(AND($N9&gt;=1,$N9&lt;=7),"1 Minggu",IF(AND($N9&gt;=8,$N9&lt;=14),"2 Minggu",IF(AND($N9&gt;=15,$N9&lt;=21),"3 Minggu",IF(AND($N9&gt;=22,$N9&lt;=28),"4 Minggu",IF($N9&gt;=29,"&gt; 4 Minggu",0))))))</f>
        <v>&gt; 4 Minggu</v>
      </c>
      <c r="P9" s="126" t="str">
        <f t="shared" ref="P9:P10" si="9">IF($N9=0,"0",IF(AND($N9&gt;=0,$N9&lt;30),"&lt;30D",IF(AND($N9&gt;=30,$N9&lt;=60),"30D-60D",IF($N9&gt;60,"&gt;60D",0))))</f>
        <v>30D-60D</v>
      </c>
      <c r="Q9" s="140">
        <v>46213</v>
      </c>
      <c r="R9" s="141" t="s">
        <v>13</v>
      </c>
      <c r="S9" s="141" t="s">
        <v>16</v>
      </c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42" t="s">
        <v>266</v>
      </c>
      <c r="AF9" s="142" t="s">
        <v>267</v>
      </c>
      <c r="AG9" s="143"/>
      <c r="AH9" s="142" t="s">
        <v>257</v>
      </c>
      <c r="AI9" s="143"/>
      <c r="AJ9" s="142" t="s">
        <v>262</v>
      </c>
      <c r="AK9" s="143">
        <v>2026</v>
      </c>
      <c r="AL9" s="143"/>
      <c r="AM9" s="145">
        <v>0.2</v>
      </c>
      <c r="AN9" s="147"/>
      <c r="AO9" s="145"/>
    </row>
    <row r="10" spans="1:41">
      <c r="C10" s="136">
        <v>5</v>
      </c>
      <c r="D10" s="136" t="s">
        <v>140</v>
      </c>
      <c r="E10" s="19"/>
      <c r="F10" s="137" t="s">
        <v>252</v>
      </c>
      <c r="G10" s="138" t="str">
        <f>VLOOKUP($F10,List!$D$5:$G$35,3,0)</f>
        <v>Area 1</v>
      </c>
      <c r="H10" s="138" t="str">
        <f>VLOOKUP($F10,List!$D$5:$G$35,4,0)</f>
        <v>Area 1 - West Java</v>
      </c>
      <c r="I10" s="126" t="str">
        <f t="shared" si="7"/>
        <v>GUN126R-DTTHXT00</v>
      </c>
      <c r="J10" t="s">
        <v>268</v>
      </c>
      <c r="K10" t="s">
        <v>254</v>
      </c>
      <c r="L10" s="20" t="str">
        <f>VLOOKUP(I10,'List Model'!A:E,4,0)</f>
        <v>HILUX D-CAB</v>
      </c>
      <c r="M10" s="20" t="str">
        <f>VLOOKUP(I10,'List Model'!A:E,5,0)</f>
        <v>HILUX 2.8 GR-S DOUBLE CABIN 4X4 A/T</v>
      </c>
      <c r="N10" s="126">
        <f t="shared" si="3"/>
        <v>32</v>
      </c>
      <c r="O10" s="126" t="str">
        <f t="shared" si="8"/>
        <v>&gt; 4 Minggu</v>
      </c>
      <c r="P10" s="126" t="str">
        <f t="shared" si="9"/>
        <v>30D-60D</v>
      </c>
      <c r="Q10" s="140">
        <v>46213</v>
      </c>
      <c r="R10" s="141" t="s">
        <v>13</v>
      </c>
      <c r="S10" s="141" t="s">
        <v>16</v>
      </c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42" t="s">
        <v>266</v>
      </c>
      <c r="AF10" s="142" t="s">
        <v>267</v>
      </c>
      <c r="AG10" s="143"/>
      <c r="AH10" s="142" t="s">
        <v>269</v>
      </c>
      <c r="AI10" s="143"/>
      <c r="AJ10" s="142" t="s">
        <v>262</v>
      </c>
      <c r="AK10" s="143">
        <v>2026</v>
      </c>
      <c r="AL10" s="143"/>
      <c r="AM10" s="145">
        <v>0.2</v>
      </c>
      <c r="AN10" s="143"/>
      <c r="AO10" s="145"/>
    </row>
    <row r="11" spans="1:41">
      <c r="C11" s="136">
        <v>6</v>
      </c>
      <c r="D11" s="136" t="s">
        <v>140</v>
      </c>
      <c r="E11" s="19"/>
      <c r="F11" s="137" t="s">
        <v>252</v>
      </c>
      <c r="G11" s="138" t="str">
        <f>VLOOKUP($F11,List!$D$5:$G$35,3,0)</f>
        <v>Area 1</v>
      </c>
      <c r="H11" s="138" t="str">
        <f>VLOOKUP($F11,List!$D$5:$G$35,4,0)</f>
        <v>Area 1 - West Java</v>
      </c>
      <c r="I11" s="126" t="str">
        <f t="shared" ref="I11:I23" si="10">J11&amp;K11</f>
        <v>GUN166R-SDTHXD31</v>
      </c>
      <c r="J11" s="139" t="s">
        <v>270</v>
      </c>
      <c r="K11" s="139">
        <v>31</v>
      </c>
      <c r="L11" s="20" t="str">
        <f>VLOOKUP(I11,'List Model'!A:E,4,0)</f>
        <v>FORTUNER 4X2</v>
      </c>
      <c r="M11" s="20" t="str">
        <f>VLOOKUP(I11,'List Model'!A:E,5,0)</f>
        <v>Fortuner 2.8 VRZ 4X2 A/T</v>
      </c>
      <c r="N11" s="126">
        <f t="shared" si="3"/>
        <v>28</v>
      </c>
      <c r="O11" s="126" t="str">
        <f t="shared" ref="O11:O23" si="11">IF($N11=0,"0",IF(AND($N11&gt;=1,$N11&lt;=7),"1 Minggu",IF(AND($N11&gt;=8,$N11&lt;=14),"2 Minggu",IF(AND($N11&gt;=15,$N11&lt;=21),"3 Minggu",IF(AND($N11&gt;=22,$N11&lt;=28),"4 Minggu",IF($N11&gt;=29,"&gt; 4 Minggu",0))))))</f>
        <v>4 Minggu</v>
      </c>
      <c r="P11" s="126" t="str">
        <f t="shared" ref="P11:P23" si="12">IF($N11=0,"0",IF(AND($N11&gt;=0,$N11&lt;30),"&lt;30D",IF(AND($N11&gt;=30,$N11&lt;=60),"30D-60D",IF($N11&gt;60,"&gt;60D",0))))</f>
        <v>&lt;30D</v>
      </c>
      <c r="Q11" s="140">
        <v>46217</v>
      </c>
      <c r="R11" s="141" t="s">
        <v>11</v>
      </c>
      <c r="S11" s="141" t="s">
        <v>14</v>
      </c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42" t="s">
        <v>271</v>
      </c>
      <c r="AF11" s="142" t="s">
        <v>272</v>
      </c>
      <c r="AG11" s="143"/>
      <c r="AH11" s="142" t="s">
        <v>257</v>
      </c>
      <c r="AI11" s="143"/>
      <c r="AJ11" s="142" t="s">
        <v>262</v>
      </c>
      <c r="AK11" s="143">
        <v>2026</v>
      </c>
      <c r="AL11" s="143"/>
      <c r="AM11" s="145">
        <v>0.2</v>
      </c>
      <c r="AN11" s="143"/>
      <c r="AO11" s="148"/>
    </row>
    <row r="12" spans="1:41">
      <c r="C12" s="136">
        <v>7</v>
      </c>
      <c r="D12" s="136" t="s">
        <v>140</v>
      </c>
      <c r="E12" s="19"/>
      <c r="F12" s="137" t="s">
        <v>252</v>
      </c>
      <c r="G12" s="138" t="str">
        <f>VLOOKUP($F12,List!$D$5:$G$35,3,0)</f>
        <v>Area 1</v>
      </c>
      <c r="H12" s="138" t="str">
        <f>VLOOKUP($F12,List!$D$5:$G$35,4,0)</f>
        <v>Area 1 - West Java</v>
      </c>
      <c r="I12" s="126" t="str">
        <f t="shared" si="10"/>
        <v>W101RE-LBMFJ00</v>
      </c>
      <c r="J12" s="139" t="s">
        <v>273</v>
      </c>
      <c r="K12" s="627" t="s">
        <v>254</v>
      </c>
      <c r="L12" s="20" t="str">
        <f>VLOOKUP(I12,'List Model'!A:E,4,0)</f>
        <v>AVANZA NEW</v>
      </c>
      <c r="M12" s="20" t="str">
        <f>VLOOKUP(I12,'List Model'!A:E,5,0)</f>
        <v>NEW AVANZA 1.5G CVT</v>
      </c>
      <c r="N12" s="126">
        <f t="shared" si="3"/>
        <v>25</v>
      </c>
      <c r="O12" s="126" t="str">
        <f t="shared" si="11"/>
        <v>4 Minggu</v>
      </c>
      <c r="P12" s="126" t="str">
        <f t="shared" si="12"/>
        <v>&lt;30D</v>
      </c>
      <c r="Q12" s="140">
        <v>46220</v>
      </c>
      <c r="R12" s="141" t="s">
        <v>13</v>
      </c>
      <c r="S12" s="141" t="s">
        <v>14</v>
      </c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42" t="s">
        <v>274</v>
      </c>
      <c r="AF12" s="142" t="s">
        <v>272</v>
      </c>
      <c r="AG12" s="143"/>
      <c r="AH12" s="142" t="s">
        <v>275</v>
      </c>
      <c r="AI12" s="149"/>
      <c r="AJ12" s="142" t="s">
        <v>276</v>
      </c>
      <c r="AK12" s="143">
        <v>2026</v>
      </c>
      <c r="AL12" s="143"/>
      <c r="AM12" s="145">
        <v>0.2</v>
      </c>
      <c r="AN12" s="143"/>
      <c r="AO12" s="145"/>
    </row>
    <row r="13" spans="1:41">
      <c r="C13" s="136">
        <v>8</v>
      </c>
      <c r="D13" s="136" t="s">
        <v>140</v>
      </c>
      <c r="E13" s="19"/>
      <c r="F13" s="137" t="s">
        <v>252</v>
      </c>
      <c r="G13" s="138" t="str">
        <f>VLOOKUP($F13,List!$D$5:$G$35,3,0)</f>
        <v>Area 1</v>
      </c>
      <c r="H13" s="138" t="str">
        <f>VLOOKUP($F13,List!$D$5:$G$35,4,0)</f>
        <v>Area 1 - West Java</v>
      </c>
      <c r="I13" s="126" t="str">
        <f t="shared" si="10"/>
        <v>GDH321R-EDFDYD10</v>
      </c>
      <c r="J13" s="139" t="s">
        <v>277</v>
      </c>
      <c r="K13" s="139">
        <v>10</v>
      </c>
      <c r="L13" s="20" t="str">
        <f>VLOOKUP(I13,'List Model'!A:E,4,0)</f>
        <v>HIACE PREMIO</v>
      </c>
      <c r="M13" s="20" t="str">
        <f>VLOOKUP(I13,'List Model'!A:E,5,0)</f>
        <v>HIACE 2.8 M/T</v>
      </c>
      <c r="N13" s="126">
        <f t="shared" si="3"/>
        <v>20</v>
      </c>
      <c r="O13" s="126" t="str">
        <f t="shared" si="11"/>
        <v>3 Minggu</v>
      </c>
      <c r="P13" s="126" t="str">
        <f t="shared" si="12"/>
        <v>&lt;30D</v>
      </c>
      <c r="Q13" s="140">
        <v>46225</v>
      </c>
      <c r="R13" s="141" t="s">
        <v>13</v>
      </c>
      <c r="S13" s="141" t="s">
        <v>16</v>
      </c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42" t="s">
        <v>278</v>
      </c>
      <c r="AF13" s="142" t="s">
        <v>279</v>
      </c>
      <c r="AG13" s="143"/>
      <c r="AH13" s="142" t="s">
        <v>261</v>
      </c>
      <c r="AI13" s="143"/>
      <c r="AJ13" s="150" t="s">
        <v>280</v>
      </c>
      <c r="AK13" s="143">
        <v>2026</v>
      </c>
      <c r="AL13" s="143"/>
      <c r="AM13" s="145">
        <v>0.2</v>
      </c>
      <c r="AN13" s="151"/>
      <c r="AO13" s="145"/>
    </row>
    <row r="14" spans="1:41">
      <c r="C14" s="136">
        <v>9</v>
      </c>
      <c r="D14" s="136" t="s">
        <v>140</v>
      </c>
      <c r="E14" s="19"/>
      <c r="F14" s="137" t="s">
        <v>252</v>
      </c>
      <c r="G14" s="138" t="str">
        <f>VLOOKUP($F14,List!$D$5:$G$35,3,0)</f>
        <v>Area 1</v>
      </c>
      <c r="H14" s="138" t="str">
        <f>VLOOKUP($F14,List!$D$5:$G$35,4,0)</f>
        <v>Area 1 - West Java</v>
      </c>
      <c r="I14" s="126" t="str">
        <f t="shared" si="10"/>
        <v>W101RE-LMMFJ00</v>
      </c>
      <c r="J14" s="139" t="s">
        <v>281</v>
      </c>
      <c r="K14" s="627" t="s">
        <v>254</v>
      </c>
      <c r="L14" s="20" t="str">
        <f>VLOOKUP(I14,'List Model'!A:E,4,0)</f>
        <v>AVANZA NEW</v>
      </c>
      <c r="M14" s="20" t="str">
        <f>VLOOKUP(I14,'List Model'!A:E,5,0)</f>
        <v>NEW AVANZA 1.5G M/T</v>
      </c>
      <c r="N14" s="126">
        <f t="shared" si="3"/>
        <v>19</v>
      </c>
      <c r="O14" s="126" t="str">
        <f t="shared" si="11"/>
        <v>3 Minggu</v>
      </c>
      <c r="P14" s="126" t="str">
        <f t="shared" si="12"/>
        <v>&lt;30D</v>
      </c>
      <c r="Q14" s="140">
        <v>46226</v>
      </c>
      <c r="R14" s="141" t="s">
        <v>282</v>
      </c>
      <c r="S14" s="141" t="s">
        <v>14</v>
      </c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42" t="s">
        <v>283</v>
      </c>
      <c r="AF14" s="142" t="s">
        <v>284</v>
      </c>
      <c r="AG14" s="143"/>
      <c r="AH14" s="142" t="s">
        <v>261</v>
      </c>
      <c r="AI14" s="143"/>
      <c r="AJ14" s="142"/>
      <c r="AK14" s="143">
        <v>2026</v>
      </c>
      <c r="AL14" s="143"/>
      <c r="AM14" s="145">
        <v>0.2</v>
      </c>
      <c r="AN14" s="143"/>
      <c r="AO14" s="147"/>
    </row>
    <row r="15" spans="1:41">
      <c r="C15" s="136">
        <v>10</v>
      </c>
      <c r="D15" s="136" t="s">
        <v>140</v>
      </c>
      <c r="E15" s="19"/>
      <c r="F15" s="137" t="s">
        <v>252</v>
      </c>
      <c r="G15" s="138" t="str">
        <f>VLOOKUP($F15,List!$D$5:$G$35,3,0)</f>
        <v>Area 1</v>
      </c>
      <c r="H15" s="138" t="str">
        <f>VLOOKUP($F15,List!$D$5:$G$35,4,0)</f>
        <v>Area 1 - West Java</v>
      </c>
      <c r="I15" s="126" t="str">
        <f t="shared" si="10"/>
        <v>B401RA-GMZFJ20</v>
      </c>
      <c r="J15" s="139" t="s">
        <v>285</v>
      </c>
      <c r="K15" s="139">
        <v>20</v>
      </c>
      <c r="L15" s="20" t="str">
        <f>VLOOKUP(I15,'List Model'!A:E,4,0)</f>
        <v>CALYA</v>
      </c>
      <c r="M15" s="20" t="str">
        <f>VLOOKUP(I15,'List Model'!A:E,5,0)</f>
        <v>CALYA 1.2G M/T</v>
      </c>
      <c r="N15" s="126">
        <f t="shared" si="3"/>
        <v>18</v>
      </c>
      <c r="O15" s="126" t="str">
        <f t="shared" si="11"/>
        <v>3 Minggu</v>
      </c>
      <c r="P15" s="126" t="str">
        <f t="shared" si="12"/>
        <v>&lt;30D</v>
      </c>
      <c r="Q15" s="140">
        <v>46227</v>
      </c>
      <c r="R15" s="141" t="s">
        <v>13</v>
      </c>
      <c r="S15" s="141" t="s">
        <v>14</v>
      </c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42" t="s">
        <v>286</v>
      </c>
      <c r="AF15" s="142" t="s">
        <v>287</v>
      </c>
      <c r="AG15" s="143"/>
      <c r="AH15" s="142" t="s">
        <v>288</v>
      </c>
      <c r="AI15" s="143"/>
      <c r="AJ15" s="150"/>
      <c r="AK15" s="143">
        <v>2026</v>
      </c>
      <c r="AL15" s="143"/>
      <c r="AM15" s="145">
        <v>0.2</v>
      </c>
      <c r="AN15" s="147"/>
      <c r="AO15" s="146"/>
    </row>
    <row r="16" spans="1:41">
      <c r="C16" s="136">
        <v>11</v>
      </c>
      <c r="D16" s="136" t="s">
        <v>140</v>
      </c>
      <c r="E16" s="19"/>
      <c r="F16" s="137" t="s">
        <v>252</v>
      </c>
      <c r="G16" s="138" t="str">
        <f>VLOOKUP($F16,List!$D$5:$G$35,3,0)</f>
        <v>Area 1</v>
      </c>
      <c r="H16" s="138" t="str">
        <f>VLOOKUP($F16,List!$D$5:$G$35,4,0)</f>
        <v>Area 1 - West Java</v>
      </c>
      <c r="I16" s="126" t="str">
        <f t="shared" si="10"/>
        <v>GUN166R-SDTHXD33</v>
      </c>
      <c r="J16" s="139" t="s">
        <v>270</v>
      </c>
      <c r="K16" s="139">
        <v>33</v>
      </c>
      <c r="L16" s="20" t="str">
        <f>VLOOKUP(I16,'List Model'!A:E,4,0)</f>
        <v>FORTUNER 4X2</v>
      </c>
      <c r="M16" s="20" t="str">
        <f>VLOOKUP(I16,'List Model'!A:E,5,0)</f>
        <v>Fortuner 2.8 VRZ 4X2 A/T</v>
      </c>
      <c r="N16" s="126">
        <f t="shared" si="3"/>
        <v>18</v>
      </c>
      <c r="O16" s="126" t="str">
        <f t="shared" si="11"/>
        <v>3 Minggu</v>
      </c>
      <c r="P16" s="126" t="str">
        <f t="shared" si="12"/>
        <v>&lt;30D</v>
      </c>
      <c r="Q16" s="140">
        <v>46227</v>
      </c>
      <c r="R16" s="141" t="s">
        <v>13</v>
      </c>
      <c r="S16" s="141" t="s">
        <v>16</v>
      </c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42" t="s">
        <v>289</v>
      </c>
      <c r="AF16" s="142" t="s">
        <v>290</v>
      </c>
      <c r="AG16" s="143"/>
      <c r="AH16" s="142" t="s">
        <v>291</v>
      </c>
      <c r="AI16" s="143"/>
      <c r="AJ16" s="150"/>
      <c r="AK16" s="143">
        <v>2026</v>
      </c>
      <c r="AL16" s="143"/>
      <c r="AM16" s="145">
        <v>0.2</v>
      </c>
      <c r="AN16" s="143"/>
      <c r="AO16" s="146"/>
    </row>
    <row r="17" spans="3:41">
      <c r="C17" s="136">
        <v>12</v>
      </c>
      <c r="D17" s="136" t="s">
        <v>140</v>
      </c>
      <c r="E17" s="19"/>
      <c r="F17" s="137" t="s">
        <v>252</v>
      </c>
      <c r="G17" s="138" t="str">
        <f>VLOOKUP($F17,List!$D$5:$G$35,3,0)</f>
        <v>Area 1</v>
      </c>
      <c r="H17" s="138" t="str">
        <f>VLOOKUP($F17,List!$D$5:$G$35,4,0)</f>
        <v>Area 1 - West Java</v>
      </c>
      <c r="I17" s="126" t="str">
        <f t="shared" si="10"/>
        <v>W100RE-LMDFJ00</v>
      </c>
      <c r="J17" s="139" t="s">
        <v>292</v>
      </c>
      <c r="K17" s="627" t="s">
        <v>254</v>
      </c>
      <c r="L17" s="20" t="str">
        <f>VLOOKUP(I17,'List Model'!A:E,4,0)</f>
        <v>AVANZA NEW</v>
      </c>
      <c r="M17" s="20" t="str">
        <f>VLOOKUP(I17,'List Model'!A:E,5,0)</f>
        <v>NEW AVANZA 1.3E M/T</v>
      </c>
      <c r="N17" s="126">
        <f t="shared" si="3"/>
        <v>15</v>
      </c>
      <c r="O17" s="126" t="str">
        <f t="shared" si="11"/>
        <v>3 Minggu</v>
      </c>
      <c r="P17" s="126" t="str">
        <f t="shared" si="12"/>
        <v>&lt;30D</v>
      </c>
      <c r="Q17" s="140">
        <v>46230</v>
      </c>
      <c r="R17" s="141" t="s">
        <v>13</v>
      </c>
      <c r="S17" s="141" t="s">
        <v>14</v>
      </c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42" t="s">
        <v>293</v>
      </c>
      <c r="AF17" s="142" t="s">
        <v>294</v>
      </c>
      <c r="AG17" s="143"/>
      <c r="AH17" s="142" t="s">
        <v>261</v>
      </c>
      <c r="AI17" s="143"/>
      <c r="AJ17" s="150"/>
      <c r="AK17" s="143">
        <v>2026</v>
      </c>
      <c r="AL17" s="152"/>
      <c r="AM17" s="145">
        <v>0.2</v>
      </c>
      <c r="AN17" s="153"/>
      <c r="AO17" s="147"/>
    </row>
    <row r="18" spans="3:41">
      <c r="C18" s="136">
        <v>13</v>
      </c>
      <c r="D18" s="136" t="s">
        <v>140</v>
      </c>
      <c r="E18" s="19"/>
      <c r="F18" s="137" t="s">
        <v>252</v>
      </c>
      <c r="G18" s="138" t="str">
        <f>VLOOKUP($F18,List!$D$5:$G$35,3,0)</f>
        <v>Area 1</v>
      </c>
      <c r="H18" s="138" t="str">
        <f>VLOOKUP($F18,List!$D$5:$G$35,4,0)</f>
        <v>Area 1 - West Java</v>
      </c>
      <c r="I18" s="126" t="str">
        <f t="shared" si="10"/>
        <v>B401RA-GMZFJ20</v>
      </c>
      <c r="J18" s="139" t="s">
        <v>285</v>
      </c>
      <c r="K18" s="139">
        <v>20</v>
      </c>
      <c r="L18" s="20" t="str">
        <f>VLOOKUP(I18,'List Model'!A:E,4,0)</f>
        <v>CALYA</v>
      </c>
      <c r="M18" s="20" t="str">
        <f>VLOOKUP(I18,'List Model'!A:E,5,0)</f>
        <v>CALYA 1.2G M/T</v>
      </c>
      <c r="N18" s="126">
        <f t="shared" si="3"/>
        <v>15</v>
      </c>
      <c r="O18" s="126" t="str">
        <f t="shared" si="11"/>
        <v>3 Minggu</v>
      </c>
      <c r="P18" s="126" t="str">
        <f t="shared" si="12"/>
        <v>&lt;30D</v>
      </c>
      <c r="Q18" s="140">
        <v>46230</v>
      </c>
      <c r="R18" s="141" t="s">
        <v>13</v>
      </c>
      <c r="S18" s="141" t="s">
        <v>14</v>
      </c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42" t="s">
        <v>295</v>
      </c>
      <c r="AF18" s="142" t="s">
        <v>296</v>
      </c>
      <c r="AG18" s="143"/>
      <c r="AH18" s="142" t="s">
        <v>288</v>
      </c>
      <c r="AI18" s="143"/>
      <c r="AJ18" s="150"/>
      <c r="AK18" s="143">
        <v>2026</v>
      </c>
      <c r="AL18" s="152"/>
      <c r="AM18" s="145">
        <v>0.2</v>
      </c>
      <c r="AN18" s="153"/>
      <c r="AO18" s="146"/>
    </row>
    <row r="19" spans="3:41">
      <c r="C19" s="136">
        <v>14</v>
      </c>
      <c r="D19" s="136" t="s">
        <v>140</v>
      </c>
      <c r="E19" s="19"/>
      <c r="F19" s="137" t="s">
        <v>252</v>
      </c>
      <c r="G19" s="138" t="str">
        <f>VLOOKUP($F19,List!$D$5:$G$35,3,0)</f>
        <v>Area 1</v>
      </c>
      <c r="H19" s="138" t="str">
        <f>VLOOKUP($F19,List!$D$5:$G$35,4,0)</f>
        <v>Area 1 - West Java</v>
      </c>
      <c r="I19" s="126" t="str">
        <f t="shared" si="10"/>
        <v>MAGA10R-BRXLBD01</v>
      </c>
      <c r="J19" s="139" t="s">
        <v>297</v>
      </c>
      <c r="K19" s="627" t="s">
        <v>298</v>
      </c>
      <c r="L19" s="20" t="str">
        <f>VLOOKUP(I19,'List Model'!A:E,4,0)</f>
        <v>INNOVA ZENIX</v>
      </c>
      <c r="M19" s="20" t="str">
        <f>VLOOKUP(I19,'List Model'!A:E,5,0)</f>
        <v>INNOVA ZENIX 2.0G CVT</v>
      </c>
      <c r="N19" s="126">
        <f t="shared" si="3"/>
        <v>15</v>
      </c>
      <c r="O19" s="126" t="str">
        <f t="shared" si="11"/>
        <v>3 Minggu</v>
      </c>
      <c r="P19" s="126" t="str">
        <f t="shared" si="12"/>
        <v>&lt;30D</v>
      </c>
      <c r="Q19" s="140">
        <v>46230</v>
      </c>
      <c r="R19" s="141" t="s">
        <v>13</v>
      </c>
      <c r="S19" s="141" t="s">
        <v>14</v>
      </c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42" t="s">
        <v>299</v>
      </c>
      <c r="AF19" s="142" t="s">
        <v>300</v>
      </c>
      <c r="AG19" s="143"/>
      <c r="AH19" s="142" t="s">
        <v>291</v>
      </c>
      <c r="AI19" s="143"/>
      <c r="AJ19" s="150" t="s">
        <v>262</v>
      </c>
      <c r="AK19" s="143">
        <v>2026</v>
      </c>
      <c r="AL19" s="154"/>
      <c r="AM19" s="145">
        <v>0.2</v>
      </c>
      <c r="AN19" s="153"/>
      <c r="AO19" s="147"/>
    </row>
    <row r="20" spans="3:41">
      <c r="C20" s="136">
        <v>15</v>
      </c>
      <c r="D20" s="136" t="s">
        <v>140</v>
      </c>
      <c r="E20" s="19"/>
      <c r="F20" s="137" t="s">
        <v>252</v>
      </c>
      <c r="G20" s="138" t="str">
        <f>VLOOKUP($F20,List!$D$5:$G$35,3,0)</f>
        <v>Area 1</v>
      </c>
      <c r="H20" s="138" t="str">
        <f>VLOOKUP($F20,List!$D$5:$G$35,4,0)</f>
        <v>Area 1 - West Java</v>
      </c>
      <c r="I20" s="126" t="str">
        <f t="shared" si="10"/>
        <v>B401RA-GMZFJ20</v>
      </c>
      <c r="J20" s="139" t="s">
        <v>285</v>
      </c>
      <c r="K20" s="139">
        <v>20</v>
      </c>
      <c r="L20" s="20" t="str">
        <f>VLOOKUP(I20,'List Model'!A:E,4,0)</f>
        <v>CALYA</v>
      </c>
      <c r="M20" s="20" t="str">
        <f>VLOOKUP(I20,'List Model'!A:E,5,0)</f>
        <v>CALYA 1.2G M/T</v>
      </c>
      <c r="N20" s="126">
        <f t="shared" si="3"/>
        <v>14</v>
      </c>
      <c r="O20" s="126" t="str">
        <f t="shared" si="11"/>
        <v>2 Minggu</v>
      </c>
      <c r="P20" s="126" t="str">
        <f t="shared" si="12"/>
        <v>&lt;30D</v>
      </c>
      <c r="Q20" s="140">
        <v>46231</v>
      </c>
      <c r="R20" s="141" t="s">
        <v>13</v>
      </c>
      <c r="S20" s="141" t="s">
        <v>16</v>
      </c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42" t="s">
        <v>301</v>
      </c>
      <c r="AF20" s="142" t="s">
        <v>302</v>
      </c>
      <c r="AG20" s="143"/>
      <c r="AH20" s="142" t="s">
        <v>303</v>
      </c>
      <c r="AI20" s="143"/>
      <c r="AJ20" s="150"/>
      <c r="AK20" s="143">
        <v>2026</v>
      </c>
      <c r="AL20" s="152"/>
      <c r="AM20" s="145">
        <v>0.2</v>
      </c>
      <c r="AN20" s="155"/>
      <c r="AO20" s="147"/>
    </row>
    <row r="21" spans="3:41">
      <c r="C21" s="136">
        <v>16</v>
      </c>
      <c r="D21" s="136" t="s">
        <v>140</v>
      </c>
      <c r="E21" s="19"/>
      <c r="F21" s="137" t="s">
        <v>252</v>
      </c>
      <c r="G21" s="138" t="str">
        <f>VLOOKUP($F21,List!$D$5:$G$35,3,0)</f>
        <v>Area 1</v>
      </c>
      <c r="H21" s="138" t="str">
        <f>VLOOKUP($F21,List!$D$5:$G$35,4,0)</f>
        <v>Area 1 - West Java</v>
      </c>
      <c r="I21" s="126" t="str">
        <f t="shared" si="10"/>
        <v>A351RA-GBEFJ00</v>
      </c>
      <c r="J21" s="139" t="s">
        <v>304</v>
      </c>
      <c r="K21" s="627" t="s">
        <v>254</v>
      </c>
      <c r="L21" s="20" t="str">
        <f>VLOOKUP(I21,'List Model'!A:E,4,0)</f>
        <v>AGYA</v>
      </c>
      <c r="M21" s="20" t="str">
        <f>VLOOKUP(I21,'List Model'!A:E,5,0)</f>
        <v>AGYA 1.2 G CVT</v>
      </c>
      <c r="N21" s="126">
        <f t="shared" si="3"/>
        <v>13</v>
      </c>
      <c r="O21" s="126" t="str">
        <f t="shared" si="11"/>
        <v>2 Minggu</v>
      </c>
      <c r="P21" s="126" t="str">
        <f t="shared" si="12"/>
        <v>&lt;30D</v>
      </c>
      <c r="Q21" s="140">
        <v>46232</v>
      </c>
      <c r="R21" s="141" t="s">
        <v>13</v>
      </c>
      <c r="S21" s="141" t="s">
        <v>14</v>
      </c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42" t="s">
        <v>305</v>
      </c>
      <c r="AF21" s="142" t="s">
        <v>306</v>
      </c>
      <c r="AG21" s="143"/>
      <c r="AH21" s="142" t="s">
        <v>307</v>
      </c>
      <c r="AI21" s="143"/>
      <c r="AJ21" s="150" t="s">
        <v>258</v>
      </c>
      <c r="AK21" s="143">
        <v>2026</v>
      </c>
      <c r="AL21" s="152"/>
      <c r="AM21" s="145">
        <v>0.2</v>
      </c>
      <c r="AN21" s="153"/>
      <c r="AO21" s="147"/>
    </row>
    <row r="22" spans="3:41">
      <c r="C22" s="136">
        <v>17</v>
      </c>
      <c r="D22" s="136" t="s">
        <v>140</v>
      </c>
      <c r="E22" s="19"/>
      <c r="F22" s="137" t="s">
        <v>252</v>
      </c>
      <c r="G22" s="138" t="str">
        <f>VLOOKUP($F22,List!$D$5:$G$35,3,0)</f>
        <v>Area 1</v>
      </c>
      <c r="H22" s="138" t="str">
        <f>VLOOKUP($F22,List!$D$5:$G$35,4,0)</f>
        <v>Area 1 - West Java</v>
      </c>
      <c r="I22" s="126" t="str">
        <f t="shared" si="10"/>
        <v>B401RA-GMZFJ20</v>
      </c>
      <c r="J22" s="139" t="s">
        <v>285</v>
      </c>
      <c r="K22" s="139">
        <v>20</v>
      </c>
      <c r="L22" s="20" t="str">
        <f>VLOOKUP(I22,'List Model'!A:E,4,0)</f>
        <v>CALYA</v>
      </c>
      <c r="M22" s="20" t="str">
        <f>VLOOKUP(I22,'List Model'!A:E,5,0)</f>
        <v>CALYA 1.2G M/T</v>
      </c>
      <c r="N22" s="126">
        <f t="shared" si="3"/>
        <v>12</v>
      </c>
      <c r="O22" s="126" t="str">
        <f t="shared" si="11"/>
        <v>2 Minggu</v>
      </c>
      <c r="P22" s="126" t="str">
        <f t="shared" si="12"/>
        <v>&lt;30D</v>
      </c>
      <c r="Q22" s="140">
        <v>46233</v>
      </c>
      <c r="R22" s="141" t="s">
        <v>11</v>
      </c>
      <c r="S22" s="141" t="s">
        <v>14</v>
      </c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42" t="s">
        <v>308</v>
      </c>
      <c r="AF22" s="142" t="s">
        <v>309</v>
      </c>
      <c r="AG22" s="143"/>
      <c r="AH22" s="142" t="s">
        <v>288</v>
      </c>
      <c r="AI22" s="143"/>
      <c r="AJ22" s="142"/>
      <c r="AK22" s="143">
        <v>2026</v>
      </c>
      <c r="AL22" s="152"/>
      <c r="AM22" s="145">
        <v>0.2</v>
      </c>
      <c r="AN22" s="153"/>
      <c r="AO22" s="147"/>
    </row>
    <row r="23" spans="3:41">
      <c r="C23" s="136">
        <v>18</v>
      </c>
      <c r="D23" s="136" t="s">
        <v>140</v>
      </c>
      <c r="E23" s="19"/>
      <c r="F23" s="137" t="s">
        <v>252</v>
      </c>
      <c r="G23" s="138" t="str">
        <f>VLOOKUP($F23,List!$D$5:$G$35,3,0)</f>
        <v>Area 1</v>
      </c>
      <c r="H23" s="138" t="str">
        <f>VLOOKUP($F23,List!$D$5:$G$35,4,0)</f>
        <v>Area 1 - West Java</v>
      </c>
      <c r="I23" s="126" t="str">
        <f t="shared" si="10"/>
        <v>MAGH10R-BRXLBD10</v>
      </c>
      <c r="J23" s="139" t="s">
        <v>310</v>
      </c>
      <c r="K23" s="139">
        <v>10</v>
      </c>
      <c r="L23" s="20" t="str">
        <f>VLOOKUP(I23,'List Model'!A:E,4,0)</f>
        <v>INNOVA ZENIX HYBRID</v>
      </c>
      <c r="M23" s="20" t="str">
        <f>VLOOKUP(I23,'List Model'!A:E,5,0)</f>
        <v>INNOVA ZENIX HYBRID 2.0G HV CVT</v>
      </c>
      <c r="N23" s="126">
        <f t="shared" si="3"/>
        <v>11</v>
      </c>
      <c r="O23" s="126" t="str">
        <f t="shared" si="11"/>
        <v>2 Minggu</v>
      </c>
      <c r="P23" s="126" t="str">
        <f t="shared" si="12"/>
        <v>&lt;30D</v>
      </c>
      <c r="Q23" s="140">
        <v>46234</v>
      </c>
      <c r="R23" s="141" t="s">
        <v>11</v>
      </c>
      <c r="S23" s="141" t="s">
        <v>14</v>
      </c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42" t="s">
        <v>311</v>
      </c>
      <c r="AF23" s="142" t="s">
        <v>284</v>
      </c>
      <c r="AG23" s="143"/>
      <c r="AH23" s="142" t="s">
        <v>257</v>
      </c>
      <c r="AI23" s="143"/>
      <c r="AJ23" s="150"/>
      <c r="AK23" s="143">
        <v>2026</v>
      </c>
      <c r="AL23" s="152"/>
      <c r="AM23" s="145">
        <v>0.2</v>
      </c>
      <c r="AN23" s="155"/>
      <c r="AO23" s="147"/>
    </row>
    <row r="24" spans="3:41">
      <c r="C24" s="136">
        <v>19</v>
      </c>
      <c r="D24" s="136" t="s">
        <v>140</v>
      </c>
      <c r="E24" s="19"/>
      <c r="F24" s="137" t="s">
        <v>252</v>
      </c>
      <c r="G24" s="138" t="str">
        <f>VLOOKUP($F24,List!$D$5:$G$35,3,0)</f>
        <v>Area 1</v>
      </c>
      <c r="H24" s="138" t="str">
        <f>VLOOKUP($F24,List!$D$5:$G$35,4,0)</f>
        <v>Area 1 - West Java</v>
      </c>
      <c r="I24" s="126" t="str">
        <f t="shared" ref="I24:I39" si="13">J24&amp;K24</f>
        <v>W102RE-LBVFJ08</v>
      </c>
      <c r="J24" s="139" t="s">
        <v>312</v>
      </c>
      <c r="K24" s="627" t="s">
        <v>313</v>
      </c>
      <c r="L24" s="20" t="str">
        <f>VLOOKUP(I24,'List Model'!A:E,4,0)</f>
        <v>VELOZ HYBRID</v>
      </c>
      <c r="M24" s="20" t="str">
        <f>VLOOKUP(I24,'List Model'!A:E,5,0)</f>
        <v>VELOZ 1.5 Q HYBRID  CVT-NON PREMIUM COLOR</v>
      </c>
      <c r="N24" s="126">
        <f t="shared" si="3"/>
        <v>10</v>
      </c>
      <c r="O24" s="126" t="str">
        <f t="shared" ref="O24:O39" si="14">IF($N24=0,"0",IF(AND($N24&gt;=1,$N24&lt;=7),"1 Minggu",IF(AND($N24&gt;=8,$N24&lt;=14),"2 Minggu",IF(AND($N24&gt;=15,$N24&lt;=21),"3 Minggu",IF(AND($N24&gt;=22,$N24&lt;=28),"4 Minggu",IF($N24&gt;=29,"&gt; 4 Minggu",0))))))</f>
        <v>2 Minggu</v>
      </c>
      <c r="P24" s="126" t="str">
        <f t="shared" ref="P24:P39" si="15">IF($N24=0,"0",IF(AND($N24&gt;=0,$N24&lt;30),"&lt;30D",IF(AND($N24&gt;=30,$N24&lt;=60),"30D-60D",IF($N24&gt;60,"&gt;60D",0))))</f>
        <v>&lt;30D</v>
      </c>
      <c r="Q24" s="140">
        <v>46235</v>
      </c>
      <c r="R24" s="141" t="s">
        <v>11</v>
      </c>
      <c r="S24" s="141" t="s">
        <v>12</v>
      </c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42" t="s">
        <v>314</v>
      </c>
      <c r="AF24" s="142" t="s">
        <v>294</v>
      </c>
      <c r="AG24" s="143"/>
      <c r="AH24" s="142" t="s">
        <v>315</v>
      </c>
      <c r="AI24" s="143"/>
      <c r="AJ24" s="142"/>
      <c r="AK24" s="143">
        <v>2026</v>
      </c>
      <c r="AL24" s="156"/>
      <c r="AM24" s="145">
        <v>0.2</v>
      </c>
      <c r="AN24" s="157"/>
      <c r="AO24" s="147"/>
    </row>
    <row r="25" spans="3:41">
      <c r="C25" s="136">
        <v>20</v>
      </c>
      <c r="D25" s="136" t="s">
        <v>140</v>
      </c>
      <c r="E25" s="19"/>
      <c r="F25" s="137" t="s">
        <v>252</v>
      </c>
      <c r="G25" s="138" t="str">
        <f>VLOOKUP($F25,List!$D$5:$G$35,3,0)</f>
        <v>Area 1</v>
      </c>
      <c r="H25" s="138" t="str">
        <f>VLOOKUP($F25,List!$D$5:$G$35,4,0)</f>
        <v>Area 1 - West Java</v>
      </c>
      <c r="I25" s="126" t="str">
        <f t="shared" si="13"/>
        <v>W102RE-LBVFJ08</v>
      </c>
      <c r="J25" s="139" t="s">
        <v>312</v>
      </c>
      <c r="K25" s="627" t="s">
        <v>313</v>
      </c>
      <c r="L25" s="20" t="str">
        <f>VLOOKUP(I25,'List Model'!A:E,4,0)</f>
        <v>VELOZ HYBRID</v>
      </c>
      <c r="M25" s="20" t="str">
        <f>VLOOKUP(I25,'List Model'!A:E,5,0)</f>
        <v>VELOZ 1.5 Q HYBRID  CVT-NON PREMIUM COLOR</v>
      </c>
      <c r="N25" s="126">
        <f t="shared" si="3"/>
        <v>10</v>
      </c>
      <c r="O25" s="126" t="str">
        <f t="shared" si="14"/>
        <v>2 Minggu</v>
      </c>
      <c r="P25" s="126" t="str">
        <f t="shared" si="15"/>
        <v>&lt;30D</v>
      </c>
      <c r="Q25" s="140">
        <v>46235</v>
      </c>
      <c r="R25" s="141" t="s">
        <v>11</v>
      </c>
      <c r="S25" s="141" t="s">
        <v>12</v>
      </c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42" t="s">
        <v>314</v>
      </c>
      <c r="AF25" s="142" t="s">
        <v>294</v>
      </c>
      <c r="AG25" s="143"/>
      <c r="AH25" s="142" t="s">
        <v>315</v>
      </c>
      <c r="AI25" s="143"/>
      <c r="AJ25" s="142"/>
      <c r="AK25" s="143">
        <v>2026</v>
      </c>
      <c r="AL25" s="152"/>
      <c r="AM25" s="145">
        <v>0.2</v>
      </c>
      <c r="AN25" s="153"/>
      <c r="AO25" s="151"/>
    </row>
    <row r="26" spans="3:41">
      <c r="C26" s="136">
        <v>21</v>
      </c>
      <c r="D26" s="136" t="s">
        <v>140</v>
      </c>
      <c r="E26" s="19"/>
      <c r="F26" s="137" t="s">
        <v>252</v>
      </c>
      <c r="G26" s="138" t="str">
        <f>VLOOKUP($F26,List!$D$5:$G$35,3,0)</f>
        <v>Area 1</v>
      </c>
      <c r="H26" s="138" t="str">
        <f>VLOOKUP($F26,List!$D$5:$G$35,4,0)</f>
        <v>Area 1 - West Java</v>
      </c>
      <c r="I26" s="126" t="str">
        <f t="shared" si="13"/>
        <v>W102RE-LBVFJ08</v>
      </c>
      <c r="J26" s="139" t="s">
        <v>312</v>
      </c>
      <c r="K26" s="627" t="s">
        <v>313</v>
      </c>
      <c r="L26" s="20" t="str">
        <f>VLOOKUP(I26,'List Model'!A:E,4,0)</f>
        <v>VELOZ HYBRID</v>
      </c>
      <c r="M26" s="20" t="str">
        <f>VLOOKUP(I26,'List Model'!A:E,5,0)</f>
        <v>VELOZ 1.5 Q HYBRID  CVT-NON PREMIUM COLOR</v>
      </c>
      <c r="N26" s="126">
        <f t="shared" si="3"/>
        <v>10</v>
      </c>
      <c r="O26" s="126" t="str">
        <f t="shared" si="14"/>
        <v>2 Minggu</v>
      </c>
      <c r="P26" s="126" t="str">
        <f t="shared" si="15"/>
        <v>&lt;30D</v>
      </c>
      <c r="Q26" s="140">
        <v>46235</v>
      </c>
      <c r="R26" s="141" t="s">
        <v>11</v>
      </c>
      <c r="S26" s="141" t="s">
        <v>12</v>
      </c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42" t="s">
        <v>314</v>
      </c>
      <c r="AF26" s="142" t="s">
        <v>294</v>
      </c>
      <c r="AG26" s="143"/>
      <c r="AH26" s="142" t="s">
        <v>315</v>
      </c>
      <c r="AI26" s="143"/>
      <c r="AJ26" s="150"/>
      <c r="AK26" s="143">
        <v>2026</v>
      </c>
      <c r="AL26" s="146"/>
      <c r="AM26" s="145">
        <v>0.2</v>
      </c>
      <c r="AN26" s="146"/>
      <c r="AO26" s="145"/>
    </row>
    <row r="27" spans="3:41">
      <c r="C27" s="136">
        <v>22</v>
      </c>
      <c r="D27" s="136" t="s">
        <v>140</v>
      </c>
      <c r="E27" s="19"/>
      <c r="F27" s="137" t="s">
        <v>252</v>
      </c>
      <c r="G27" s="138" t="str">
        <f>VLOOKUP($F27,List!$D$5:$G$35,3,0)</f>
        <v>Area 1</v>
      </c>
      <c r="H27" s="138" t="str">
        <f>VLOOKUP($F27,List!$D$5:$G$35,4,0)</f>
        <v>Area 1 - West Java</v>
      </c>
      <c r="I27" s="126" t="str">
        <f t="shared" si="13"/>
        <v>W102RE-LBVFJ08</v>
      </c>
      <c r="J27" s="139" t="s">
        <v>312</v>
      </c>
      <c r="K27" s="627" t="s">
        <v>313</v>
      </c>
      <c r="L27" s="20" t="str">
        <f>VLOOKUP(I27,'List Model'!A:E,4,0)</f>
        <v>VELOZ HYBRID</v>
      </c>
      <c r="M27" s="20" t="str">
        <f>VLOOKUP(I27,'List Model'!A:E,5,0)</f>
        <v>VELOZ 1.5 Q HYBRID  CVT-NON PREMIUM COLOR</v>
      </c>
      <c r="N27" s="126">
        <f t="shared" si="3"/>
        <v>10</v>
      </c>
      <c r="O27" s="126" t="str">
        <f t="shared" si="14"/>
        <v>2 Minggu</v>
      </c>
      <c r="P27" s="126" t="str">
        <f t="shared" si="15"/>
        <v>&lt;30D</v>
      </c>
      <c r="Q27" s="140">
        <v>46235</v>
      </c>
      <c r="R27" s="141" t="s">
        <v>11</v>
      </c>
      <c r="S27" s="141" t="s">
        <v>12</v>
      </c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42" t="s">
        <v>314</v>
      </c>
      <c r="AF27" s="142" t="s">
        <v>294</v>
      </c>
      <c r="AG27" s="143"/>
      <c r="AH27" s="142" t="s">
        <v>315</v>
      </c>
      <c r="AI27" s="143"/>
      <c r="AJ27" s="142"/>
      <c r="AK27" s="143">
        <v>2026</v>
      </c>
      <c r="AL27" s="146"/>
      <c r="AM27" s="145">
        <v>0.2</v>
      </c>
      <c r="AN27" s="146"/>
      <c r="AO27" s="143"/>
    </row>
    <row r="28" spans="3:41">
      <c r="C28" s="136">
        <v>23</v>
      </c>
      <c r="D28" s="136" t="s">
        <v>140</v>
      </c>
      <c r="E28" s="19"/>
      <c r="F28" s="137" t="s">
        <v>252</v>
      </c>
      <c r="G28" s="138" t="str">
        <f>VLOOKUP($F28,List!$D$5:$G$35,3,0)</f>
        <v>Area 1</v>
      </c>
      <c r="H28" s="138" t="str">
        <f>VLOOKUP($F28,List!$D$5:$G$35,4,0)</f>
        <v>Area 1 - West Java</v>
      </c>
      <c r="I28" s="126" t="str">
        <f t="shared" si="13"/>
        <v>W102RE-LBVFJ08</v>
      </c>
      <c r="J28" s="139" t="s">
        <v>312</v>
      </c>
      <c r="K28" s="627" t="s">
        <v>313</v>
      </c>
      <c r="L28" s="20" t="str">
        <f>VLOOKUP(I28,'List Model'!A:E,4,0)</f>
        <v>VELOZ HYBRID</v>
      </c>
      <c r="M28" s="20" t="str">
        <f>VLOOKUP(I28,'List Model'!A:E,5,0)</f>
        <v>VELOZ 1.5 Q HYBRID  CVT-NON PREMIUM COLOR</v>
      </c>
      <c r="N28" s="126">
        <f t="shared" si="3"/>
        <v>10</v>
      </c>
      <c r="O28" s="126" t="str">
        <f t="shared" si="14"/>
        <v>2 Minggu</v>
      </c>
      <c r="P28" s="126" t="str">
        <f t="shared" si="15"/>
        <v>&lt;30D</v>
      </c>
      <c r="Q28" s="140">
        <v>46235</v>
      </c>
      <c r="R28" s="141" t="s">
        <v>11</v>
      </c>
      <c r="S28" s="141" t="s">
        <v>12</v>
      </c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42" t="s">
        <v>314</v>
      </c>
      <c r="AF28" s="142" t="s">
        <v>294</v>
      </c>
      <c r="AG28" s="143"/>
      <c r="AH28" s="142" t="s">
        <v>315</v>
      </c>
      <c r="AI28" s="143"/>
      <c r="AJ28" s="150"/>
      <c r="AK28" s="143">
        <v>2026</v>
      </c>
      <c r="AL28" s="146"/>
      <c r="AM28" s="145">
        <v>0.2</v>
      </c>
      <c r="AN28" s="146"/>
      <c r="AO28" s="147"/>
    </row>
    <row r="29" spans="3:41">
      <c r="C29" s="136">
        <v>24</v>
      </c>
      <c r="D29" s="136" t="s">
        <v>140</v>
      </c>
      <c r="E29" s="19"/>
      <c r="F29" s="137" t="s">
        <v>252</v>
      </c>
      <c r="G29" s="138" t="str">
        <f>VLOOKUP($F29,List!$D$5:$G$35,3,0)</f>
        <v>Area 1</v>
      </c>
      <c r="H29" s="138" t="str">
        <f>VLOOKUP($F29,List!$D$5:$G$35,4,0)</f>
        <v>Area 1 - West Java</v>
      </c>
      <c r="I29" s="126" t="str">
        <f t="shared" si="13"/>
        <v>W102RE-LBVFJ08</v>
      </c>
      <c r="J29" s="139" t="s">
        <v>312</v>
      </c>
      <c r="K29" s="627" t="s">
        <v>313</v>
      </c>
      <c r="L29" s="20" t="str">
        <f>VLOOKUP(I29,'List Model'!A:E,4,0)</f>
        <v>VELOZ HYBRID</v>
      </c>
      <c r="M29" s="20" t="str">
        <f>VLOOKUP(I29,'List Model'!A:E,5,0)</f>
        <v>VELOZ 1.5 Q HYBRID  CVT-NON PREMIUM COLOR</v>
      </c>
      <c r="N29" s="126">
        <f t="shared" si="3"/>
        <v>10</v>
      </c>
      <c r="O29" s="126" t="str">
        <f t="shared" si="14"/>
        <v>2 Minggu</v>
      </c>
      <c r="P29" s="126" t="str">
        <f t="shared" si="15"/>
        <v>&lt;30D</v>
      </c>
      <c r="Q29" s="140">
        <v>46235</v>
      </c>
      <c r="R29" s="141" t="s">
        <v>11</v>
      </c>
      <c r="S29" s="141" t="s">
        <v>12</v>
      </c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42" t="s">
        <v>314</v>
      </c>
      <c r="AF29" s="142" t="s">
        <v>294</v>
      </c>
      <c r="AG29" s="143"/>
      <c r="AH29" s="142" t="s">
        <v>315</v>
      </c>
      <c r="AI29" s="143"/>
      <c r="AJ29" s="150"/>
      <c r="AK29" s="143">
        <v>2026</v>
      </c>
      <c r="AL29" s="146"/>
      <c r="AM29" s="145">
        <v>0.2</v>
      </c>
      <c r="AN29" s="147"/>
      <c r="AO29" s="148"/>
    </row>
    <row r="30" spans="3:41">
      <c r="C30" s="136">
        <v>25</v>
      </c>
      <c r="D30" s="136" t="s">
        <v>140</v>
      </c>
      <c r="E30" s="19"/>
      <c r="F30" s="137" t="s">
        <v>252</v>
      </c>
      <c r="G30" s="138" t="str">
        <f>VLOOKUP($F30,List!$D$5:$G$35,3,0)</f>
        <v>Area 1</v>
      </c>
      <c r="H30" s="138" t="str">
        <f>VLOOKUP($F30,List!$D$5:$G$35,4,0)</f>
        <v>Area 1 - West Java</v>
      </c>
      <c r="I30" s="126" t="str">
        <f t="shared" si="13"/>
        <v>W102RE-LBVFJ08</v>
      </c>
      <c r="J30" s="139" t="s">
        <v>312</v>
      </c>
      <c r="K30" s="627" t="s">
        <v>313</v>
      </c>
      <c r="L30" s="20" t="str">
        <f>VLOOKUP(I30,'List Model'!A:E,4,0)</f>
        <v>VELOZ HYBRID</v>
      </c>
      <c r="M30" s="20" t="str">
        <f>VLOOKUP(I30,'List Model'!A:E,5,0)</f>
        <v>VELOZ 1.5 Q HYBRID  CVT-NON PREMIUM COLOR</v>
      </c>
      <c r="N30" s="126">
        <f t="shared" si="3"/>
        <v>10</v>
      </c>
      <c r="O30" s="126" t="str">
        <f t="shared" si="14"/>
        <v>2 Minggu</v>
      </c>
      <c r="P30" s="126" t="str">
        <f t="shared" si="15"/>
        <v>&lt;30D</v>
      </c>
      <c r="Q30" s="140">
        <v>46235</v>
      </c>
      <c r="R30" s="141" t="s">
        <v>11</v>
      </c>
      <c r="S30" s="141" t="s">
        <v>12</v>
      </c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42" t="s">
        <v>314</v>
      </c>
      <c r="AF30" s="142" t="s">
        <v>294</v>
      </c>
      <c r="AG30" s="143"/>
      <c r="AH30" s="142" t="s">
        <v>315</v>
      </c>
      <c r="AI30" s="143"/>
      <c r="AJ30" s="142"/>
      <c r="AK30" s="143">
        <v>2026</v>
      </c>
      <c r="AL30" s="146"/>
      <c r="AM30" s="145">
        <v>0.2</v>
      </c>
      <c r="AN30" s="147"/>
      <c r="AO30" s="147"/>
    </row>
    <row r="31" spans="3:41">
      <c r="C31" s="136">
        <v>26</v>
      </c>
      <c r="D31" s="136" t="s">
        <v>140</v>
      </c>
      <c r="E31" s="19"/>
      <c r="F31" s="137" t="s">
        <v>252</v>
      </c>
      <c r="G31" s="138" t="str">
        <f>VLOOKUP($F31,List!$D$5:$G$35,3,0)</f>
        <v>Area 1</v>
      </c>
      <c r="H31" s="138" t="str">
        <f>VLOOKUP($F31,List!$D$5:$G$35,4,0)</f>
        <v>Area 1 - West Java</v>
      </c>
      <c r="I31" s="126" t="str">
        <f t="shared" si="13"/>
        <v>W102RE-LBVFJ08</v>
      </c>
      <c r="J31" s="139" t="s">
        <v>312</v>
      </c>
      <c r="K31" s="627" t="s">
        <v>313</v>
      </c>
      <c r="L31" s="20" t="str">
        <f>VLOOKUP(I31,'List Model'!A:E,4,0)</f>
        <v>VELOZ HYBRID</v>
      </c>
      <c r="M31" s="20" t="str">
        <f>VLOOKUP(I31,'List Model'!A:E,5,0)</f>
        <v>VELOZ 1.5 Q HYBRID  CVT-NON PREMIUM COLOR</v>
      </c>
      <c r="N31" s="126">
        <f t="shared" si="3"/>
        <v>10</v>
      </c>
      <c r="O31" s="126" t="str">
        <f t="shared" si="14"/>
        <v>2 Minggu</v>
      </c>
      <c r="P31" s="126" t="str">
        <f t="shared" si="15"/>
        <v>&lt;30D</v>
      </c>
      <c r="Q31" s="140">
        <v>46235</v>
      </c>
      <c r="R31" s="141" t="s">
        <v>11</v>
      </c>
      <c r="S31" s="141" t="s">
        <v>12</v>
      </c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42" t="s">
        <v>314</v>
      </c>
      <c r="AF31" s="142" t="s">
        <v>294</v>
      </c>
      <c r="AG31" s="143"/>
      <c r="AH31" s="142" t="s">
        <v>315</v>
      </c>
      <c r="AI31" s="143"/>
      <c r="AJ31" s="142"/>
      <c r="AK31" s="143">
        <v>2026</v>
      </c>
      <c r="AL31" s="146"/>
      <c r="AM31" s="145">
        <v>0.2</v>
      </c>
      <c r="AN31" s="158"/>
      <c r="AO31" s="143"/>
    </row>
    <row r="32" spans="3:41">
      <c r="C32" s="136">
        <v>27</v>
      </c>
      <c r="D32" s="136" t="s">
        <v>140</v>
      </c>
      <c r="E32" s="19"/>
      <c r="F32" s="137" t="s">
        <v>252</v>
      </c>
      <c r="G32" s="138" t="str">
        <f>VLOOKUP($F32,List!$D$5:$G$35,3,0)</f>
        <v>Area 1</v>
      </c>
      <c r="H32" s="138" t="str">
        <f>VLOOKUP($F32,List!$D$5:$G$35,4,0)</f>
        <v>Area 1 - West Java</v>
      </c>
      <c r="I32" s="126" t="str">
        <f t="shared" si="13"/>
        <v>W102RE-LBVFJ08</v>
      </c>
      <c r="J32" s="139" t="s">
        <v>312</v>
      </c>
      <c r="K32" s="627" t="s">
        <v>313</v>
      </c>
      <c r="L32" s="20" t="str">
        <f>VLOOKUP(I32,'List Model'!A:E,4,0)</f>
        <v>VELOZ HYBRID</v>
      </c>
      <c r="M32" s="20" t="str">
        <f>VLOOKUP(I32,'List Model'!A:E,5,0)</f>
        <v>VELOZ 1.5 Q HYBRID  CVT-NON PREMIUM COLOR</v>
      </c>
      <c r="N32" s="126">
        <f t="shared" si="3"/>
        <v>10</v>
      </c>
      <c r="O32" s="126" t="str">
        <f t="shared" si="14"/>
        <v>2 Minggu</v>
      </c>
      <c r="P32" s="126" t="str">
        <f t="shared" si="15"/>
        <v>&lt;30D</v>
      </c>
      <c r="Q32" s="140">
        <v>46235</v>
      </c>
      <c r="R32" s="141" t="s">
        <v>11</v>
      </c>
      <c r="S32" s="141" t="s">
        <v>12</v>
      </c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42" t="s">
        <v>314</v>
      </c>
      <c r="AF32" s="142" t="s">
        <v>294</v>
      </c>
      <c r="AG32" s="143"/>
      <c r="AH32" s="142" t="s">
        <v>315</v>
      </c>
      <c r="AI32" s="143"/>
      <c r="AJ32" s="150"/>
      <c r="AK32" s="143">
        <v>2026</v>
      </c>
      <c r="AL32" s="146"/>
      <c r="AM32" s="145">
        <v>0.2</v>
      </c>
      <c r="AN32" s="153"/>
      <c r="AO32" s="143"/>
    </row>
    <row r="33" spans="3:41">
      <c r="C33" s="136">
        <v>28</v>
      </c>
      <c r="D33" s="136" t="s">
        <v>140</v>
      </c>
      <c r="E33" s="19"/>
      <c r="F33" s="137" t="s">
        <v>252</v>
      </c>
      <c r="G33" s="138" t="str">
        <f>VLOOKUP($F33,List!$D$5:$G$35,3,0)</f>
        <v>Area 1</v>
      </c>
      <c r="H33" s="138" t="str">
        <f>VLOOKUP($F33,List!$D$5:$G$35,4,0)</f>
        <v>Area 1 - West Java</v>
      </c>
      <c r="I33" s="126" t="str">
        <f t="shared" si="13"/>
        <v>W102RE-LBVFJ08</v>
      </c>
      <c r="J33" s="139" t="s">
        <v>312</v>
      </c>
      <c r="K33" s="627" t="s">
        <v>313</v>
      </c>
      <c r="L33" s="20" t="str">
        <f>VLOOKUP(I33,'List Model'!A:E,4,0)</f>
        <v>VELOZ HYBRID</v>
      </c>
      <c r="M33" s="20" t="str">
        <f>VLOOKUP(I33,'List Model'!A:E,5,0)</f>
        <v>VELOZ 1.5 Q HYBRID  CVT-NON PREMIUM COLOR</v>
      </c>
      <c r="N33" s="126">
        <f t="shared" si="3"/>
        <v>10</v>
      </c>
      <c r="O33" s="126" t="str">
        <f t="shared" si="14"/>
        <v>2 Minggu</v>
      </c>
      <c r="P33" s="126" t="str">
        <f t="shared" si="15"/>
        <v>&lt;30D</v>
      </c>
      <c r="Q33" s="140">
        <v>46235</v>
      </c>
      <c r="R33" s="141" t="s">
        <v>11</v>
      </c>
      <c r="S33" s="141" t="s">
        <v>12</v>
      </c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42" t="s">
        <v>314</v>
      </c>
      <c r="AF33" s="142" t="s">
        <v>294</v>
      </c>
      <c r="AG33" s="143"/>
      <c r="AH33" s="142" t="s">
        <v>315</v>
      </c>
      <c r="AI33" s="143"/>
      <c r="AJ33" s="142"/>
      <c r="AK33" s="143">
        <v>2026</v>
      </c>
      <c r="AL33" s="146"/>
      <c r="AM33" s="145">
        <v>0.2</v>
      </c>
      <c r="AN33" s="153"/>
      <c r="AO33" s="143"/>
    </row>
    <row r="34" spans="3:41">
      <c r="C34" s="136">
        <v>29</v>
      </c>
      <c r="D34" s="136" t="s">
        <v>140</v>
      </c>
      <c r="E34" s="19"/>
      <c r="F34" s="137" t="s">
        <v>252</v>
      </c>
      <c r="G34" s="138" t="str">
        <f>VLOOKUP($F34,List!$D$5:$G$35,3,0)</f>
        <v>Area 1</v>
      </c>
      <c r="H34" s="138" t="str">
        <f>VLOOKUP($F34,List!$D$5:$G$35,4,0)</f>
        <v>Area 1 - West Java</v>
      </c>
      <c r="I34" s="126" t="str">
        <f t="shared" si="13"/>
        <v>W102RE-LBVFJ08</v>
      </c>
      <c r="J34" s="139" t="s">
        <v>312</v>
      </c>
      <c r="K34" s="627" t="s">
        <v>313</v>
      </c>
      <c r="L34" s="20" t="str">
        <f>VLOOKUP(I34,'List Model'!A:E,4,0)</f>
        <v>VELOZ HYBRID</v>
      </c>
      <c r="M34" s="20" t="str">
        <f>VLOOKUP(I34,'List Model'!A:E,5,0)</f>
        <v>VELOZ 1.5 Q HYBRID  CVT-NON PREMIUM COLOR</v>
      </c>
      <c r="N34" s="126">
        <f t="shared" si="3"/>
        <v>10</v>
      </c>
      <c r="O34" s="126" t="str">
        <f t="shared" si="14"/>
        <v>2 Minggu</v>
      </c>
      <c r="P34" s="126" t="str">
        <f t="shared" si="15"/>
        <v>&lt;30D</v>
      </c>
      <c r="Q34" s="140">
        <v>46235</v>
      </c>
      <c r="R34" s="141" t="s">
        <v>11</v>
      </c>
      <c r="S34" s="141" t="s">
        <v>12</v>
      </c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42" t="s">
        <v>314</v>
      </c>
      <c r="AF34" s="142" t="s">
        <v>294</v>
      </c>
      <c r="AG34" s="143"/>
      <c r="AH34" s="142" t="s">
        <v>315</v>
      </c>
      <c r="AI34" s="143"/>
      <c r="AJ34" s="142"/>
      <c r="AK34" s="143">
        <v>2026</v>
      </c>
      <c r="AL34" s="146"/>
      <c r="AM34" s="145">
        <v>0.2</v>
      </c>
      <c r="AN34" s="153"/>
      <c r="AO34" s="143"/>
    </row>
    <row r="35" spans="3:41">
      <c r="C35" s="136">
        <v>30</v>
      </c>
      <c r="D35" s="136" t="s">
        <v>140</v>
      </c>
      <c r="E35" s="19"/>
      <c r="F35" s="137" t="s">
        <v>252</v>
      </c>
      <c r="G35" s="138" t="str">
        <f>VLOOKUP($F35,List!$D$5:$G$35,3,0)</f>
        <v>Area 1</v>
      </c>
      <c r="H35" s="138" t="str">
        <f>VLOOKUP($F35,List!$D$5:$G$35,4,0)</f>
        <v>Area 1 - West Java</v>
      </c>
      <c r="I35" s="126" t="str">
        <f t="shared" si="13"/>
        <v>W102RE-LBVFJ08</v>
      </c>
      <c r="J35" s="139" t="s">
        <v>312</v>
      </c>
      <c r="K35" s="627" t="s">
        <v>313</v>
      </c>
      <c r="L35" s="20" t="str">
        <f>VLOOKUP(I35,'List Model'!A:E,4,0)</f>
        <v>VELOZ HYBRID</v>
      </c>
      <c r="M35" s="20" t="str">
        <f>VLOOKUP(I35,'List Model'!A:E,5,0)</f>
        <v>VELOZ 1.5 Q HYBRID  CVT-NON PREMIUM COLOR</v>
      </c>
      <c r="N35" s="126">
        <f t="shared" si="3"/>
        <v>10</v>
      </c>
      <c r="O35" s="126" t="str">
        <f t="shared" si="14"/>
        <v>2 Minggu</v>
      </c>
      <c r="P35" s="126" t="str">
        <f t="shared" si="15"/>
        <v>&lt;30D</v>
      </c>
      <c r="Q35" s="140">
        <v>46235</v>
      </c>
      <c r="R35" s="141" t="s">
        <v>11</v>
      </c>
      <c r="S35" s="141" t="s">
        <v>12</v>
      </c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42" t="s">
        <v>314</v>
      </c>
      <c r="AF35" s="142" t="s">
        <v>294</v>
      </c>
      <c r="AG35" s="143"/>
      <c r="AH35" s="142" t="s">
        <v>315</v>
      </c>
      <c r="AI35" s="143"/>
      <c r="AJ35" s="150"/>
      <c r="AK35" s="143">
        <v>2026</v>
      </c>
      <c r="AL35" s="143"/>
      <c r="AM35" s="145">
        <v>0.2</v>
      </c>
      <c r="AN35" s="153"/>
      <c r="AO35" s="143"/>
    </row>
    <row r="36" spans="3:41">
      <c r="C36" s="136">
        <v>31</v>
      </c>
      <c r="D36" s="136" t="s">
        <v>140</v>
      </c>
      <c r="E36" s="19"/>
      <c r="F36" s="137" t="s">
        <v>252</v>
      </c>
      <c r="G36" s="138" t="str">
        <f>VLOOKUP($F36,List!$D$5:$G$35,3,0)</f>
        <v>Area 1</v>
      </c>
      <c r="H36" s="138" t="str">
        <f>VLOOKUP($F36,List!$D$5:$G$35,4,0)</f>
        <v>Area 1 - West Java</v>
      </c>
      <c r="I36" s="126" t="str">
        <f t="shared" si="13"/>
        <v>W102RE-LBVFJ08</v>
      </c>
      <c r="J36" s="139" t="s">
        <v>312</v>
      </c>
      <c r="K36" s="627" t="s">
        <v>313</v>
      </c>
      <c r="L36" s="20" t="str">
        <f>VLOOKUP(I36,'List Model'!A:E,4,0)</f>
        <v>VELOZ HYBRID</v>
      </c>
      <c r="M36" s="20" t="str">
        <f>VLOOKUP(I36,'List Model'!A:E,5,0)</f>
        <v>VELOZ 1.5 Q HYBRID  CVT-NON PREMIUM COLOR</v>
      </c>
      <c r="N36" s="126">
        <f t="shared" si="3"/>
        <v>10</v>
      </c>
      <c r="O36" s="126" t="str">
        <f t="shared" si="14"/>
        <v>2 Minggu</v>
      </c>
      <c r="P36" s="126" t="str">
        <f t="shared" si="15"/>
        <v>&lt;30D</v>
      </c>
      <c r="Q36" s="140">
        <v>46235</v>
      </c>
      <c r="R36" s="141" t="s">
        <v>11</v>
      </c>
      <c r="S36" s="141" t="s">
        <v>12</v>
      </c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42" t="s">
        <v>314</v>
      </c>
      <c r="AF36" s="142" t="s">
        <v>294</v>
      </c>
      <c r="AG36" s="143"/>
      <c r="AH36" s="142" t="s">
        <v>315</v>
      </c>
      <c r="AI36" s="143"/>
      <c r="AJ36" s="142"/>
      <c r="AK36" s="143">
        <v>2026</v>
      </c>
      <c r="AL36" s="151"/>
      <c r="AM36" s="145">
        <v>0.2</v>
      </c>
      <c r="AN36" s="143"/>
      <c r="AO36" s="143"/>
    </row>
    <row r="37" spans="3:41">
      <c r="C37" s="136">
        <v>32</v>
      </c>
      <c r="D37" s="136" t="s">
        <v>140</v>
      </c>
      <c r="E37" s="19"/>
      <c r="F37" s="137" t="s">
        <v>252</v>
      </c>
      <c r="G37" s="138" t="str">
        <f>VLOOKUP($F37,List!$D$5:$G$35,3,0)</f>
        <v>Area 1</v>
      </c>
      <c r="H37" s="138" t="str">
        <f>VLOOKUP($F37,List!$D$5:$G$35,4,0)</f>
        <v>Area 1 - West Java</v>
      </c>
      <c r="I37" s="126" t="str">
        <f t="shared" si="13"/>
        <v>W102RE-LBVFJ08</v>
      </c>
      <c r="J37" s="139" t="s">
        <v>312</v>
      </c>
      <c r="K37" s="627" t="s">
        <v>313</v>
      </c>
      <c r="L37" s="20" t="str">
        <f>VLOOKUP(I37,'List Model'!A:E,4,0)</f>
        <v>VELOZ HYBRID</v>
      </c>
      <c r="M37" s="20" t="str">
        <f>VLOOKUP(I37,'List Model'!A:E,5,0)</f>
        <v>VELOZ 1.5 Q HYBRID  CVT-NON PREMIUM COLOR</v>
      </c>
      <c r="N37" s="126">
        <f t="shared" si="3"/>
        <v>10</v>
      </c>
      <c r="O37" s="126" t="str">
        <f t="shared" si="14"/>
        <v>2 Minggu</v>
      </c>
      <c r="P37" s="126" t="str">
        <f t="shared" si="15"/>
        <v>&lt;30D</v>
      </c>
      <c r="Q37" s="140">
        <v>46235</v>
      </c>
      <c r="R37" s="141" t="s">
        <v>11</v>
      </c>
      <c r="S37" s="141" t="s">
        <v>12</v>
      </c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42" t="s">
        <v>314</v>
      </c>
      <c r="AF37" s="142" t="s">
        <v>294</v>
      </c>
      <c r="AG37" s="143"/>
      <c r="AH37" s="142" t="s">
        <v>315</v>
      </c>
      <c r="AI37" s="143"/>
      <c r="AJ37" s="150"/>
      <c r="AK37" s="143">
        <v>2026</v>
      </c>
      <c r="AL37" s="151"/>
      <c r="AM37" s="145">
        <v>0.2</v>
      </c>
      <c r="AN37" s="153"/>
      <c r="AO37" s="143"/>
    </row>
    <row r="38" spans="3:41">
      <c r="C38" s="136">
        <v>33</v>
      </c>
      <c r="D38" s="136" t="s">
        <v>140</v>
      </c>
      <c r="E38" s="19"/>
      <c r="F38" s="137" t="s">
        <v>252</v>
      </c>
      <c r="G38" s="138" t="str">
        <f>VLOOKUP($F38,List!$D$5:$G$35,3,0)</f>
        <v>Area 1</v>
      </c>
      <c r="H38" s="138" t="str">
        <f>VLOOKUP($F38,List!$D$5:$G$35,4,0)</f>
        <v>Area 1 - West Java</v>
      </c>
      <c r="I38" s="126" t="str">
        <f t="shared" si="13"/>
        <v>W102RE-LBVFJ08</v>
      </c>
      <c r="J38" s="139" t="s">
        <v>312</v>
      </c>
      <c r="K38" s="627" t="s">
        <v>313</v>
      </c>
      <c r="L38" s="20" t="str">
        <f>VLOOKUP(I38,'List Model'!A:E,4,0)</f>
        <v>VELOZ HYBRID</v>
      </c>
      <c r="M38" s="20" t="str">
        <f>VLOOKUP(I38,'List Model'!A:E,5,0)</f>
        <v>VELOZ 1.5 Q HYBRID  CVT-NON PREMIUM COLOR</v>
      </c>
      <c r="N38" s="126">
        <f t="shared" si="3"/>
        <v>6</v>
      </c>
      <c r="O38" s="126" t="str">
        <f t="shared" si="14"/>
        <v>1 Minggu</v>
      </c>
      <c r="P38" s="126" t="str">
        <f t="shared" si="15"/>
        <v>&lt;30D</v>
      </c>
      <c r="Q38" s="140">
        <v>46239</v>
      </c>
      <c r="R38" s="141" t="s">
        <v>11</v>
      </c>
      <c r="S38" s="141" t="s">
        <v>12</v>
      </c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42" t="s">
        <v>314</v>
      </c>
      <c r="AF38" s="142" t="s">
        <v>294</v>
      </c>
      <c r="AG38" s="143"/>
      <c r="AH38" s="142" t="s">
        <v>315</v>
      </c>
      <c r="AI38" s="143"/>
      <c r="AJ38" s="142"/>
      <c r="AK38" s="143">
        <v>2026</v>
      </c>
      <c r="AL38" s="151"/>
      <c r="AM38" s="145">
        <v>0.2</v>
      </c>
      <c r="AN38" s="153"/>
      <c r="AO38" s="143"/>
    </row>
    <row r="39" spans="3:41">
      <c r="C39" s="136">
        <v>34</v>
      </c>
      <c r="D39" s="136" t="s">
        <v>140</v>
      </c>
      <c r="E39" s="19"/>
      <c r="F39" s="137" t="s">
        <v>252</v>
      </c>
      <c r="G39" s="138" t="str">
        <f>VLOOKUP($F39,List!$D$5:$G$35,3,0)</f>
        <v>Area 1</v>
      </c>
      <c r="H39" s="138" t="str">
        <f>VLOOKUP($F39,List!$D$5:$G$35,4,0)</f>
        <v>Area 1 - West Java</v>
      </c>
      <c r="I39" s="126" t="str">
        <f t="shared" si="13"/>
        <v>B101RA-GMSGJ41</v>
      </c>
      <c r="J39" s="159" t="s">
        <v>316</v>
      </c>
      <c r="K39" s="160">
        <v>41</v>
      </c>
      <c r="L39" s="20" t="str">
        <f>VLOOKUP(I39,'List Model'!A:E,4,0)</f>
        <v>AGYA</v>
      </c>
      <c r="M39" s="20" t="str">
        <f>VLOOKUP(I39,'List Model'!A:E,5,0)</f>
        <v>AGYA 1.2 G M/T</v>
      </c>
      <c r="N39" s="126">
        <f t="shared" si="3"/>
        <v>2</v>
      </c>
      <c r="O39" s="126" t="str">
        <f t="shared" si="14"/>
        <v>1 Minggu</v>
      </c>
      <c r="P39" s="126" t="str">
        <f t="shared" si="15"/>
        <v>&lt;30D</v>
      </c>
      <c r="Q39" s="161">
        <v>46243</v>
      </c>
      <c r="R39" s="141" t="s">
        <v>13</v>
      </c>
      <c r="S39" s="141" t="s">
        <v>12</v>
      </c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62" t="s">
        <v>317</v>
      </c>
      <c r="AF39" s="162" t="s">
        <v>318</v>
      </c>
      <c r="AG39" s="143"/>
      <c r="AH39" s="162" t="s">
        <v>261</v>
      </c>
      <c r="AI39" s="163"/>
      <c r="AJ39" s="162"/>
      <c r="AK39" s="143"/>
      <c r="AL39" s="151"/>
      <c r="AM39" s="145"/>
      <c r="AN39" s="153"/>
      <c r="AO39" s="143"/>
    </row>
    <row r="40" spans="3:41">
      <c r="C40" s="136">
        <v>35</v>
      </c>
      <c r="D40" s="136" t="s">
        <v>140</v>
      </c>
      <c r="E40" s="19"/>
      <c r="F40" s="137" t="s">
        <v>252</v>
      </c>
      <c r="G40" s="138" t="str">
        <f>VLOOKUP($F40,List!$D$5:$G$35,3,0)</f>
        <v>Area 1</v>
      </c>
      <c r="H40" s="138" t="str">
        <f>VLOOKUP($F40,List!$D$5:$G$35,4,0)</f>
        <v>Area 1 - West Java</v>
      </c>
      <c r="I40" s="126" t="str">
        <f>J40&amp;K40</f>
        <v>B401RA-GMZFJ20</v>
      </c>
      <c r="J40" s="159" t="s">
        <v>285</v>
      </c>
      <c r="K40" s="160">
        <v>20</v>
      </c>
      <c r="L40" s="20" t="str">
        <f>VLOOKUP(I40,'List Model'!A:E,4,0)</f>
        <v>CALYA</v>
      </c>
      <c r="M40" s="20" t="str">
        <f>VLOOKUP(I40,'List Model'!A:E,5,0)</f>
        <v>CALYA 1.2G M/T</v>
      </c>
      <c r="N40" s="126">
        <f t="shared" si="3"/>
        <v>2</v>
      </c>
      <c r="O40" s="126" t="str">
        <f>IF($N40=0,"0",IF(AND($N40&gt;=1,$N40&lt;=7),"1 Minggu",IF(AND($N40&gt;=8,$N40&lt;=14),"2 Minggu",IF(AND($N40&gt;=15,$N40&lt;=21),"3 Minggu",IF(AND($N40&gt;=22,$N40&lt;=28),"4 Minggu",IF($N40&gt;=29,"&gt; 4 Minggu",0))))))</f>
        <v>1 Minggu</v>
      </c>
      <c r="P40" s="126" t="str">
        <f>IF($N40=0,"0",IF(AND($N40&gt;=0,$N40&lt;30),"&lt;30D",IF(AND($N40&gt;=30,$N40&lt;=60),"30D-60D",IF($N40&gt;60,"&gt;60D",0))))</f>
        <v>&lt;30D</v>
      </c>
      <c r="Q40" s="164">
        <v>46243</v>
      </c>
      <c r="R40" s="141" t="s">
        <v>13</v>
      </c>
      <c r="S40" s="141" t="s">
        <v>14</v>
      </c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65" t="s">
        <v>319</v>
      </c>
      <c r="AF40" s="165" t="s">
        <v>320</v>
      </c>
      <c r="AG40" s="143"/>
      <c r="AH40" s="165" t="s">
        <v>321</v>
      </c>
      <c r="AI40" s="163"/>
      <c r="AJ40" s="165"/>
      <c r="AK40" s="143"/>
      <c r="AL40" s="151"/>
      <c r="AM40" s="145"/>
      <c r="AN40" s="143"/>
      <c r="AO40" s="143"/>
    </row>
    <row r="41" spans="3:41">
      <c r="C41" s="136">
        <v>36</v>
      </c>
      <c r="D41" s="136" t="s">
        <v>140</v>
      </c>
      <c r="E41" s="19"/>
      <c r="F41" s="137" t="s">
        <v>252</v>
      </c>
      <c r="G41" s="138" t="str">
        <f>VLOOKUP($F41,List!$D$5:$G$35,3,0)</f>
        <v>Area 1</v>
      </c>
      <c r="H41" s="138" t="str">
        <f>VLOOKUP($F41,List!$D$5:$G$35,4,0)</f>
        <v>Area 1 - West Java</v>
      </c>
      <c r="I41" s="126" t="str">
        <f>J41&amp;K41</f>
        <v>GUN112R-BTMXYD00</v>
      </c>
      <c r="J41" s="159" t="s">
        <v>322</v>
      </c>
      <c r="K41" s="628" t="s">
        <v>254</v>
      </c>
      <c r="L41" s="20" t="str">
        <f>VLOOKUP(I41,'List Model'!A:E,4,0)</f>
        <v>HILUX S-CAB</v>
      </c>
      <c r="M41" s="20" t="str">
        <f>VLOOKUP(I41,'List Model'!A:E,5,0)</f>
        <v>HILUX PICK UP 2.4 DSL M/T</v>
      </c>
      <c r="N41" s="126">
        <f t="shared" si="3"/>
        <v>3</v>
      </c>
      <c r="O41" s="126" t="str">
        <f>IF($N41=0,"0",IF(AND($N41&gt;=1,$N41&lt;=7),"1 Minggu",IF(AND($N41&gt;=8,$N41&lt;=14),"2 Minggu",IF(AND($N41&gt;=15,$N41&lt;=21),"3 Minggu",IF(AND($N41&gt;=22,$N41&lt;=28),"4 Minggu",IF($N41&gt;=29,"&gt; 4 Minggu",0))))))</f>
        <v>1 Minggu</v>
      </c>
      <c r="P41" s="126" t="str">
        <f>IF($N41=0,"0",IF(AND($N41&gt;=0,$N41&lt;30),"&lt;30D",IF(AND($N41&gt;=30,$N41&lt;=60),"30D-60D",IF($N41&gt;60,"&gt;60D",0))))</f>
        <v>&lt;30D</v>
      </c>
      <c r="Q41" s="161">
        <v>46242</v>
      </c>
      <c r="R41" s="141" t="s">
        <v>13</v>
      </c>
      <c r="S41" s="141" t="s">
        <v>16</v>
      </c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62" t="s">
        <v>323</v>
      </c>
      <c r="AF41" s="162" t="s">
        <v>302</v>
      </c>
      <c r="AG41" s="143"/>
      <c r="AH41" s="162" t="s">
        <v>257</v>
      </c>
      <c r="AI41" s="163"/>
      <c r="AJ41" s="162" t="s">
        <v>324</v>
      </c>
      <c r="AK41" s="143"/>
      <c r="AL41" s="143"/>
      <c r="AM41" s="145"/>
      <c r="AN41" s="143"/>
      <c r="AO41" s="143"/>
    </row>
    <row r="42" spans="3:41">
      <c r="C42" s="136">
        <v>37</v>
      </c>
      <c r="D42" s="136" t="s">
        <v>140</v>
      </c>
      <c r="E42" s="19"/>
      <c r="F42" s="137" t="s">
        <v>252</v>
      </c>
      <c r="G42" s="138" t="str">
        <f>VLOOKUP($F42,List!$D$5:$G$35,3,0)</f>
        <v>Area 1</v>
      </c>
      <c r="H42" s="138" t="str">
        <f>VLOOKUP($F42,List!$D$5:$G$35,4,0)</f>
        <v>Area 1 - West Java</v>
      </c>
      <c r="I42" s="126" t="str">
        <f>J42&amp;K42</f>
        <v>GUN142R-MDMSYD22</v>
      </c>
      <c r="J42" s="159" t="s">
        <v>325</v>
      </c>
      <c r="K42" s="159" t="s">
        <v>326</v>
      </c>
      <c r="L42" s="20" t="str">
        <f>VLOOKUP(I42,'List Model'!A:E,4,0)</f>
        <v>INNOVA</v>
      </c>
      <c r="M42" s="20" t="str">
        <f>VLOOKUP(I42,'List Model'!A:E,5,0)</f>
        <v>INNOVA 2.4G M/T</v>
      </c>
      <c r="N42" s="126">
        <f t="shared" si="3"/>
        <v>4</v>
      </c>
      <c r="O42" s="126" t="str">
        <f>IF($N42=0,"0",IF(AND($N42&gt;=1,$N42&lt;=7),"1 Minggu",IF(AND($N42&gt;=8,$N42&lt;=14),"2 Minggu",IF(AND($N42&gt;=15,$N42&lt;=21),"3 Minggu",IF(AND($N42&gt;=22,$N42&lt;=28),"4 Minggu",IF($N42&gt;=29,"&gt; 4 Minggu",0))))))</f>
        <v>1 Minggu</v>
      </c>
      <c r="P42" s="126" t="str">
        <f>IF($N42=0,"0",IF(AND($N42&gt;=0,$N42&lt;30),"&lt;30D",IF(AND($N42&gt;=30,$N42&lt;=60),"30D-60D",IF($N42&gt;60,"&gt;60D",0))))</f>
        <v>&lt;30D</v>
      </c>
      <c r="Q42" s="164">
        <v>46241</v>
      </c>
      <c r="R42" s="141" t="s">
        <v>13</v>
      </c>
      <c r="S42" s="141" t="s">
        <v>16</v>
      </c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65" t="s">
        <v>327</v>
      </c>
      <c r="AF42" s="165" t="s">
        <v>328</v>
      </c>
      <c r="AG42" s="143"/>
      <c r="AH42" s="165" t="s">
        <v>269</v>
      </c>
      <c r="AI42" s="163"/>
      <c r="AJ42" s="165" t="s">
        <v>324</v>
      </c>
      <c r="AK42" s="143"/>
      <c r="AL42" s="151"/>
      <c r="AM42" s="145"/>
      <c r="AN42" s="151"/>
      <c r="AO42" s="143"/>
    </row>
    <row r="43" spans="3:41">
      <c r="C43" s="136">
        <v>38</v>
      </c>
      <c r="D43" s="136" t="s">
        <v>140</v>
      </c>
      <c r="E43" s="19"/>
      <c r="F43" s="137" t="s">
        <v>252</v>
      </c>
      <c r="G43" s="138" t="str">
        <f>VLOOKUP($F43,List!$D$5:$G$35,3,0)</f>
        <v>Area 1</v>
      </c>
      <c r="H43" s="138" t="str">
        <f>VLOOKUP($F43,List!$D$5:$G$35,4,0)</f>
        <v>Area 1 - West Java</v>
      </c>
      <c r="I43" s="126" t="str">
        <f>J43&amp;K43</f>
        <v>A351RA-GBGFJ02</v>
      </c>
      <c r="J43" s="159" t="s">
        <v>329</v>
      </c>
      <c r="K43" s="628" t="s">
        <v>330</v>
      </c>
      <c r="L43" s="20" t="str">
        <f>VLOOKUP(I43,'List Model'!A:E,4,0)</f>
        <v>AGYA GR-S</v>
      </c>
      <c r="M43" s="20" t="str">
        <f>VLOOKUP(I43,'List Model'!A:E,5,0)</f>
        <v>AGYA 1.2 GR CVT</v>
      </c>
      <c r="N43" s="126">
        <f t="shared" si="3"/>
        <v>4</v>
      </c>
      <c r="O43" s="126" t="str">
        <f>IF($N43=0,"0",IF(AND($N43&gt;=1,$N43&lt;=7),"1 Minggu",IF(AND($N43&gt;=8,$N43&lt;=14),"2 Minggu",IF(AND($N43&gt;=15,$N43&lt;=21),"3 Minggu",IF(AND($N43&gt;=22,$N43&lt;=28),"4 Minggu",IF($N43&gt;=29,"&gt; 4 Minggu",0))))))</f>
        <v>1 Minggu</v>
      </c>
      <c r="P43" s="126" t="str">
        <f>IF($N43=0,"0",IF(AND($N43&gt;=0,$N43&lt;30),"&lt;30D",IF(AND($N43&gt;=30,$N43&lt;=60),"30D-60D",IF($N43&gt;60,"&gt;60D",0))))</f>
        <v>&lt;30D</v>
      </c>
      <c r="Q43" s="161">
        <v>46241</v>
      </c>
      <c r="R43" s="141" t="s">
        <v>13</v>
      </c>
      <c r="S43" s="141" t="s">
        <v>16</v>
      </c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62" t="s">
        <v>331</v>
      </c>
      <c r="AF43" s="162" t="s">
        <v>306</v>
      </c>
      <c r="AG43" s="143"/>
      <c r="AH43" s="162" t="s">
        <v>332</v>
      </c>
      <c r="AI43" s="163"/>
      <c r="AJ43" s="162" t="s">
        <v>324</v>
      </c>
      <c r="AK43" s="143"/>
      <c r="AL43" s="151"/>
      <c r="AM43" s="145"/>
      <c r="AN43" s="143"/>
      <c r="AO43" s="143"/>
    </row>
    <row r="44" spans="3:41">
      <c r="C44" s="136">
        <v>39</v>
      </c>
      <c r="D44" s="136" t="s">
        <v>140</v>
      </c>
      <c r="E44" s="19"/>
      <c r="F44" s="137" t="s">
        <v>252</v>
      </c>
      <c r="G44" s="138" t="str">
        <f>VLOOKUP($F44,List!$D$5:$G$35,3,0)</f>
        <v>Area 1</v>
      </c>
      <c r="H44" s="138" t="str">
        <f>VLOOKUP($F44,List!$D$5:$G$35,4,0)</f>
        <v>Area 1 - West Java</v>
      </c>
      <c r="I44" s="126" t="str">
        <f>J44&amp;K44</f>
        <v>B401RA-GQZFJ02</v>
      </c>
      <c r="J44" s="159" t="s">
        <v>333</v>
      </c>
      <c r="K44" s="159" t="s">
        <v>330</v>
      </c>
      <c r="L44" s="20" t="str">
        <f>VLOOKUP(I44,'List Model'!A:E,4,0)</f>
        <v>CALYA</v>
      </c>
      <c r="M44" s="20" t="str">
        <f>VLOOKUP(I44,'List Model'!A:E,5,0)</f>
        <v>CALYA 1.2G A/T</v>
      </c>
      <c r="N44" s="126">
        <f t="shared" si="3"/>
        <v>4</v>
      </c>
      <c r="O44" s="126" t="str">
        <f>IF($N44=0,"0",IF(AND($N44&gt;=1,$N44&lt;=7),"1 Minggu",IF(AND($N44&gt;=8,$N44&lt;=14),"2 Minggu",IF(AND($N44&gt;=15,$N44&lt;=21),"3 Minggu",IF(AND($N44&gt;=22,$N44&lt;=28),"4 Minggu",IF($N44&gt;=29,"&gt; 4 Minggu",0))))))</f>
        <v>1 Minggu</v>
      </c>
      <c r="P44" s="126" t="str">
        <f>IF($N44=0,"0",IF(AND($N44&gt;=0,$N44&lt;30),"&lt;30D",IF(AND($N44&gt;=30,$N44&lt;=60),"30D-60D",IF($N44&gt;60,"&gt;60D",0))))</f>
        <v>&lt;30D</v>
      </c>
      <c r="Q44" s="164">
        <v>46241</v>
      </c>
      <c r="R44" s="141" t="s">
        <v>13</v>
      </c>
      <c r="S44" s="141" t="s">
        <v>14</v>
      </c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65" t="s">
        <v>334</v>
      </c>
      <c r="AF44" s="165" t="s">
        <v>335</v>
      </c>
      <c r="AG44" s="143"/>
      <c r="AH44" s="165" t="s">
        <v>288</v>
      </c>
      <c r="AI44" s="163"/>
      <c r="AJ44" s="165"/>
      <c r="AK44" s="143"/>
      <c r="AL44" s="143"/>
      <c r="AM44" s="145"/>
      <c r="AN44" s="157"/>
      <c r="AO44" s="143"/>
    </row>
    <row r="45" spans="3:41">
      <c r="C45" s="136">
        <v>40</v>
      </c>
      <c r="D45" s="136" t="s">
        <v>140</v>
      </c>
      <c r="E45" s="19"/>
      <c r="F45" s="137" t="s">
        <v>252</v>
      </c>
      <c r="G45" s="138" t="str">
        <f>VLOOKUP($F45,List!$D$5:$G$35,3,0)</f>
        <v>Area 1</v>
      </c>
      <c r="H45" s="138" t="str">
        <f>VLOOKUP($F45,List!$D$5:$G$35,4,0)</f>
        <v>Area 1 - West Java</v>
      </c>
      <c r="I45" s="126" t="str">
        <f>J45&amp;K45</f>
        <v>KDH223R-LEMDY00</v>
      </c>
      <c r="J45" s="159" t="s">
        <v>259</v>
      </c>
      <c r="K45" s="159" t="s">
        <v>254</v>
      </c>
      <c r="L45" s="20" t="str">
        <f>VLOOKUP(I45,'List Model'!A:E,4,0)</f>
        <v>HIACE</v>
      </c>
      <c r="M45" s="20" t="str">
        <f>VLOOKUP(I45,'List Model'!A:E,5,0)</f>
        <v>HI ACE COMMUTER M/T</v>
      </c>
      <c r="N45" s="126">
        <f t="shared" si="3"/>
        <v>4</v>
      </c>
      <c r="O45" s="126" t="str">
        <f>IF($N45=0,"0",IF(AND($N45&gt;=1,$N45&lt;=7),"1 Minggu",IF(AND($N45&gt;=8,$N45&lt;=14),"2 Minggu",IF(AND($N45&gt;=15,$N45&lt;=21),"3 Minggu",IF(AND($N45&gt;=22,$N45&lt;=28),"4 Minggu",IF($N45&gt;=29,"&gt; 4 Minggu",0))))))</f>
        <v>1 Minggu</v>
      </c>
      <c r="P45" s="126" t="str">
        <f>IF($N45=0,"0",IF(AND($N45&gt;=0,$N45&lt;30),"&lt;30D",IF(AND($N45&gt;=30,$N45&lt;=60),"30D-60D",IF($N45&gt;60,"&gt;60D",0))))</f>
        <v>&lt;30D</v>
      </c>
      <c r="Q45" s="161">
        <v>46241</v>
      </c>
      <c r="R45" s="141" t="s">
        <v>13</v>
      </c>
      <c r="S45" s="141" t="s">
        <v>16</v>
      </c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62" t="s">
        <v>336</v>
      </c>
      <c r="AF45" s="162" t="s">
        <v>300</v>
      </c>
      <c r="AG45" s="143"/>
      <c r="AH45" s="162" t="s">
        <v>337</v>
      </c>
      <c r="AI45" s="163"/>
      <c r="AJ45" s="162"/>
      <c r="AK45" s="143"/>
      <c r="AL45" s="143"/>
      <c r="AM45" s="145"/>
      <c r="AN45" s="147"/>
      <c r="AO45" s="151"/>
    </row>
    <row r="46" spans="3:41">
      <c r="C46" s="136">
        <v>41</v>
      </c>
      <c r="D46" s="136" t="s">
        <v>140</v>
      </c>
      <c r="E46" s="19"/>
      <c r="F46" s="137" t="s">
        <v>252</v>
      </c>
      <c r="G46" s="138" t="str">
        <f>VLOOKUP($F46,List!$D$5:$G$35,3,0)</f>
        <v>Area 1</v>
      </c>
      <c r="H46" s="138" t="str">
        <f>VLOOKUP($F46,List!$D$5:$G$35,4,0)</f>
        <v>Area 1 - West Java</v>
      </c>
      <c r="I46" s="126" t="str">
        <f>J46&amp;K46</f>
        <v>B401RA-GMZFJ20</v>
      </c>
      <c r="J46" s="166" t="s">
        <v>285</v>
      </c>
      <c r="K46" s="166">
        <v>20</v>
      </c>
      <c r="L46" s="20" t="str">
        <f>VLOOKUP(I46,'List Model'!A:E,4,0)</f>
        <v>CALYA</v>
      </c>
      <c r="M46" s="20" t="str">
        <f>VLOOKUP(I46,'List Model'!A:E,5,0)</f>
        <v>CALYA 1.2G M/T</v>
      </c>
      <c r="N46" s="126">
        <f t="shared" si="3"/>
        <v>5</v>
      </c>
      <c r="O46" s="126" t="str">
        <f>IF($N46=0,"0",IF(AND($N46&gt;=1,$N46&lt;=7),"1 Minggu",IF(AND($N46&gt;=8,$N46&lt;=14),"2 Minggu",IF(AND($N46&gt;=15,$N46&lt;=21),"3 Minggu",IF(AND($N46&gt;=22,$N46&lt;=28),"4 Minggu",IF($N46&gt;=29,"&gt; 4 Minggu",0))))))</f>
        <v>1 Minggu</v>
      </c>
      <c r="P46" s="126" t="str">
        <f>IF($N46=0,"0",IF(AND($N46&gt;=0,$N46&lt;30),"&lt;30D",IF(AND($N46&gt;=30,$N46&lt;=60),"30D-60D",IF($N46&gt;60,"&gt;60D",0))))</f>
        <v>&lt;30D</v>
      </c>
      <c r="Q46" s="164">
        <v>46240</v>
      </c>
      <c r="R46" s="141" t="s">
        <v>13</v>
      </c>
      <c r="S46" s="141" t="s">
        <v>12</v>
      </c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65" t="s">
        <v>338</v>
      </c>
      <c r="AF46" s="165" t="s">
        <v>296</v>
      </c>
      <c r="AG46" s="143"/>
      <c r="AH46" s="165" t="s">
        <v>339</v>
      </c>
      <c r="AI46" s="163"/>
      <c r="AJ46" s="165"/>
      <c r="AK46" s="143"/>
      <c r="AL46" s="143"/>
      <c r="AM46" s="145"/>
      <c r="AN46" s="157"/>
      <c r="AO46" s="143"/>
    </row>
    <row r="47" spans="3:41">
      <c r="C47" s="136">
        <v>42</v>
      </c>
      <c r="D47" s="136" t="s">
        <v>140</v>
      </c>
      <c r="E47" s="19"/>
      <c r="F47" s="137" t="s">
        <v>252</v>
      </c>
      <c r="G47" s="138" t="str">
        <f>VLOOKUP($F47,List!$D$5:$G$35,3,0)</f>
        <v>Area 1</v>
      </c>
      <c r="H47" s="138" t="str">
        <f>VLOOKUP($F47,List!$D$5:$G$35,4,0)</f>
        <v>Area 1 - West Java</v>
      </c>
      <c r="I47" s="126" t="str">
        <f>J47&amp;K47</f>
        <v>GUN142R-MDTSXD30</v>
      </c>
      <c r="J47" s="167" t="s">
        <v>340</v>
      </c>
      <c r="K47" s="166">
        <v>30</v>
      </c>
      <c r="L47" s="20" t="str">
        <f>VLOOKUP(I47,'List Model'!A:E,4,0)</f>
        <v>INNOVA</v>
      </c>
      <c r="M47" s="20" t="str">
        <f>VLOOKUP(I47,'List Model'!A:E,5,0)</f>
        <v>INNOVA 2.4G A/T</v>
      </c>
      <c r="N47" s="126">
        <f t="shared" si="3"/>
        <v>5</v>
      </c>
      <c r="O47" s="126" t="str">
        <f>IF($N47=0,"0",IF(AND($N47&gt;=1,$N47&lt;=7),"1 Minggu",IF(AND($N47&gt;=8,$N47&lt;=14),"2 Minggu",IF(AND($N47&gt;=15,$N47&lt;=21),"3 Minggu",IF(AND($N47&gt;=22,$N47&lt;=28),"4 Minggu",IF($N47&gt;=29,"&gt; 4 Minggu",0))))))</f>
        <v>1 Minggu</v>
      </c>
      <c r="P47" s="126" t="str">
        <f>IF($N47=0,"0",IF(AND($N47&gt;=0,$N47&lt;30),"&lt;30D",IF(AND($N47&gt;=30,$N47&lt;=60),"30D-60D",IF($N47&gt;60,"&gt;60D",0))))</f>
        <v>&lt;30D</v>
      </c>
      <c r="Q47" s="161">
        <v>46240</v>
      </c>
      <c r="R47" s="141" t="s">
        <v>13</v>
      </c>
      <c r="S47" s="141" t="s">
        <v>14</v>
      </c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62" t="s">
        <v>341</v>
      </c>
      <c r="AF47" s="162" t="s">
        <v>294</v>
      </c>
      <c r="AG47" s="143"/>
      <c r="AH47" s="162" t="s">
        <v>257</v>
      </c>
      <c r="AI47" s="163"/>
      <c r="AJ47" s="162"/>
      <c r="AK47" s="143"/>
      <c r="AL47" s="151"/>
      <c r="AM47" s="145"/>
      <c r="AN47" s="147"/>
      <c r="AO47" s="143"/>
    </row>
    <row r="48" spans="3:41">
      <c r="C48" s="136">
        <v>43</v>
      </c>
      <c r="D48" s="136" t="s">
        <v>140</v>
      </c>
      <c r="E48" s="19"/>
      <c r="F48" s="137" t="s">
        <v>252</v>
      </c>
      <c r="G48" s="138" t="str">
        <f>VLOOKUP($F48,List!$D$5:$G$35,3,0)</f>
        <v>Area 1</v>
      </c>
      <c r="H48" s="138" t="str">
        <f>VLOOKUP($F48,List!$D$5:$G$35,4,0)</f>
        <v>Area 1 - West Java</v>
      </c>
      <c r="I48" s="126" t="str">
        <f t="shared" ref="I48:I59" si="16">J48&amp;K48</f>
        <v>A351RA-GBEFJ00</v>
      </c>
      <c r="J48" s="168" t="s">
        <v>304</v>
      </c>
      <c r="K48" s="159" t="s">
        <v>254</v>
      </c>
      <c r="L48" s="20" t="str">
        <f>VLOOKUP(I48,'List Model'!A:E,4,0)</f>
        <v>AGYA</v>
      </c>
      <c r="M48" s="20" t="str">
        <f>VLOOKUP(I48,'List Model'!A:E,5,0)</f>
        <v>AGYA 1.2 G CVT</v>
      </c>
      <c r="N48" s="126">
        <f t="shared" ref="N48:N59" si="17">IF($Q48="",0,_xlfn.DAYS($A$6,$Q48)+1)</f>
        <v>6</v>
      </c>
      <c r="O48" s="126" t="str">
        <f t="shared" ref="O48:O59" si="18">IF($N48=0,"0",IF(AND($N48&gt;=1,$N48&lt;=7),"1 Minggu",IF(AND($N48&gt;=8,$N48&lt;=14),"2 Minggu",IF(AND($N48&gt;=15,$N48&lt;=21),"3 Minggu",IF(AND($N48&gt;=22,$N48&lt;=28),"4 Minggu",IF($N48&gt;=29,"&gt; 4 Minggu",0))))))</f>
        <v>1 Minggu</v>
      </c>
      <c r="P48" s="126" t="str">
        <f t="shared" ref="P48:P59" si="19">IF($N48=0,"0",IF(AND($N48&gt;=0,$N48&lt;30),"&lt;30D",IF(AND($N48&gt;=30,$N48&lt;=60),"30D-60D",IF($N48&gt;60,"&gt;60D",0))))</f>
        <v>&lt;30D</v>
      </c>
      <c r="Q48" s="164">
        <v>46239</v>
      </c>
      <c r="R48" s="141" t="s">
        <v>13</v>
      </c>
      <c r="S48" s="141" t="s">
        <v>12</v>
      </c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65" t="s">
        <v>342</v>
      </c>
      <c r="AF48" s="165" t="s">
        <v>328</v>
      </c>
      <c r="AG48" s="143"/>
      <c r="AH48" s="165" t="s">
        <v>261</v>
      </c>
      <c r="AI48" s="163"/>
      <c r="AJ48" s="165" t="s">
        <v>343</v>
      </c>
      <c r="AK48" s="143"/>
      <c r="AL48" s="151"/>
      <c r="AM48" s="145"/>
      <c r="AN48" s="151"/>
      <c r="AO48" s="143"/>
    </row>
    <row r="49" spans="3:41">
      <c r="C49" s="136">
        <v>44</v>
      </c>
      <c r="D49" s="136" t="s">
        <v>140</v>
      </c>
      <c r="E49" s="19"/>
      <c r="F49" s="137" t="s">
        <v>252</v>
      </c>
      <c r="G49" s="138" t="str">
        <f>VLOOKUP($F49,List!$D$5:$G$35,3,0)</f>
        <v>Area 1</v>
      </c>
      <c r="H49" s="138" t="str">
        <f>VLOOKUP($F49,List!$D$5:$G$35,4,0)</f>
        <v>Area 1 - West Java</v>
      </c>
      <c r="I49" s="126" t="str">
        <f t="shared" si="16"/>
        <v>B401RA-GMZFJ20</v>
      </c>
      <c r="J49" s="167" t="s">
        <v>285</v>
      </c>
      <c r="K49" s="166">
        <v>20</v>
      </c>
      <c r="L49" s="20" t="str">
        <f>VLOOKUP(I49,'List Model'!A:E,4,0)</f>
        <v>CALYA</v>
      </c>
      <c r="M49" s="20" t="str">
        <f>VLOOKUP(I49,'List Model'!A:E,5,0)</f>
        <v>CALYA 1.2G M/T</v>
      </c>
      <c r="N49" s="126">
        <f t="shared" si="17"/>
        <v>6</v>
      </c>
      <c r="O49" s="126" t="str">
        <f t="shared" si="18"/>
        <v>1 Minggu</v>
      </c>
      <c r="P49" s="126" t="str">
        <f t="shared" si="19"/>
        <v>&lt;30D</v>
      </c>
      <c r="Q49" s="161">
        <v>46239</v>
      </c>
      <c r="R49" s="141" t="s">
        <v>13</v>
      </c>
      <c r="S49" s="141" t="s">
        <v>12</v>
      </c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62" t="s">
        <v>344</v>
      </c>
      <c r="AF49" s="162" t="s">
        <v>294</v>
      </c>
      <c r="AG49" s="143"/>
      <c r="AH49" s="162" t="s">
        <v>261</v>
      </c>
      <c r="AI49" s="163"/>
      <c r="AJ49" s="162"/>
      <c r="AK49" s="143"/>
      <c r="AL49" s="151"/>
      <c r="AM49" s="145"/>
      <c r="AN49" s="147"/>
      <c r="AO49" s="151"/>
    </row>
    <row r="50" spans="3:41">
      <c r="C50" s="136">
        <v>45</v>
      </c>
      <c r="D50" s="136" t="s">
        <v>140</v>
      </c>
      <c r="E50" s="19"/>
      <c r="F50" s="137" t="s">
        <v>252</v>
      </c>
      <c r="G50" s="138" t="str">
        <f>VLOOKUP($F50,List!$D$5:$G$35,3,0)</f>
        <v>Area 1</v>
      </c>
      <c r="H50" s="138" t="str">
        <f>VLOOKUP($F50,List!$D$5:$G$35,4,0)</f>
        <v>Area 1 - West Java</v>
      </c>
      <c r="I50" s="126" t="str">
        <f t="shared" si="16"/>
        <v>B401RA-GQZFJ20</v>
      </c>
      <c r="J50" s="167" t="s">
        <v>333</v>
      </c>
      <c r="K50" s="166">
        <v>20</v>
      </c>
      <c r="L50" s="20" t="str">
        <f>VLOOKUP(I50,'List Model'!A:E,4,0)</f>
        <v>CALYA</v>
      </c>
      <c r="M50" s="20" t="str">
        <f>VLOOKUP(I50,'List Model'!A:E,5,0)</f>
        <v>CALYA 1.2G A/T</v>
      </c>
      <c r="N50" s="126">
        <f t="shared" si="17"/>
        <v>7</v>
      </c>
      <c r="O50" s="126" t="str">
        <f t="shared" si="18"/>
        <v>1 Minggu</v>
      </c>
      <c r="P50" s="126" t="str">
        <f t="shared" si="19"/>
        <v>&lt;30D</v>
      </c>
      <c r="Q50" s="164">
        <v>46238</v>
      </c>
      <c r="R50" s="141" t="s">
        <v>13</v>
      </c>
      <c r="S50" s="141" t="s">
        <v>14</v>
      </c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65" t="s">
        <v>345</v>
      </c>
      <c r="AF50" s="165" t="s">
        <v>256</v>
      </c>
      <c r="AG50" s="143"/>
      <c r="AH50" s="165" t="s">
        <v>346</v>
      </c>
      <c r="AI50" s="163"/>
      <c r="AJ50" s="165" t="s">
        <v>343</v>
      </c>
      <c r="AK50" s="143"/>
      <c r="AL50" s="151"/>
      <c r="AM50" s="145"/>
      <c r="AN50" s="147"/>
      <c r="AO50" s="151"/>
    </row>
    <row r="51" spans="3:41">
      <c r="C51" s="136">
        <v>46</v>
      </c>
      <c r="D51" s="136" t="s">
        <v>140</v>
      </c>
      <c r="E51" s="19"/>
      <c r="F51" s="137" t="s">
        <v>252</v>
      </c>
      <c r="G51" s="138" t="str">
        <f>VLOOKUP($F51,List!$D$5:$G$35,3,0)</f>
        <v>Area 1</v>
      </c>
      <c r="H51" s="138" t="str">
        <f>VLOOKUP($F51,List!$D$5:$G$35,4,0)</f>
        <v>Area 1 - West Java</v>
      </c>
      <c r="I51" s="126" t="str">
        <f t="shared" si="16"/>
        <v>A250RA-GBVVJ31</v>
      </c>
      <c r="J51" s="167" t="s">
        <v>347</v>
      </c>
      <c r="K51" s="166">
        <v>31</v>
      </c>
      <c r="L51" s="20" t="str">
        <f>VLOOKUP(I51,'List Model'!A:E,4,0)</f>
        <v>RAIZE</v>
      </c>
      <c r="M51" s="20" t="str">
        <f>VLOOKUP(I51,'List Model'!A:E,5,0)</f>
        <v>RAIZE 1.0T S CVT One Tone</v>
      </c>
      <c r="N51" s="126">
        <f t="shared" si="17"/>
        <v>7</v>
      </c>
      <c r="O51" s="126" t="str">
        <f t="shared" si="18"/>
        <v>1 Minggu</v>
      </c>
      <c r="P51" s="126" t="str">
        <f t="shared" si="19"/>
        <v>&lt;30D</v>
      </c>
      <c r="Q51" s="161">
        <v>46238</v>
      </c>
      <c r="R51" s="141" t="s">
        <v>13</v>
      </c>
      <c r="S51" s="141" t="s">
        <v>12</v>
      </c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62" t="s">
        <v>348</v>
      </c>
      <c r="AF51" s="162" t="s">
        <v>284</v>
      </c>
      <c r="AG51" s="143"/>
      <c r="AH51" s="162" t="s">
        <v>349</v>
      </c>
      <c r="AI51" s="163"/>
      <c r="AJ51" s="162" t="s">
        <v>324</v>
      </c>
      <c r="AK51" s="143"/>
      <c r="AL51" s="151"/>
      <c r="AM51" s="145"/>
      <c r="AN51" s="147"/>
      <c r="AO51" s="143"/>
    </row>
    <row r="52" spans="3:41">
      <c r="C52" s="136">
        <v>47</v>
      </c>
      <c r="D52" s="136" t="s">
        <v>140</v>
      </c>
      <c r="E52" s="19"/>
      <c r="F52" s="137" t="s">
        <v>252</v>
      </c>
      <c r="G52" s="138" t="str">
        <f>VLOOKUP($F52,List!$D$5:$G$35,3,0)</f>
        <v>Area 1</v>
      </c>
      <c r="H52" s="138" t="str">
        <f>VLOOKUP($F52,List!$D$5:$G$35,4,0)</f>
        <v>Area 1 - West Java</v>
      </c>
      <c r="I52" s="126" t="str">
        <f t="shared" si="16"/>
        <v>W101RE-LMMFJ00</v>
      </c>
      <c r="J52" s="167" t="s">
        <v>281</v>
      </c>
      <c r="K52" s="629" t="s">
        <v>254</v>
      </c>
      <c r="L52" s="20" t="str">
        <f>VLOOKUP(I52,'List Model'!A:E,4,0)</f>
        <v>AVANZA NEW</v>
      </c>
      <c r="M52" s="20" t="str">
        <f>VLOOKUP(I52,'List Model'!A:E,5,0)</f>
        <v>NEW AVANZA 1.5G M/T</v>
      </c>
      <c r="N52" s="126">
        <f t="shared" si="17"/>
        <v>7</v>
      </c>
      <c r="O52" s="126" t="str">
        <f t="shared" si="18"/>
        <v>1 Minggu</v>
      </c>
      <c r="P52" s="126" t="str">
        <f t="shared" si="19"/>
        <v>&lt;30D</v>
      </c>
      <c r="Q52" s="164">
        <v>46238</v>
      </c>
      <c r="R52" s="141" t="s">
        <v>13</v>
      </c>
      <c r="S52" s="141" t="s">
        <v>12</v>
      </c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65" t="s">
        <v>350</v>
      </c>
      <c r="AF52" s="165" t="s">
        <v>302</v>
      </c>
      <c r="AG52" s="143"/>
      <c r="AH52" s="165" t="s">
        <v>261</v>
      </c>
      <c r="AI52" s="163"/>
      <c r="AJ52" s="165" t="s">
        <v>343</v>
      </c>
      <c r="AK52" s="143"/>
      <c r="AL52" s="151"/>
      <c r="AM52" s="145"/>
      <c r="AN52" s="147"/>
      <c r="AO52" s="147"/>
    </row>
    <row r="53" spans="3:41">
      <c r="C53" s="136">
        <v>48</v>
      </c>
      <c r="D53" s="136" t="s">
        <v>140</v>
      </c>
      <c r="E53" s="19"/>
      <c r="F53" s="137" t="s">
        <v>252</v>
      </c>
      <c r="G53" s="138" t="str">
        <f>VLOOKUP($F53,List!$D$5:$G$35,3,0)</f>
        <v>Area 1</v>
      </c>
      <c r="H53" s="138" t="str">
        <f>VLOOKUP($F53,List!$D$5:$G$35,4,0)</f>
        <v>Area 1 - West Java</v>
      </c>
      <c r="I53" s="126" t="str">
        <f t="shared" si="16"/>
        <v>W101RE-LBMFJ00</v>
      </c>
      <c r="J53" s="167" t="s">
        <v>273</v>
      </c>
      <c r="K53" s="629" t="s">
        <v>254</v>
      </c>
      <c r="L53" s="20" t="str">
        <f>VLOOKUP(I53,'List Model'!A:E,4,0)</f>
        <v>AVANZA NEW</v>
      </c>
      <c r="M53" s="20" t="str">
        <f>VLOOKUP(I53,'List Model'!A:E,5,0)</f>
        <v>NEW AVANZA 1.5G CVT</v>
      </c>
      <c r="N53" s="126">
        <f t="shared" si="17"/>
        <v>7</v>
      </c>
      <c r="O53" s="126" t="str">
        <f t="shared" si="18"/>
        <v>1 Minggu</v>
      </c>
      <c r="P53" s="126" t="str">
        <f t="shared" si="19"/>
        <v>&lt;30D</v>
      </c>
      <c r="Q53" s="161">
        <v>46238</v>
      </c>
      <c r="R53" s="141" t="s">
        <v>13</v>
      </c>
      <c r="S53" s="141" t="s">
        <v>12</v>
      </c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62" t="s">
        <v>351</v>
      </c>
      <c r="AF53" s="162" t="s">
        <v>294</v>
      </c>
      <c r="AG53" s="143"/>
      <c r="AH53" s="162" t="s">
        <v>321</v>
      </c>
      <c r="AI53" s="163"/>
      <c r="AJ53" s="162"/>
      <c r="AK53" s="143"/>
      <c r="AL53" s="157"/>
      <c r="AM53" s="145"/>
      <c r="AN53" s="147"/>
      <c r="AO53" s="147"/>
    </row>
    <row r="54" spans="3:41">
      <c r="C54" s="136">
        <v>49</v>
      </c>
      <c r="D54" s="136" t="s">
        <v>140</v>
      </c>
      <c r="E54" s="19"/>
      <c r="F54" s="137" t="s">
        <v>252</v>
      </c>
      <c r="G54" s="138" t="str">
        <f>VLOOKUP($F54,List!$D$5:$G$35,3,0)</f>
        <v>Area 1</v>
      </c>
      <c r="H54" s="138" t="str">
        <f>VLOOKUP($F54,List!$D$5:$G$35,4,0)</f>
        <v>Area 1 - West Java</v>
      </c>
      <c r="I54" s="126" t="str">
        <f t="shared" si="16"/>
        <v>GUN142R-MDTSXD30</v>
      </c>
      <c r="J54" s="167" t="s">
        <v>340</v>
      </c>
      <c r="K54" s="166">
        <v>30</v>
      </c>
      <c r="L54" s="20" t="str">
        <f>VLOOKUP(I54,'List Model'!A:E,4,0)</f>
        <v>INNOVA</v>
      </c>
      <c r="M54" s="20" t="str">
        <f>VLOOKUP(I54,'List Model'!A:E,5,0)</f>
        <v>INNOVA 2.4G A/T</v>
      </c>
      <c r="N54" s="126">
        <f t="shared" si="17"/>
        <v>7</v>
      </c>
      <c r="O54" s="126" t="str">
        <f t="shared" si="18"/>
        <v>1 Minggu</v>
      </c>
      <c r="P54" s="126" t="str">
        <f t="shared" si="19"/>
        <v>&lt;30D</v>
      </c>
      <c r="Q54" s="164">
        <v>46238</v>
      </c>
      <c r="R54" s="141" t="s">
        <v>13</v>
      </c>
      <c r="S54" s="141" t="s">
        <v>12</v>
      </c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65" t="s">
        <v>352</v>
      </c>
      <c r="AF54" s="165" t="s">
        <v>296</v>
      </c>
      <c r="AG54" s="143"/>
      <c r="AH54" s="165" t="s">
        <v>257</v>
      </c>
      <c r="AI54" s="163"/>
      <c r="AJ54" s="165"/>
      <c r="AK54" s="143"/>
      <c r="AL54" s="157"/>
      <c r="AM54" s="145"/>
      <c r="AN54" s="157"/>
      <c r="AO54" s="147"/>
    </row>
    <row r="55" spans="3:41">
      <c r="C55" s="136">
        <v>50</v>
      </c>
      <c r="D55" s="136" t="s">
        <v>140</v>
      </c>
      <c r="E55" s="19"/>
      <c r="F55" s="137" t="s">
        <v>252</v>
      </c>
      <c r="G55" s="138" t="str">
        <f>VLOOKUP($F55,List!$D$5:$G$35,3,0)</f>
        <v>Area 1</v>
      </c>
      <c r="H55" s="138" t="str">
        <f>VLOOKUP($F55,List!$D$5:$G$35,4,0)</f>
        <v>Area 1 - West Java</v>
      </c>
      <c r="I55" s="126" t="str">
        <f t="shared" si="16"/>
        <v>W101RE-LMMFJ00</v>
      </c>
      <c r="J55" s="167" t="s">
        <v>281</v>
      </c>
      <c r="K55" s="629" t="s">
        <v>254</v>
      </c>
      <c r="L55" s="20" t="str">
        <f>VLOOKUP(I55,'List Model'!A:E,4,0)</f>
        <v>AVANZA NEW</v>
      </c>
      <c r="M55" s="20" t="str">
        <f>VLOOKUP(I55,'List Model'!A:E,5,0)</f>
        <v>NEW AVANZA 1.5G M/T</v>
      </c>
      <c r="N55" s="126">
        <f t="shared" si="17"/>
        <v>9</v>
      </c>
      <c r="O55" s="126" t="str">
        <f t="shared" si="18"/>
        <v>2 Minggu</v>
      </c>
      <c r="P55" s="126" t="str">
        <f t="shared" si="19"/>
        <v>&lt;30D</v>
      </c>
      <c r="Q55" s="161">
        <v>46236</v>
      </c>
      <c r="R55" s="141" t="s">
        <v>13</v>
      </c>
      <c r="S55" s="141" t="s">
        <v>14</v>
      </c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62" t="s">
        <v>353</v>
      </c>
      <c r="AF55" s="162" t="s">
        <v>354</v>
      </c>
      <c r="AG55" s="143"/>
      <c r="AH55" s="162" t="s">
        <v>307</v>
      </c>
      <c r="AI55" s="163"/>
      <c r="AJ55" s="162" t="s">
        <v>324</v>
      </c>
      <c r="AK55" s="143"/>
      <c r="AL55" s="151"/>
      <c r="AM55" s="145"/>
      <c r="AN55" s="169"/>
      <c r="AO55" s="143"/>
    </row>
    <row r="56" spans="3:41">
      <c r="C56" s="136">
        <v>51</v>
      </c>
      <c r="D56" s="136" t="s">
        <v>140</v>
      </c>
      <c r="E56" s="19"/>
      <c r="F56" s="137" t="s">
        <v>252</v>
      </c>
      <c r="G56" s="138" t="str">
        <f>VLOOKUP($F56,List!$D$5:$G$35,3,0)</f>
        <v>Area 1</v>
      </c>
      <c r="H56" s="138" t="str">
        <f>VLOOKUP($F56,List!$D$5:$G$35,4,0)</f>
        <v>Area 1 - West Java</v>
      </c>
      <c r="I56" s="126" t="str">
        <f t="shared" si="16"/>
        <v>W102RE-LBVFJ08</v>
      </c>
      <c r="J56" s="167" t="s">
        <v>312</v>
      </c>
      <c r="K56" s="629" t="s">
        <v>313</v>
      </c>
      <c r="L56" s="20" t="str">
        <f>VLOOKUP(I56,'List Model'!A:E,4,0)</f>
        <v>VELOZ HYBRID</v>
      </c>
      <c r="M56" s="20" t="str">
        <f>VLOOKUP(I56,'List Model'!A:E,5,0)</f>
        <v>VELOZ 1.5 Q HYBRID  CVT-NON PREMIUM COLOR</v>
      </c>
      <c r="N56" s="126">
        <f t="shared" si="17"/>
        <v>10</v>
      </c>
      <c r="O56" s="126" t="str">
        <f t="shared" si="18"/>
        <v>2 Minggu</v>
      </c>
      <c r="P56" s="126" t="str">
        <f t="shared" si="19"/>
        <v>&lt;30D</v>
      </c>
      <c r="Q56" s="164">
        <v>46235</v>
      </c>
      <c r="R56" s="141" t="s">
        <v>13</v>
      </c>
      <c r="S56" s="141" t="s">
        <v>12</v>
      </c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65" t="s">
        <v>314</v>
      </c>
      <c r="AF56" s="165" t="s">
        <v>294</v>
      </c>
      <c r="AG56" s="143"/>
      <c r="AH56" s="165" t="s">
        <v>315</v>
      </c>
      <c r="AI56" s="163"/>
      <c r="AJ56" s="165"/>
      <c r="AK56" s="143"/>
      <c r="AL56" s="151"/>
      <c r="AM56" s="145"/>
      <c r="AN56" s="153"/>
      <c r="AO56" s="147"/>
    </row>
    <row r="57" spans="3:41">
      <c r="C57" s="136">
        <v>52</v>
      </c>
      <c r="D57" s="136" t="s">
        <v>140</v>
      </c>
      <c r="E57" s="19"/>
      <c r="F57" s="137" t="s">
        <v>252</v>
      </c>
      <c r="G57" s="138" t="str">
        <f>VLOOKUP($F57,List!$D$5:$G$35,3,0)</f>
        <v>Area 1</v>
      </c>
      <c r="H57" s="138" t="str">
        <f>VLOOKUP($F57,List!$D$5:$G$35,4,0)</f>
        <v>Area 1 - West Java</v>
      </c>
      <c r="I57" s="126" t="str">
        <f t="shared" si="16"/>
        <v>W102RE-LBVFJ08</v>
      </c>
      <c r="J57" s="167" t="s">
        <v>312</v>
      </c>
      <c r="K57" s="629" t="s">
        <v>313</v>
      </c>
      <c r="L57" s="20" t="str">
        <f>VLOOKUP(I57,'List Model'!A:E,4,0)</f>
        <v>VELOZ HYBRID</v>
      </c>
      <c r="M57" s="20" t="str">
        <f>VLOOKUP(I57,'List Model'!A:E,5,0)</f>
        <v>VELOZ 1.5 Q HYBRID  CVT-NON PREMIUM COLOR</v>
      </c>
      <c r="N57" s="126">
        <f t="shared" si="17"/>
        <v>10</v>
      </c>
      <c r="O57" s="126" t="str">
        <f t="shared" si="18"/>
        <v>2 Minggu</v>
      </c>
      <c r="P57" s="126" t="str">
        <f t="shared" si="19"/>
        <v>&lt;30D</v>
      </c>
      <c r="Q57" s="161">
        <v>46235</v>
      </c>
      <c r="R57" s="141" t="s">
        <v>13</v>
      </c>
      <c r="S57" s="141" t="s">
        <v>12</v>
      </c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62" t="s">
        <v>314</v>
      </c>
      <c r="AF57" s="162" t="s">
        <v>294</v>
      </c>
      <c r="AG57" s="143"/>
      <c r="AH57" s="162" t="s">
        <v>315</v>
      </c>
      <c r="AI57" s="163"/>
      <c r="AJ57" s="162"/>
      <c r="AK57" s="143"/>
      <c r="AL57" s="151"/>
      <c r="AM57" s="145"/>
      <c r="AN57" s="169"/>
      <c r="AO57" s="153"/>
    </row>
    <row r="58" spans="3:41">
      <c r="C58" s="136">
        <v>53</v>
      </c>
      <c r="D58" s="136" t="s">
        <v>140</v>
      </c>
      <c r="E58" s="19"/>
      <c r="F58" s="137" t="s">
        <v>252</v>
      </c>
      <c r="G58" s="138" t="str">
        <f>VLOOKUP($F58,List!$D$5:$G$35,3,0)</f>
        <v>Area 1</v>
      </c>
      <c r="H58" s="138" t="str">
        <f>VLOOKUP($F58,List!$D$5:$G$35,4,0)</f>
        <v>Area 1 - West Java</v>
      </c>
      <c r="I58" s="126" t="str">
        <f t="shared" si="16"/>
        <v>W101RE-LMMFJ00</v>
      </c>
      <c r="J58" s="167" t="s">
        <v>281</v>
      </c>
      <c r="K58" s="629" t="s">
        <v>254</v>
      </c>
      <c r="L58" s="20" t="str">
        <f>VLOOKUP(I58,'List Model'!A:E,4,0)</f>
        <v>AVANZA NEW</v>
      </c>
      <c r="M58" s="20" t="str">
        <f>VLOOKUP(I58,'List Model'!A:E,5,0)</f>
        <v>NEW AVANZA 1.5G M/T</v>
      </c>
      <c r="N58" s="126">
        <f t="shared" si="17"/>
        <v>11</v>
      </c>
      <c r="O58" s="126" t="str">
        <f t="shared" si="18"/>
        <v>2 Minggu</v>
      </c>
      <c r="P58" s="126" t="str">
        <f t="shared" si="19"/>
        <v>&lt;30D</v>
      </c>
      <c r="Q58" s="164">
        <v>46234</v>
      </c>
      <c r="R58" s="141" t="s">
        <v>13</v>
      </c>
      <c r="S58" s="141" t="s">
        <v>12</v>
      </c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65" t="s">
        <v>355</v>
      </c>
      <c r="AF58" s="165" t="s">
        <v>356</v>
      </c>
      <c r="AG58" s="143"/>
      <c r="AH58" s="165" t="s">
        <v>315</v>
      </c>
      <c r="AI58" s="163"/>
      <c r="AJ58" s="165"/>
      <c r="AK58" s="143"/>
      <c r="AL58" s="170"/>
      <c r="AM58" s="145"/>
      <c r="AN58" s="151"/>
      <c r="AO58" s="153"/>
    </row>
    <row r="59" spans="3:41">
      <c r="C59" s="136">
        <v>54</v>
      </c>
      <c r="D59" s="136" t="s">
        <v>140</v>
      </c>
      <c r="E59" s="19"/>
      <c r="F59" s="137" t="s">
        <v>252</v>
      </c>
      <c r="G59" s="138" t="str">
        <f>VLOOKUP($F59,List!$D$5:$G$35,3,0)</f>
        <v>Area 1</v>
      </c>
      <c r="H59" s="138" t="str">
        <f>VLOOKUP($F59,List!$D$5:$G$35,4,0)</f>
        <v>Area 1 - West Java</v>
      </c>
      <c r="I59" s="126" t="str">
        <f t="shared" si="16"/>
        <v>W100RE-LMDFJ00</v>
      </c>
      <c r="J59" s="167" t="s">
        <v>292</v>
      </c>
      <c r="K59" s="630" t="s">
        <v>254</v>
      </c>
      <c r="L59" s="20" t="str">
        <f>VLOOKUP(I59,'List Model'!A:E,4,0)</f>
        <v>AVANZA NEW</v>
      </c>
      <c r="M59" s="20" t="str">
        <f>VLOOKUP(I59,'List Model'!A:E,5,0)</f>
        <v>NEW AVANZA 1.3E M/T</v>
      </c>
      <c r="N59" s="126">
        <f t="shared" si="17"/>
        <v>19</v>
      </c>
      <c r="O59" s="126" t="str">
        <f t="shared" si="18"/>
        <v>3 Minggu</v>
      </c>
      <c r="P59" s="126" t="str">
        <f t="shared" si="19"/>
        <v>&lt;30D</v>
      </c>
      <c r="Q59" s="161">
        <v>46226</v>
      </c>
      <c r="R59" s="141" t="s">
        <v>13</v>
      </c>
      <c r="S59" s="19" t="s">
        <v>14</v>
      </c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62" t="s">
        <v>357</v>
      </c>
      <c r="AF59" s="162" t="s">
        <v>358</v>
      </c>
      <c r="AG59" s="143"/>
      <c r="AH59" s="162" t="s">
        <v>321</v>
      </c>
      <c r="AI59" s="163"/>
      <c r="AJ59" s="162" t="s">
        <v>324</v>
      </c>
      <c r="AK59" s="143"/>
      <c r="AL59" s="158"/>
      <c r="AM59" s="145"/>
      <c r="AN59" s="151"/>
      <c r="AO59" s="153"/>
    </row>
    <row r="60" spans="3:41">
      <c r="C60" s="136"/>
      <c r="D60" s="136"/>
      <c r="E60" s="19"/>
      <c r="F60" s="15"/>
      <c r="G60" s="138"/>
      <c r="H60" s="138"/>
      <c r="I60" s="126"/>
      <c r="J60" s="15"/>
      <c r="K60" s="15"/>
      <c r="L60" s="20"/>
      <c r="M60" s="20"/>
      <c r="N60" s="126"/>
      <c r="O60" s="126"/>
      <c r="P60" s="126"/>
      <c r="Q60" s="171"/>
      <c r="R60" s="172"/>
      <c r="S60" s="172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43"/>
      <c r="AF60" s="143"/>
      <c r="AG60" s="143"/>
      <c r="AH60" s="143"/>
      <c r="AI60" s="143"/>
      <c r="AJ60" s="143"/>
      <c r="AK60" s="143"/>
      <c r="AL60" s="151"/>
      <c r="AM60" s="145"/>
      <c r="AN60" s="151"/>
      <c r="AO60" s="153"/>
    </row>
    <row r="61" spans="3:41">
      <c r="C61" s="136"/>
      <c r="D61" s="136"/>
      <c r="E61" s="19"/>
      <c r="F61" s="15"/>
      <c r="G61" s="138"/>
      <c r="H61" s="138"/>
      <c r="I61" s="126"/>
      <c r="J61" s="15"/>
      <c r="K61" s="15"/>
      <c r="L61" s="20"/>
      <c r="M61" s="20"/>
      <c r="N61" s="126"/>
      <c r="O61" s="126"/>
      <c r="P61" s="126"/>
      <c r="Q61" s="171"/>
      <c r="R61" s="172"/>
      <c r="S61" s="172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43"/>
      <c r="AF61" s="143"/>
      <c r="AG61" s="143"/>
      <c r="AH61" s="143"/>
      <c r="AI61" s="143"/>
      <c r="AJ61" s="143"/>
      <c r="AK61" s="143"/>
      <c r="AL61" s="151"/>
      <c r="AM61" s="145"/>
      <c r="AN61" s="169"/>
      <c r="AO61" s="153"/>
    </row>
    <row r="62" spans="3:41">
      <c r="C62" s="136"/>
      <c r="D62" s="136"/>
      <c r="E62" s="19"/>
      <c r="F62" s="15"/>
      <c r="G62" s="138"/>
      <c r="H62" s="138"/>
      <c r="I62" s="126"/>
      <c r="J62" s="15"/>
      <c r="K62" s="15"/>
      <c r="L62" s="20"/>
      <c r="M62" s="20"/>
      <c r="N62" s="126"/>
      <c r="O62" s="126"/>
      <c r="P62" s="126"/>
      <c r="Q62" s="171"/>
      <c r="R62" s="172"/>
      <c r="S62" s="172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43"/>
      <c r="AF62" s="143"/>
      <c r="AG62" s="143"/>
      <c r="AH62" s="143"/>
      <c r="AI62" s="143"/>
      <c r="AJ62" s="143"/>
      <c r="AK62" s="143"/>
      <c r="AL62" s="158"/>
      <c r="AM62" s="145"/>
      <c r="AN62" s="169"/>
      <c r="AO62" s="155"/>
    </row>
    <row r="63" spans="3:41">
      <c r="C63" s="136"/>
      <c r="D63" s="136"/>
      <c r="E63" s="19"/>
      <c r="F63" s="15"/>
      <c r="G63" s="138"/>
      <c r="H63" s="138"/>
      <c r="I63" s="126"/>
      <c r="J63" s="15"/>
      <c r="K63" s="15"/>
      <c r="L63" s="20"/>
      <c r="M63" s="20"/>
      <c r="N63" s="126"/>
      <c r="O63" s="126"/>
      <c r="P63" s="126"/>
      <c r="Q63" s="171"/>
      <c r="R63" s="173"/>
      <c r="S63" s="172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43"/>
      <c r="AF63" s="143"/>
      <c r="AG63" s="143"/>
      <c r="AH63" s="143"/>
      <c r="AI63" s="143"/>
      <c r="AJ63" s="143"/>
      <c r="AK63" s="143"/>
      <c r="AL63" s="174"/>
      <c r="AM63" s="145"/>
      <c r="AN63" s="147"/>
      <c r="AO63" s="153"/>
    </row>
    <row r="64" spans="3:41">
      <c r="C64" s="136"/>
      <c r="D64" s="136"/>
      <c r="E64" s="19"/>
      <c r="F64" s="15"/>
      <c r="G64" s="138"/>
      <c r="H64" s="138"/>
      <c r="I64" s="126"/>
      <c r="J64" s="15"/>
      <c r="K64" s="15"/>
      <c r="L64" s="20"/>
      <c r="M64" s="20"/>
      <c r="N64" s="126"/>
      <c r="O64" s="126"/>
      <c r="P64" s="126"/>
      <c r="Q64" s="171"/>
      <c r="R64" s="172"/>
      <c r="S64" s="172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43"/>
      <c r="AF64" s="143"/>
      <c r="AG64" s="143"/>
      <c r="AH64" s="143"/>
      <c r="AI64" s="143"/>
      <c r="AJ64" s="143"/>
      <c r="AK64" s="143"/>
      <c r="AL64" s="175"/>
      <c r="AM64" s="145"/>
      <c r="AN64" s="147"/>
      <c r="AO64" s="153"/>
    </row>
    <row r="65" spans="3:41">
      <c r="C65" s="136"/>
      <c r="D65" s="136"/>
      <c r="E65" s="19"/>
      <c r="F65" s="15"/>
      <c r="G65" s="138"/>
      <c r="H65" s="138"/>
      <c r="I65" s="126"/>
      <c r="J65" s="15"/>
      <c r="K65" s="15"/>
      <c r="L65" s="20"/>
      <c r="M65" s="20"/>
      <c r="N65" s="126"/>
      <c r="O65" s="126"/>
      <c r="P65" s="126"/>
      <c r="Q65" s="171"/>
      <c r="R65" s="173"/>
      <c r="S65" s="172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43"/>
      <c r="AF65" s="143"/>
      <c r="AG65" s="143"/>
      <c r="AH65" s="143"/>
      <c r="AI65" s="143"/>
      <c r="AJ65" s="143"/>
      <c r="AK65" s="143"/>
      <c r="AL65" s="174"/>
      <c r="AM65" s="145"/>
      <c r="AN65" s="147"/>
      <c r="AO65" s="153"/>
    </row>
    <row r="66" spans="3:41">
      <c r="C66" s="136"/>
      <c r="D66" s="136"/>
      <c r="E66" s="19"/>
      <c r="F66" s="15"/>
      <c r="G66" s="138"/>
      <c r="H66" s="138"/>
      <c r="I66" s="126"/>
      <c r="J66" s="15"/>
      <c r="K66" s="15"/>
      <c r="L66" s="20"/>
      <c r="M66" s="20"/>
      <c r="N66" s="126"/>
      <c r="O66" s="126"/>
      <c r="P66" s="126"/>
      <c r="Q66" s="171"/>
      <c r="R66" s="173"/>
      <c r="S66" s="172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43"/>
      <c r="AF66" s="143"/>
      <c r="AG66" s="143"/>
      <c r="AH66" s="143"/>
      <c r="AI66" s="143"/>
      <c r="AJ66" s="143"/>
      <c r="AK66" s="143"/>
      <c r="AL66" s="175"/>
      <c r="AM66" s="145"/>
      <c r="AN66" s="147"/>
      <c r="AO66" s="153"/>
    </row>
    <row r="67" spans="3:41">
      <c r="C67" s="136"/>
      <c r="D67" s="136"/>
      <c r="E67" s="19"/>
      <c r="F67" s="15"/>
      <c r="G67" s="138"/>
      <c r="H67" s="138"/>
      <c r="I67" s="126"/>
      <c r="J67" s="15"/>
      <c r="K67" s="15"/>
      <c r="L67" s="20"/>
      <c r="M67" s="20"/>
      <c r="N67" s="126"/>
      <c r="O67" s="126"/>
      <c r="P67" s="126"/>
      <c r="Q67" s="171"/>
      <c r="R67" s="173"/>
      <c r="S67" s="172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43"/>
      <c r="AF67" s="143"/>
      <c r="AG67" s="143"/>
      <c r="AH67" s="143"/>
      <c r="AI67" s="143"/>
      <c r="AJ67" s="143"/>
      <c r="AK67" s="143"/>
      <c r="AL67" s="175"/>
      <c r="AM67" s="145"/>
      <c r="AN67" s="147"/>
      <c r="AO67" s="155"/>
    </row>
    <row r="68" spans="3:41">
      <c r="C68" s="136"/>
      <c r="D68" s="136"/>
      <c r="E68" s="19"/>
      <c r="F68" s="15"/>
      <c r="G68" s="138"/>
      <c r="H68" s="138"/>
      <c r="I68" s="126"/>
      <c r="J68" s="15"/>
      <c r="K68" s="15"/>
      <c r="L68" s="20"/>
      <c r="M68" s="20"/>
      <c r="N68" s="126"/>
      <c r="O68" s="126"/>
      <c r="P68" s="126"/>
      <c r="Q68" s="171"/>
      <c r="R68" s="173"/>
      <c r="S68" s="172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43"/>
      <c r="AF68" s="143"/>
      <c r="AG68" s="143"/>
      <c r="AH68" s="143"/>
      <c r="AI68" s="143"/>
      <c r="AJ68" s="143"/>
      <c r="AK68" s="143"/>
      <c r="AL68" s="175"/>
      <c r="AM68" s="145"/>
      <c r="AN68" s="147"/>
      <c r="AO68" s="155"/>
    </row>
    <row r="69" spans="3:41">
      <c r="C69" s="136"/>
      <c r="D69" s="136"/>
      <c r="E69" s="19"/>
      <c r="F69" s="15"/>
      <c r="G69" s="138"/>
      <c r="H69" s="138"/>
      <c r="I69" s="126"/>
      <c r="J69" s="15"/>
      <c r="K69" s="15"/>
      <c r="L69" s="20"/>
      <c r="M69" s="20"/>
      <c r="N69" s="126"/>
      <c r="O69" s="126"/>
      <c r="P69" s="126"/>
      <c r="Q69" s="171"/>
      <c r="R69" s="173"/>
      <c r="S69" s="172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43"/>
      <c r="AF69" s="143"/>
      <c r="AG69" s="143"/>
      <c r="AH69" s="143"/>
      <c r="AI69" s="143"/>
      <c r="AJ69" s="143"/>
      <c r="AK69" s="143"/>
      <c r="AL69" s="175"/>
      <c r="AM69" s="145"/>
      <c r="AN69" s="147"/>
      <c r="AO69" s="157"/>
    </row>
    <row r="70" spans="3:41">
      <c r="C70" s="136"/>
      <c r="D70" s="136"/>
      <c r="E70" s="19"/>
      <c r="F70" s="15"/>
      <c r="G70" s="138"/>
      <c r="H70" s="138"/>
      <c r="I70" s="126"/>
      <c r="J70" s="15"/>
      <c r="K70" s="15"/>
      <c r="L70" s="20"/>
      <c r="M70" s="20"/>
      <c r="N70" s="126"/>
      <c r="O70" s="126"/>
      <c r="P70" s="126"/>
      <c r="Q70" s="171"/>
      <c r="R70" s="173"/>
      <c r="S70" s="172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43"/>
      <c r="AF70" s="143"/>
      <c r="AG70" s="143"/>
      <c r="AH70" s="143"/>
      <c r="AI70" s="143"/>
      <c r="AJ70" s="143"/>
      <c r="AK70" s="143"/>
      <c r="AL70" s="175"/>
      <c r="AM70" s="145"/>
      <c r="AN70" s="147"/>
      <c r="AO70" s="153"/>
    </row>
    <row r="71" spans="3:41">
      <c r="C71" s="136"/>
      <c r="D71" s="136"/>
      <c r="E71" s="19"/>
      <c r="F71" s="15"/>
      <c r="G71" s="138"/>
      <c r="H71" s="138"/>
      <c r="I71" s="126"/>
      <c r="J71" s="15"/>
      <c r="K71" s="15"/>
      <c r="L71" s="20"/>
      <c r="M71" s="20"/>
      <c r="N71" s="126"/>
      <c r="O71" s="126"/>
      <c r="P71" s="126"/>
      <c r="Q71" s="171"/>
      <c r="R71" s="173"/>
      <c r="S71" s="172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43"/>
      <c r="AF71" s="143"/>
      <c r="AG71" s="143"/>
      <c r="AH71" s="143"/>
      <c r="AI71" s="143"/>
      <c r="AJ71" s="143"/>
      <c r="AK71" s="143"/>
      <c r="AL71" s="175"/>
      <c r="AM71" s="145"/>
      <c r="AN71" s="147"/>
      <c r="AO71" s="155"/>
    </row>
    <row r="72" spans="3:41">
      <c r="C72" s="136"/>
      <c r="D72" s="136"/>
      <c r="E72" s="19"/>
      <c r="F72" s="15"/>
      <c r="G72" s="138"/>
      <c r="H72" s="138"/>
      <c r="I72" s="126"/>
      <c r="J72" s="15"/>
      <c r="K72" s="15"/>
      <c r="L72" s="20"/>
      <c r="M72" s="20"/>
      <c r="N72" s="126"/>
      <c r="O72" s="126"/>
      <c r="P72" s="126"/>
      <c r="Q72" s="171"/>
      <c r="R72" s="173"/>
      <c r="S72" s="172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43"/>
      <c r="AF72" s="143"/>
      <c r="AG72" s="143"/>
      <c r="AH72" s="143"/>
      <c r="AI72" s="143"/>
      <c r="AJ72" s="143"/>
      <c r="AK72" s="143"/>
      <c r="AL72" s="174"/>
      <c r="AM72" s="145"/>
      <c r="AN72" s="174"/>
      <c r="AO72" s="153"/>
    </row>
    <row r="73" spans="3:41">
      <c r="C73" s="136"/>
      <c r="D73" s="136"/>
      <c r="E73" s="19"/>
      <c r="F73" s="15"/>
      <c r="G73" s="138"/>
      <c r="H73" s="138"/>
      <c r="I73" s="126"/>
      <c r="J73" s="15"/>
      <c r="K73" s="15"/>
      <c r="L73" s="20"/>
      <c r="M73" s="20"/>
      <c r="N73" s="126"/>
      <c r="O73" s="126"/>
      <c r="P73" s="126"/>
      <c r="Q73" s="171"/>
      <c r="R73" s="173"/>
      <c r="S73" s="172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43"/>
      <c r="AF73" s="143"/>
      <c r="AG73" s="143"/>
      <c r="AH73" s="143"/>
      <c r="AI73" s="143"/>
      <c r="AJ73" s="143"/>
      <c r="AK73" s="143"/>
      <c r="AL73" s="174"/>
      <c r="AM73" s="145"/>
      <c r="AN73" s="174"/>
      <c r="AO73" s="147"/>
    </row>
    <row r="74" spans="3:41">
      <c r="C74" s="136"/>
      <c r="D74" s="136"/>
      <c r="E74" s="19"/>
      <c r="F74" s="15"/>
      <c r="G74" s="138"/>
      <c r="H74" s="138"/>
      <c r="I74" s="126"/>
      <c r="J74" s="15"/>
      <c r="K74" s="15"/>
      <c r="L74" s="20"/>
      <c r="M74" s="20"/>
      <c r="N74" s="126"/>
      <c r="O74" s="126"/>
      <c r="P74" s="126"/>
      <c r="Q74" s="171"/>
      <c r="R74" s="173"/>
      <c r="S74" s="172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43"/>
      <c r="AF74" s="143"/>
      <c r="AG74" s="143"/>
      <c r="AH74" s="143"/>
      <c r="AI74" s="143"/>
      <c r="AJ74" s="143"/>
      <c r="AK74" s="143"/>
      <c r="AL74" s="174"/>
      <c r="AM74" s="145"/>
      <c r="AN74" s="174"/>
      <c r="AO74" s="146"/>
    </row>
    <row r="75" spans="3:41">
      <c r="C75" s="136"/>
      <c r="D75" s="136"/>
      <c r="E75" s="19"/>
      <c r="F75" s="15"/>
      <c r="G75" s="138"/>
      <c r="H75" s="138"/>
      <c r="I75" s="126"/>
      <c r="J75" s="15"/>
      <c r="K75" s="15"/>
      <c r="L75" s="20"/>
      <c r="M75" s="20"/>
      <c r="N75" s="126"/>
      <c r="O75" s="126"/>
      <c r="P75" s="126"/>
      <c r="Q75" s="171"/>
      <c r="R75" s="173"/>
      <c r="S75" s="172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43"/>
      <c r="AF75" s="143"/>
      <c r="AG75" s="143"/>
      <c r="AH75" s="143"/>
      <c r="AI75" s="143"/>
      <c r="AJ75" s="143"/>
      <c r="AK75" s="143"/>
      <c r="AL75" s="147"/>
      <c r="AM75" s="145"/>
      <c r="AN75" s="176"/>
      <c r="AO75" s="147"/>
    </row>
    <row r="76" spans="3:41">
      <c r="C76" s="136"/>
      <c r="D76" s="136"/>
      <c r="E76" s="19"/>
      <c r="F76" s="15"/>
      <c r="G76" s="138"/>
      <c r="H76" s="138"/>
      <c r="I76" s="126"/>
      <c r="J76" s="15"/>
      <c r="K76" s="15"/>
      <c r="L76" s="20"/>
      <c r="M76" s="20"/>
      <c r="N76" s="126"/>
      <c r="O76" s="126"/>
      <c r="P76" s="126"/>
      <c r="Q76" s="171"/>
      <c r="R76" s="173"/>
      <c r="S76" s="172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43"/>
      <c r="AF76" s="143"/>
      <c r="AG76" s="143"/>
      <c r="AH76" s="143"/>
      <c r="AI76" s="143"/>
      <c r="AJ76" s="143"/>
      <c r="AK76" s="143"/>
      <c r="AL76" s="147"/>
      <c r="AM76" s="145"/>
      <c r="AN76" s="153"/>
      <c r="AO76" s="146"/>
    </row>
    <row r="77" spans="3:41">
      <c r="C77" s="136"/>
      <c r="D77" s="136"/>
      <c r="E77" s="19"/>
      <c r="F77" s="15"/>
      <c r="G77" s="138"/>
      <c r="H77" s="138"/>
      <c r="I77" s="126"/>
      <c r="J77" s="15"/>
      <c r="K77" s="15"/>
      <c r="L77" s="20"/>
      <c r="M77" s="20"/>
      <c r="N77" s="126"/>
      <c r="O77" s="126"/>
      <c r="P77" s="126"/>
      <c r="Q77" s="171"/>
      <c r="R77" s="173"/>
      <c r="S77" s="172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43"/>
      <c r="AF77" s="143"/>
      <c r="AG77" s="143"/>
      <c r="AH77" s="143"/>
      <c r="AI77" s="143"/>
      <c r="AJ77" s="143"/>
      <c r="AK77" s="143"/>
      <c r="AL77" s="147"/>
      <c r="AM77" s="145"/>
      <c r="AN77" s="153"/>
      <c r="AO77" s="146"/>
    </row>
    <row r="78" spans="3:41">
      <c r="C78" s="136"/>
      <c r="D78" s="136"/>
      <c r="E78" s="19"/>
      <c r="F78" s="15"/>
      <c r="G78" s="138"/>
      <c r="H78" s="138"/>
      <c r="I78" s="126"/>
      <c r="J78" s="15"/>
      <c r="K78" s="15"/>
      <c r="L78" s="20"/>
      <c r="M78" s="20"/>
      <c r="N78" s="126"/>
      <c r="O78" s="126"/>
      <c r="P78" s="126"/>
      <c r="Q78" s="171"/>
      <c r="R78" s="173"/>
      <c r="S78" s="172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43"/>
      <c r="AF78" s="143"/>
      <c r="AG78" s="143"/>
      <c r="AH78" s="143"/>
      <c r="AI78" s="143"/>
      <c r="AJ78" s="143"/>
      <c r="AK78" s="143"/>
      <c r="AL78" s="147"/>
      <c r="AM78" s="145"/>
      <c r="AN78" s="153"/>
      <c r="AO78" s="146"/>
    </row>
    <row r="79" spans="3:41">
      <c r="C79" s="136"/>
      <c r="D79" s="136"/>
      <c r="E79" s="19"/>
      <c r="F79" s="15"/>
      <c r="G79" s="138"/>
      <c r="H79" s="138"/>
      <c r="I79" s="126"/>
      <c r="J79" s="15"/>
      <c r="K79" s="15"/>
      <c r="L79" s="20"/>
      <c r="M79" s="20"/>
      <c r="N79" s="126"/>
      <c r="O79" s="126"/>
      <c r="P79" s="126"/>
      <c r="Q79" s="171"/>
      <c r="R79" s="172"/>
      <c r="S79" s="172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43"/>
      <c r="AF79" s="143"/>
      <c r="AG79" s="143"/>
      <c r="AH79" s="143"/>
      <c r="AI79" s="143"/>
      <c r="AJ79" s="143"/>
      <c r="AK79" s="143"/>
      <c r="AL79" s="177"/>
      <c r="AM79" s="145"/>
      <c r="AN79" s="146"/>
      <c r="AO79" s="147"/>
    </row>
    <row r="80" spans="3:41">
      <c r="C80" s="136"/>
      <c r="D80" s="136"/>
      <c r="E80" s="19"/>
      <c r="F80" s="15"/>
      <c r="G80" s="138"/>
      <c r="H80" s="138"/>
      <c r="I80" s="126"/>
      <c r="J80" s="15"/>
      <c r="K80" s="15"/>
      <c r="L80" s="20"/>
      <c r="M80" s="20"/>
      <c r="N80" s="126"/>
      <c r="O80" s="126"/>
      <c r="P80" s="126"/>
      <c r="Q80" s="171"/>
      <c r="R80" s="172"/>
      <c r="S80" s="172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43"/>
      <c r="AF80" s="143"/>
      <c r="AG80" s="143"/>
      <c r="AH80" s="143"/>
      <c r="AI80" s="143"/>
      <c r="AJ80" s="143"/>
      <c r="AK80" s="143"/>
      <c r="AL80" s="177"/>
      <c r="AM80" s="145"/>
      <c r="AN80" s="146"/>
      <c r="AO80" s="147"/>
    </row>
    <row r="81" spans="3:41">
      <c r="C81" s="136"/>
      <c r="D81" s="136"/>
      <c r="E81" s="19"/>
      <c r="F81" s="15"/>
      <c r="G81" s="138"/>
      <c r="H81" s="138"/>
      <c r="I81" s="126"/>
      <c r="J81" s="15"/>
      <c r="K81" s="15"/>
      <c r="L81" s="20"/>
      <c r="M81" s="20"/>
      <c r="N81" s="126"/>
      <c r="O81" s="126"/>
      <c r="P81" s="126"/>
      <c r="Q81" s="171"/>
      <c r="R81" s="172"/>
      <c r="S81" s="172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43"/>
      <c r="AF81" s="143"/>
      <c r="AG81" s="143"/>
      <c r="AH81" s="143"/>
      <c r="AI81" s="143"/>
      <c r="AJ81" s="143"/>
      <c r="AK81" s="143"/>
      <c r="AL81" s="174"/>
      <c r="AM81" s="145"/>
      <c r="AN81" s="146"/>
      <c r="AO81" s="147"/>
    </row>
    <row r="82" spans="3:41">
      <c r="C82" s="136"/>
      <c r="D82" s="136"/>
      <c r="E82" s="19"/>
      <c r="F82" s="15"/>
      <c r="G82" s="138"/>
      <c r="H82" s="138"/>
      <c r="I82" s="126"/>
      <c r="J82" s="15"/>
      <c r="K82" s="15"/>
      <c r="L82" s="20"/>
      <c r="M82" s="20"/>
      <c r="N82" s="126"/>
      <c r="O82" s="126"/>
      <c r="P82" s="126"/>
      <c r="Q82" s="171"/>
      <c r="R82" s="173"/>
      <c r="S82" s="172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43"/>
      <c r="AF82" s="143"/>
      <c r="AG82" s="143"/>
      <c r="AH82" s="143"/>
      <c r="AI82" s="143"/>
      <c r="AJ82" s="143"/>
      <c r="AK82" s="143"/>
      <c r="AL82" s="174"/>
      <c r="AM82" s="145"/>
      <c r="AN82" s="147"/>
      <c r="AO82" s="147"/>
    </row>
    <row r="83" spans="3:41">
      <c r="C83" s="136"/>
      <c r="D83" s="136"/>
      <c r="E83" s="19"/>
      <c r="F83" s="15"/>
      <c r="G83" s="138"/>
      <c r="H83" s="138"/>
      <c r="I83" s="126"/>
      <c r="J83" s="15"/>
      <c r="K83" s="15"/>
      <c r="L83" s="20"/>
      <c r="M83" s="20"/>
      <c r="N83" s="126"/>
      <c r="O83" s="126"/>
      <c r="P83" s="126"/>
      <c r="Q83" s="171"/>
      <c r="R83" s="173"/>
      <c r="S83" s="172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43"/>
      <c r="AF83" s="143"/>
      <c r="AG83" s="143"/>
      <c r="AH83" s="143"/>
      <c r="AI83" s="143"/>
      <c r="AJ83" s="143"/>
      <c r="AK83" s="143"/>
      <c r="AL83" s="174"/>
      <c r="AM83" s="145"/>
      <c r="AN83" s="147"/>
      <c r="AO83" s="147"/>
    </row>
    <row r="84" spans="3:41">
      <c r="C84" s="136"/>
      <c r="D84" s="136"/>
      <c r="E84" s="19"/>
      <c r="F84" s="15"/>
      <c r="G84" s="138"/>
      <c r="H84" s="138"/>
      <c r="I84" s="126"/>
      <c r="J84" s="15"/>
      <c r="K84" s="15"/>
      <c r="L84" s="20"/>
      <c r="M84" s="20"/>
      <c r="N84" s="126"/>
      <c r="O84" s="126"/>
      <c r="P84" s="126"/>
      <c r="Q84" s="171"/>
      <c r="R84" s="173"/>
      <c r="S84" s="172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43"/>
      <c r="AF84" s="143"/>
      <c r="AG84" s="143"/>
      <c r="AH84" s="143"/>
      <c r="AI84" s="143"/>
      <c r="AJ84" s="143"/>
      <c r="AK84" s="143"/>
      <c r="AL84" s="174"/>
      <c r="AM84" s="145"/>
      <c r="AN84" s="147"/>
      <c r="AO84" s="158"/>
    </row>
    <row r="85" spans="3:41">
      <c r="C85" s="136"/>
      <c r="D85" s="136"/>
      <c r="E85" s="19"/>
      <c r="F85" s="15"/>
      <c r="G85" s="138"/>
      <c r="H85" s="138"/>
      <c r="I85" s="126"/>
      <c r="J85" s="15"/>
      <c r="K85" s="15"/>
      <c r="L85" s="20"/>
      <c r="M85" s="20"/>
      <c r="N85" s="126"/>
      <c r="O85" s="126"/>
      <c r="P85" s="126"/>
      <c r="Q85" s="171"/>
      <c r="R85" s="173"/>
      <c r="S85" s="172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43"/>
      <c r="AF85" s="143"/>
      <c r="AG85" s="143"/>
      <c r="AH85" s="143"/>
      <c r="AI85" s="143"/>
      <c r="AJ85" s="143"/>
      <c r="AK85" s="143"/>
      <c r="AL85" s="177"/>
      <c r="AM85" s="145"/>
      <c r="AN85" s="147"/>
      <c r="AO85" s="158"/>
    </row>
    <row r="86" spans="3:41">
      <c r="C86" s="136"/>
      <c r="D86" s="136"/>
      <c r="E86" s="19"/>
      <c r="F86" s="15"/>
      <c r="G86" s="138"/>
      <c r="H86" s="138"/>
      <c r="I86" s="126"/>
      <c r="J86" s="15"/>
      <c r="K86" s="15"/>
      <c r="L86" s="20"/>
      <c r="M86" s="20"/>
      <c r="N86" s="126"/>
      <c r="O86" s="126"/>
      <c r="P86" s="126"/>
      <c r="Q86" s="171"/>
      <c r="R86" s="172"/>
      <c r="S86" s="172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43"/>
      <c r="AF86" s="143"/>
      <c r="AG86" s="143"/>
      <c r="AH86" s="143"/>
      <c r="AI86" s="143"/>
      <c r="AJ86" s="143"/>
      <c r="AK86" s="143"/>
      <c r="AL86" s="177"/>
      <c r="AM86" s="145"/>
      <c r="AN86" s="147"/>
      <c r="AO86" s="153"/>
    </row>
    <row r="87" spans="3:41">
      <c r="C87" s="136"/>
      <c r="D87" s="136"/>
      <c r="E87" s="19"/>
      <c r="F87" s="15"/>
      <c r="G87" s="138"/>
      <c r="H87" s="138"/>
      <c r="I87" s="126"/>
      <c r="J87" s="15"/>
      <c r="K87" s="15"/>
      <c r="L87" s="20"/>
      <c r="M87" s="20"/>
      <c r="N87" s="126"/>
      <c r="O87" s="126"/>
      <c r="P87" s="126"/>
      <c r="Q87" s="171"/>
      <c r="R87" s="173"/>
      <c r="S87" s="172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43"/>
      <c r="AF87" s="143"/>
      <c r="AG87" s="143"/>
      <c r="AH87" s="143"/>
      <c r="AI87" s="143"/>
      <c r="AJ87" s="143"/>
      <c r="AK87" s="143"/>
      <c r="AL87" s="177"/>
      <c r="AM87" s="145"/>
      <c r="AN87" s="147"/>
      <c r="AO87" s="153"/>
    </row>
    <row r="88" spans="3:41">
      <c r="C88" s="136"/>
      <c r="D88" s="136"/>
      <c r="E88" s="19"/>
      <c r="F88" s="15"/>
      <c r="G88" s="138"/>
      <c r="H88" s="138"/>
      <c r="I88" s="126"/>
      <c r="J88" s="15"/>
      <c r="K88" s="15"/>
      <c r="L88" s="20"/>
      <c r="M88" s="20"/>
      <c r="N88" s="126"/>
      <c r="O88" s="126"/>
      <c r="P88" s="126"/>
      <c r="Q88" s="171"/>
      <c r="R88" s="173"/>
      <c r="S88" s="172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43"/>
      <c r="AF88" s="143"/>
      <c r="AG88" s="143"/>
      <c r="AH88" s="143"/>
      <c r="AI88" s="143"/>
      <c r="AJ88" s="143"/>
      <c r="AK88" s="143"/>
      <c r="AL88" s="177"/>
      <c r="AM88" s="145"/>
      <c r="AN88" s="147"/>
      <c r="AO88" s="153"/>
    </row>
    <row r="89" spans="3:41">
      <c r="C89" s="136"/>
      <c r="D89" s="136"/>
      <c r="E89" s="19"/>
      <c r="F89" s="15"/>
      <c r="G89" s="138"/>
      <c r="H89" s="138"/>
      <c r="I89" s="126"/>
      <c r="J89" s="15"/>
      <c r="K89" s="15"/>
      <c r="L89" s="20"/>
      <c r="M89" s="20"/>
      <c r="N89" s="126"/>
      <c r="O89" s="126"/>
      <c r="P89" s="126"/>
      <c r="Q89" s="171"/>
      <c r="R89" s="173"/>
      <c r="S89" s="172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43"/>
      <c r="AF89" s="143"/>
      <c r="AG89" s="143"/>
      <c r="AH89" s="143"/>
      <c r="AI89" s="143"/>
      <c r="AJ89" s="143"/>
      <c r="AK89" s="143"/>
      <c r="AL89" s="178"/>
      <c r="AM89" s="145"/>
      <c r="AN89" s="151"/>
      <c r="AO89" s="153"/>
    </row>
    <row r="90" spans="3:41">
      <c r="C90" s="136"/>
      <c r="D90" s="136"/>
      <c r="E90" s="19"/>
      <c r="F90" s="15"/>
      <c r="G90" s="138"/>
      <c r="H90" s="138"/>
      <c r="I90" s="126"/>
      <c r="J90" s="15"/>
      <c r="K90" s="15"/>
      <c r="L90" s="20"/>
      <c r="M90" s="20"/>
      <c r="N90" s="126"/>
      <c r="O90" s="126"/>
      <c r="P90" s="126"/>
      <c r="Q90" s="171"/>
      <c r="R90" s="173"/>
      <c r="S90" s="172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43"/>
      <c r="AF90" s="143"/>
      <c r="AG90" s="143"/>
      <c r="AH90" s="143"/>
      <c r="AI90" s="143"/>
      <c r="AJ90" s="143"/>
      <c r="AK90" s="143"/>
      <c r="AL90" s="178"/>
      <c r="AM90" s="145"/>
      <c r="AN90" s="151"/>
      <c r="AO90" s="143"/>
    </row>
    <row r="91" spans="3:41">
      <c r="C91" s="136"/>
      <c r="D91" s="136"/>
      <c r="E91" s="19"/>
      <c r="F91" s="15"/>
      <c r="G91" s="138"/>
      <c r="H91" s="138"/>
      <c r="I91" s="126"/>
      <c r="J91" s="15"/>
      <c r="K91" s="15"/>
      <c r="L91" s="20"/>
      <c r="M91" s="20"/>
      <c r="N91" s="126"/>
      <c r="O91" s="126"/>
      <c r="P91" s="126"/>
      <c r="Q91" s="171"/>
      <c r="R91" s="173"/>
      <c r="S91" s="172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43"/>
      <c r="AF91" s="143"/>
      <c r="AG91" s="143"/>
      <c r="AH91" s="143"/>
      <c r="AI91" s="143"/>
      <c r="AJ91" s="143"/>
      <c r="AK91" s="143"/>
      <c r="AL91" s="177"/>
      <c r="AM91" s="145"/>
      <c r="AN91" s="147"/>
      <c r="AO91" s="153"/>
    </row>
    <row r="92" spans="3:41">
      <c r="C92" s="136"/>
      <c r="D92" s="136"/>
      <c r="E92" s="19"/>
      <c r="F92" s="15"/>
      <c r="G92" s="138"/>
      <c r="H92" s="138"/>
      <c r="I92" s="126"/>
      <c r="J92" s="15"/>
      <c r="K92" s="15"/>
      <c r="L92" s="20"/>
      <c r="M92" s="20"/>
      <c r="N92" s="126"/>
      <c r="O92" s="126"/>
      <c r="P92" s="126"/>
      <c r="Q92" s="171"/>
      <c r="R92" s="173"/>
      <c r="S92" s="172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43"/>
      <c r="AF92" s="143"/>
      <c r="AG92" s="143"/>
      <c r="AH92" s="143"/>
      <c r="AI92" s="143"/>
      <c r="AJ92" s="143"/>
      <c r="AK92" s="143"/>
      <c r="AL92" s="177"/>
      <c r="AM92" s="145"/>
      <c r="AN92" s="147"/>
      <c r="AO92" s="153"/>
    </row>
    <row r="93" spans="3:41">
      <c r="C93" s="136"/>
      <c r="D93" s="136"/>
      <c r="E93" s="19"/>
      <c r="F93" s="15"/>
      <c r="G93" s="138"/>
      <c r="H93" s="138"/>
      <c r="I93" s="126"/>
      <c r="J93" s="15"/>
      <c r="K93" s="15"/>
      <c r="L93" s="20"/>
      <c r="M93" s="20"/>
      <c r="N93" s="126"/>
      <c r="O93" s="126"/>
      <c r="P93" s="126"/>
      <c r="Q93" s="171"/>
      <c r="R93" s="173"/>
      <c r="S93" s="172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43"/>
      <c r="AF93" s="143"/>
      <c r="AG93" s="143"/>
      <c r="AH93" s="143"/>
      <c r="AI93" s="143"/>
      <c r="AJ93" s="143"/>
      <c r="AK93" s="143"/>
      <c r="AL93" s="177"/>
      <c r="AM93" s="145"/>
      <c r="AN93" s="147"/>
      <c r="AO93" s="153"/>
    </row>
    <row r="94" spans="3:41">
      <c r="C94" s="136"/>
      <c r="D94" s="136"/>
      <c r="E94" s="19"/>
      <c r="F94" s="15"/>
      <c r="G94" s="138"/>
      <c r="H94" s="138"/>
      <c r="I94" s="126"/>
      <c r="J94" s="15"/>
      <c r="K94" s="15"/>
      <c r="L94" s="20"/>
      <c r="M94" s="20"/>
      <c r="N94" s="126"/>
      <c r="O94" s="126"/>
      <c r="P94" s="126"/>
      <c r="Q94" s="171"/>
      <c r="R94" s="172"/>
      <c r="S94" s="172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43"/>
      <c r="AF94" s="143"/>
      <c r="AG94" s="143"/>
      <c r="AH94" s="143"/>
      <c r="AI94" s="143"/>
      <c r="AJ94" s="143"/>
      <c r="AK94" s="143"/>
      <c r="AL94" s="174"/>
      <c r="AM94" s="145"/>
      <c r="AN94" s="147"/>
      <c r="AO94" s="153"/>
    </row>
    <row r="95" spans="3:41">
      <c r="C95" s="136"/>
      <c r="D95" s="136"/>
      <c r="E95" s="19"/>
      <c r="F95" s="15"/>
      <c r="G95" s="138"/>
      <c r="H95" s="138"/>
      <c r="I95" s="126"/>
      <c r="J95" s="15"/>
      <c r="K95" s="15"/>
      <c r="L95" s="20"/>
      <c r="M95" s="20"/>
      <c r="N95" s="126"/>
      <c r="O95" s="126"/>
      <c r="P95" s="126"/>
      <c r="Q95" s="171"/>
      <c r="R95" s="172"/>
      <c r="S95" s="172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43"/>
      <c r="AF95" s="143"/>
      <c r="AG95" s="143"/>
      <c r="AH95" s="143"/>
      <c r="AI95" s="143"/>
      <c r="AJ95" s="143"/>
      <c r="AK95" s="143"/>
      <c r="AL95" s="174"/>
      <c r="AM95" s="145"/>
      <c r="AN95" s="147"/>
      <c r="AO95" s="153"/>
    </row>
    <row r="96" spans="3:41">
      <c r="C96" s="136"/>
      <c r="D96" s="136"/>
      <c r="E96" s="19"/>
      <c r="F96" s="15"/>
      <c r="G96" s="138"/>
      <c r="H96" s="138"/>
      <c r="I96" s="126"/>
      <c r="J96" s="15"/>
      <c r="K96" s="15"/>
      <c r="L96" s="20"/>
      <c r="M96" s="20"/>
      <c r="N96" s="126"/>
      <c r="O96" s="126"/>
      <c r="P96" s="126"/>
      <c r="Q96" s="171"/>
      <c r="R96" s="172"/>
      <c r="S96" s="172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43"/>
      <c r="AF96" s="143"/>
      <c r="AG96" s="143"/>
      <c r="AH96" s="143"/>
      <c r="AI96" s="143"/>
      <c r="AJ96" s="143"/>
      <c r="AK96" s="143"/>
      <c r="AL96" s="177"/>
      <c r="AM96" s="145"/>
      <c r="AN96" s="147"/>
      <c r="AO96" s="153"/>
    </row>
    <row r="97" spans="3:41">
      <c r="C97" s="136"/>
      <c r="D97" s="136"/>
      <c r="E97" s="19"/>
      <c r="F97" s="15"/>
      <c r="G97" s="138"/>
      <c r="H97" s="138"/>
      <c r="I97" s="126"/>
      <c r="J97" s="15"/>
      <c r="K97" s="15"/>
      <c r="L97" s="20"/>
      <c r="M97" s="20"/>
      <c r="N97" s="126"/>
      <c r="O97" s="126"/>
      <c r="P97" s="126"/>
      <c r="Q97" s="171"/>
      <c r="R97" s="172"/>
      <c r="S97" s="172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43"/>
      <c r="AF97" s="143"/>
      <c r="AG97" s="143"/>
      <c r="AH97" s="143"/>
      <c r="AI97" s="143"/>
      <c r="AJ97" s="143"/>
      <c r="AK97" s="143"/>
      <c r="AL97" s="177"/>
      <c r="AM97" s="176"/>
      <c r="AN97" s="153"/>
      <c r="AO97" s="153"/>
    </row>
    <row r="98" spans="3:41">
      <c r="C98" s="136"/>
      <c r="D98" s="136"/>
      <c r="E98" s="19"/>
      <c r="F98" s="15"/>
      <c r="G98" s="138"/>
      <c r="H98" s="138"/>
      <c r="I98" s="126"/>
      <c r="J98" s="15"/>
      <c r="K98" s="15"/>
      <c r="L98" s="20"/>
      <c r="M98" s="20"/>
      <c r="N98" s="126"/>
      <c r="O98" s="126"/>
      <c r="P98" s="126"/>
      <c r="Q98" s="171"/>
      <c r="R98" s="172"/>
      <c r="S98" s="172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43"/>
      <c r="AF98" s="143"/>
      <c r="AG98" s="143"/>
      <c r="AH98" s="143"/>
      <c r="AI98" s="143"/>
      <c r="AJ98" s="143"/>
      <c r="AK98" s="143"/>
      <c r="AL98" s="177"/>
      <c r="AM98" s="176"/>
      <c r="AN98" s="153"/>
      <c r="AO98" s="153"/>
    </row>
    <row r="99" spans="3:41">
      <c r="C99" s="136"/>
      <c r="D99" s="136"/>
      <c r="E99" s="19"/>
      <c r="F99" s="15"/>
      <c r="G99" s="138"/>
      <c r="H99" s="138"/>
      <c r="I99" s="126"/>
      <c r="J99" s="15"/>
      <c r="K99" s="15"/>
      <c r="L99" s="20"/>
      <c r="M99" s="20"/>
      <c r="N99" s="126"/>
      <c r="O99" s="126"/>
      <c r="P99" s="126"/>
      <c r="Q99" s="171"/>
      <c r="R99" s="172"/>
      <c r="S99" s="172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43"/>
      <c r="AF99" s="143"/>
      <c r="AG99" s="143"/>
      <c r="AH99" s="143"/>
      <c r="AI99" s="143"/>
      <c r="AJ99" s="143"/>
      <c r="AK99" s="143"/>
      <c r="AL99" s="177"/>
      <c r="AM99" s="176"/>
      <c r="AN99" s="153"/>
      <c r="AO99" s="143"/>
    </row>
    <row r="100" spans="3:41">
      <c r="C100" s="136"/>
      <c r="D100" s="136"/>
      <c r="E100" s="19"/>
      <c r="F100" s="15"/>
      <c r="G100" s="138"/>
      <c r="H100" s="138"/>
      <c r="I100" s="126"/>
      <c r="J100" s="15"/>
      <c r="K100" s="15"/>
      <c r="L100" s="20"/>
      <c r="M100" s="20"/>
      <c r="N100" s="126"/>
      <c r="O100" s="126"/>
      <c r="P100" s="126"/>
      <c r="Q100" s="171"/>
      <c r="R100" s="172"/>
      <c r="S100" s="172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43"/>
      <c r="AF100" s="143"/>
      <c r="AG100" s="143"/>
      <c r="AH100" s="143"/>
      <c r="AI100" s="143"/>
      <c r="AJ100" s="143"/>
      <c r="AK100" s="143"/>
      <c r="AL100" s="177"/>
      <c r="AM100" s="176"/>
      <c r="AN100" s="153"/>
      <c r="AO100" s="143"/>
    </row>
    <row r="101" spans="3:41">
      <c r="C101" s="136"/>
      <c r="D101" s="136"/>
      <c r="E101" s="19"/>
      <c r="F101" s="15"/>
      <c r="G101" s="138"/>
      <c r="H101" s="138"/>
      <c r="I101" s="126"/>
      <c r="J101" s="15"/>
      <c r="K101" s="15"/>
      <c r="L101" s="20"/>
      <c r="M101" s="20"/>
      <c r="N101" s="126"/>
      <c r="O101" s="126"/>
      <c r="P101" s="126"/>
      <c r="Q101" s="171"/>
      <c r="R101" s="172"/>
      <c r="S101" s="172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43"/>
      <c r="AF101" s="143"/>
      <c r="AG101" s="143"/>
      <c r="AH101" s="143"/>
      <c r="AI101" s="143"/>
      <c r="AJ101" s="143"/>
      <c r="AK101" s="143"/>
      <c r="AL101" s="177"/>
      <c r="AM101" s="176"/>
      <c r="AN101" s="153"/>
      <c r="AO101" s="151"/>
    </row>
    <row r="102" spans="3:41">
      <c r="C102" s="136"/>
      <c r="D102" s="136"/>
      <c r="E102" s="19"/>
      <c r="F102" s="15"/>
      <c r="G102" s="138"/>
      <c r="H102" s="138"/>
      <c r="I102" s="126"/>
      <c r="J102" s="15"/>
      <c r="K102" s="15"/>
      <c r="L102" s="20"/>
      <c r="M102" s="20"/>
      <c r="N102" s="126"/>
      <c r="O102" s="126"/>
      <c r="P102" s="126"/>
      <c r="Q102" s="171"/>
      <c r="R102" s="172"/>
      <c r="S102" s="172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43"/>
      <c r="AF102" s="143"/>
      <c r="AG102" s="143"/>
      <c r="AH102" s="143"/>
      <c r="AI102" s="143"/>
      <c r="AJ102" s="143"/>
      <c r="AK102" s="143"/>
      <c r="AL102" s="177"/>
      <c r="AM102" s="145"/>
      <c r="AN102" s="147"/>
      <c r="AO102" s="151"/>
    </row>
    <row r="103" spans="3:41">
      <c r="C103" s="136"/>
      <c r="D103" s="136"/>
      <c r="E103" s="19"/>
      <c r="F103" s="15"/>
      <c r="G103" s="138"/>
      <c r="H103" s="138"/>
      <c r="I103" s="126"/>
      <c r="J103" s="15"/>
      <c r="K103" s="15"/>
      <c r="L103" s="20"/>
      <c r="M103" s="20"/>
      <c r="N103" s="126"/>
      <c r="O103" s="126"/>
      <c r="P103" s="126"/>
      <c r="Q103" s="171"/>
      <c r="R103" s="172"/>
      <c r="S103" s="172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43"/>
      <c r="AF103" s="143"/>
      <c r="AG103" s="143"/>
      <c r="AH103" s="143"/>
      <c r="AI103" s="143"/>
      <c r="AJ103" s="143"/>
      <c r="AK103" s="143"/>
      <c r="AL103" s="177"/>
      <c r="AM103" s="145"/>
      <c r="AN103" s="147"/>
      <c r="AO103" s="143"/>
    </row>
    <row r="104" spans="3:41">
      <c r="C104" s="136"/>
      <c r="D104" s="136"/>
      <c r="E104" s="19"/>
      <c r="F104" s="15"/>
      <c r="G104" s="138"/>
      <c r="H104" s="138"/>
      <c r="I104" s="126"/>
      <c r="J104" s="15"/>
      <c r="K104" s="15"/>
      <c r="L104" s="20"/>
      <c r="M104" s="20"/>
      <c r="N104" s="126"/>
      <c r="O104" s="126"/>
      <c r="P104" s="126"/>
      <c r="Q104" s="171"/>
      <c r="R104" s="172"/>
      <c r="S104" s="172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43"/>
      <c r="AF104" s="143"/>
      <c r="AG104" s="143"/>
      <c r="AH104" s="143"/>
      <c r="AI104" s="143"/>
      <c r="AJ104" s="143"/>
      <c r="AK104" s="143"/>
      <c r="AL104" s="177"/>
      <c r="AM104" s="145"/>
      <c r="AN104" s="147"/>
      <c r="AO104" s="143"/>
    </row>
    <row r="105" spans="3:41">
      <c r="C105" s="136"/>
      <c r="D105" s="136"/>
      <c r="E105" s="19"/>
      <c r="F105" s="15"/>
      <c r="G105" s="138"/>
      <c r="H105" s="138"/>
      <c r="I105" s="126"/>
      <c r="J105" s="15"/>
      <c r="K105" s="15"/>
      <c r="L105" s="20"/>
      <c r="M105" s="20"/>
      <c r="N105" s="126"/>
      <c r="O105" s="126"/>
      <c r="P105" s="126"/>
      <c r="Q105" s="171"/>
      <c r="R105" s="172"/>
      <c r="S105" s="172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43"/>
      <c r="AF105" s="143"/>
      <c r="AG105" s="143"/>
      <c r="AH105" s="143"/>
      <c r="AI105" s="143"/>
      <c r="AJ105" s="143"/>
      <c r="AK105" s="143"/>
      <c r="AL105" s="177"/>
      <c r="AM105" s="145"/>
      <c r="AN105" s="147"/>
      <c r="AO105" s="151"/>
    </row>
    <row r="106" spans="3:41">
      <c r="C106" s="136"/>
      <c r="D106" s="136"/>
      <c r="E106" s="19"/>
      <c r="F106" s="15"/>
      <c r="G106" s="138"/>
      <c r="H106" s="138"/>
      <c r="I106" s="126"/>
      <c r="J106" s="15"/>
      <c r="K106" s="15"/>
      <c r="L106" s="20"/>
      <c r="M106" s="20"/>
      <c r="N106" s="126"/>
      <c r="O106" s="126"/>
      <c r="P106" s="126"/>
      <c r="Q106" s="171"/>
      <c r="R106" s="172"/>
      <c r="S106" s="172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43"/>
      <c r="AF106" s="143"/>
      <c r="AG106" s="143"/>
      <c r="AH106" s="143"/>
      <c r="AI106" s="143"/>
      <c r="AJ106" s="143"/>
      <c r="AK106" s="143"/>
      <c r="AL106" s="177"/>
      <c r="AM106" s="145"/>
      <c r="AN106" s="147"/>
      <c r="AO106" s="147"/>
    </row>
    <row r="107" spans="3:41">
      <c r="C107" s="136"/>
      <c r="D107" s="136"/>
      <c r="E107" s="19"/>
      <c r="F107" s="15"/>
      <c r="G107" s="138"/>
      <c r="H107" s="138"/>
      <c r="I107" s="126"/>
      <c r="J107" s="15"/>
      <c r="K107" s="15"/>
      <c r="L107" s="20"/>
      <c r="M107" s="20"/>
      <c r="N107" s="126"/>
      <c r="O107" s="126"/>
      <c r="P107" s="126"/>
      <c r="Q107" s="171"/>
      <c r="R107" s="172"/>
      <c r="S107" s="172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43"/>
      <c r="AF107" s="143"/>
      <c r="AG107" s="143"/>
      <c r="AH107" s="143"/>
      <c r="AI107" s="143"/>
      <c r="AJ107" s="143"/>
      <c r="AK107" s="143"/>
      <c r="AL107" s="177"/>
      <c r="AM107" s="145"/>
      <c r="AN107" s="147"/>
      <c r="AO107" s="157"/>
    </row>
    <row r="108" spans="3:41">
      <c r="C108" s="136"/>
      <c r="D108" s="136"/>
      <c r="E108" s="19"/>
      <c r="F108" s="15"/>
      <c r="G108" s="138"/>
      <c r="H108" s="138"/>
      <c r="I108" s="126"/>
      <c r="J108" s="15"/>
      <c r="K108" s="15"/>
      <c r="L108" s="20"/>
      <c r="M108" s="20"/>
      <c r="N108" s="126"/>
      <c r="O108" s="126"/>
      <c r="P108" s="126"/>
      <c r="Q108" s="171"/>
      <c r="R108" s="172"/>
      <c r="S108" s="172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43"/>
      <c r="AF108" s="143"/>
      <c r="AG108" s="143"/>
      <c r="AH108" s="143"/>
      <c r="AI108" s="143"/>
      <c r="AJ108" s="143"/>
      <c r="AK108" s="143"/>
      <c r="AL108" s="177"/>
      <c r="AM108" s="145"/>
      <c r="AN108" s="147"/>
      <c r="AO108" s="147"/>
    </row>
    <row r="109" spans="3:41">
      <c r="C109" s="136"/>
      <c r="D109" s="136"/>
      <c r="E109" s="19"/>
      <c r="F109" s="15"/>
      <c r="G109" s="138"/>
      <c r="H109" s="138"/>
      <c r="I109" s="126"/>
      <c r="J109" s="15"/>
      <c r="K109" s="15"/>
      <c r="L109" s="20"/>
      <c r="M109" s="20"/>
      <c r="N109" s="126"/>
      <c r="O109" s="126"/>
      <c r="P109" s="126"/>
      <c r="Q109" s="171"/>
      <c r="R109" s="172"/>
      <c r="S109" s="172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43"/>
      <c r="AF109" s="143"/>
      <c r="AG109" s="143"/>
      <c r="AH109" s="143"/>
      <c r="AI109" s="143"/>
      <c r="AJ109" s="143"/>
      <c r="AK109" s="143"/>
      <c r="AL109" s="177"/>
      <c r="AM109" s="145"/>
      <c r="AN109" s="147"/>
      <c r="AO109" s="151"/>
    </row>
    <row r="110" spans="3:41">
      <c r="C110" s="136"/>
      <c r="D110" s="136"/>
      <c r="E110" s="19"/>
      <c r="F110" s="15"/>
      <c r="G110" s="138"/>
      <c r="H110" s="138"/>
      <c r="I110" s="126"/>
      <c r="J110" s="15"/>
      <c r="K110" s="15"/>
      <c r="L110" s="20"/>
      <c r="M110" s="20"/>
      <c r="N110" s="126"/>
      <c r="O110" s="126"/>
      <c r="P110" s="126"/>
      <c r="Q110" s="171"/>
      <c r="R110" s="172"/>
      <c r="S110" s="172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43"/>
      <c r="AF110" s="143"/>
      <c r="AG110" s="143"/>
      <c r="AH110" s="143"/>
      <c r="AI110" s="143"/>
      <c r="AJ110" s="143"/>
      <c r="AK110" s="143"/>
      <c r="AL110" s="177"/>
      <c r="AM110" s="145"/>
      <c r="AN110" s="147"/>
      <c r="AO110" s="147"/>
    </row>
    <row r="111" spans="3:41">
      <c r="C111" s="136"/>
      <c r="D111" s="136"/>
      <c r="E111" s="19"/>
      <c r="F111" s="15"/>
      <c r="G111" s="138"/>
      <c r="H111" s="138"/>
      <c r="I111" s="126"/>
      <c r="J111" s="15"/>
      <c r="K111" s="15"/>
      <c r="L111" s="20"/>
      <c r="M111" s="20"/>
      <c r="N111" s="126"/>
      <c r="O111" s="126"/>
      <c r="P111" s="126"/>
      <c r="Q111" s="171"/>
      <c r="R111" s="172"/>
      <c r="S111" s="172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43"/>
      <c r="AF111" s="143"/>
      <c r="AG111" s="143"/>
      <c r="AH111" s="143"/>
      <c r="AI111" s="143"/>
      <c r="AJ111" s="143"/>
      <c r="AK111" s="143"/>
      <c r="AL111" s="177"/>
      <c r="AM111" s="145"/>
      <c r="AN111" s="147"/>
      <c r="AO111" s="151"/>
    </row>
    <row r="112" spans="3:41">
      <c r="C112" s="136"/>
      <c r="D112" s="136"/>
      <c r="E112" s="19"/>
      <c r="F112" s="15"/>
      <c r="G112" s="138"/>
      <c r="H112" s="138"/>
      <c r="I112" s="126"/>
      <c r="J112" s="15"/>
      <c r="K112" s="15"/>
      <c r="L112" s="20"/>
      <c r="M112" s="20"/>
      <c r="N112" s="126"/>
      <c r="O112" s="126"/>
      <c r="P112" s="126"/>
      <c r="Q112" s="171"/>
      <c r="R112" s="172"/>
      <c r="S112" s="172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43"/>
      <c r="AF112" s="143"/>
      <c r="AG112" s="143"/>
      <c r="AH112" s="143"/>
      <c r="AI112" s="143"/>
      <c r="AJ112" s="143"/>
      <c r="AK112" s="143"/>
      <c r="AL112" s="177"/>
      <c r="AM112" s="145"/>
      <c r="AN112" s="147"/>
      <c r="AO112" s="147"/>
    </row>
    <row r="113" spans="3:41">
      <c r="C113" s="136"/>
      <c r="D113" s="136"/>
      <c r="E113" s="19"/>
      <c r="F113" s="15"/>
      <c r="G113" s="138"/>
      <c r="H113" s="138"/>
      <c r="I113" s="126"/>
      <c r="J113" s="15"/>
      <c r="K113" s="15"/>
      <c r="L113" s="20"/>
      <c r="M113" s="20"/>
      <c r="N113" s="126"/>
      <c r="O113" s="126"/>
      <c r="P113" s="126"/>
      <c r="Q113" s="171"/>
      <c r="R113" s="172"/>
      <c r="S113" s="172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43"/>
      <c r="AF113" s="143"/>
      <c r="AG113" s="143"/>
      <c r="AH113" s="143"/>
      <c r="AI113" s="143"/>
      <c r="AJ113" s="143"/>
      <c r="AK113" s="143"/>
      <c r="AL113" s="179"/>
      <c r="AM113" s="145"/>
      <c r="AN113" s="147"/>
      <c r="AO113" s="147"/>
    </row>
    <row r="114" spans="3:41">
      <c r="C114" s="136"/>
      <c r="D114" s="136"/>
      <c r="E114" s="19"/>
      <c r="F114" s="15"/>
      <c r="G114" s="138"/>
      <c r="H114" s="138"/>
      <c r="I114" s="126"/>
      <c r="J114" s="15"/>
      <c r="K114" s="15"/>
      <c r="L114" s="20"/>
      <c r="M114" s="20"/>
      <c r="N114" s="126"/>
      <c r="O114" s="126"/>
      <c r="P114" s="126"/>
      <c r="Q114" s="171"/>
      <c r="R114" s="172"/>
      <c r="S114" s="172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43"/>
      <c r="AF114" s="143"/>
      <c r="AG114" s="143"/>
      <c r="AH114" s="143"/>
      <c r="AI114" s="143"/>
      <c r="AJ114" s="143"/>
      <c r="AK114" s="143"/>
      <c r="AL114" s="147"/>
      <c r="AM114" s="145"/>
      <c r="AN114" s="147"/>
      <c r="AO114" s="147"/>
    </row>
    <row r="115" spans="3:41">
      <c r="C115" s="136"/>
      <c r="D115" s="136"/>
      <c r="E115" s="19"/>
      <c r="F115" s="15"/>
      <c r="G115" s="138"/>
      <c r="H115" s="138"/>
      <c r="I115" s="126"/>
      <c r="J115" s="15"/>
      <c r="K115" s="15"/>
      <c r="L115" s="20"/>
      <c r="M115" s="20"/>
      <c r="N115" s="126"/>
      <c r="O115" s="126"/>
      <c r="P115" s="126"/>
      <c r="Q115" s="171"/>
      <c r="R115" s="172"/>
      <c r="S115" s="172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43"/>
      <c r="AF115" s="143"/>
      <c r="AG115" s="143"/>
      <c r="AH115" s="143"/>
      <c r="AI115" s="143"/>
      <c r="AJ115" s="143"/>
      <c r="AK115" s="143"/>
      <c r="AL115" s="147"/>
      <c r="AM115" s="145"/>
      <c r="AN115" s="147"/>
      <c r="AO115" s="147"/>
    </row>
    <row r="116" spans="3:41">
      <c r="C116" s="136"/>
      <c r="D116" s="136"/>
      <c r="E116" s="19"/>
      <c r="F116" s="15"/>
      <c r="G116" s="138"/>
      <c r="H116" s="138"/>
      <c r="I116" s="126"/>
      <c r="J116" s="15"/>
      <c r="K116" s="15"/>
      <c r="L116" s="20"/>
      <c r="M116" s="20"/>
      <c r="N116" s="126"/>
      <c r="O116" s="126"/>
      <c r="P116" s="126"/>
      <c r="Q116" s="171"/>
      <c r="R116" s="172"/>
      <c r="S116" s="172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43"/>
      <c r="AF116" s="143"/>
      <c r="AG116" s="143"/>
      <c r="AH116" s="143"/>
      <c r="AI116" s="143"/>
      <c r="AJ116" s="143"/>
      <c r="AK116" s="143"/>
      <c r="AL116" s="147"/>
      <c r="AM116" s="145"/>
      <c r="AN116" s="147"/>
      <c r="AO116" s="147"/>
    </row>
    <row r="117" spans="3:41">
      <c r="C117" s="136"/>
      <c r="D117" s="136"/>
      <c r="E117" s="19"/>
      <c r="F117" s="15"/>
      <c r="G117" s="138"/>
      <c r="H117" s="138"/>
      <c r="I117" s="126"/>
      <c r="J117" s="15"/>
      <c r="K117" s="15"/>
      <c r="L117" s="20"/>
      <c r="M117" s="20"/>
      <c r="N117" s="126"/>
      <c r="O117" s="126"/>
      <c r="P117" s="126"/>
      <c r="Q117" s="171"/>
      <c r="R117" s="173"/>
      <c r="S117" s="172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43"/>
      <c r="AF117" s="143"/>
      <c r="AG117" s="143"/>
      <c r="AH117" s="143"/>
      <c r="AI117" s="143"/>
      <c r="AJ117" s="143"/>
      <c r="AK117" s="143"/>
      <c r="AL117" s="147"/>
      <c r="AM117" s="145"/>
      <c r="AN117" s="147"/>
      <c r="AO117" s="147"/>
    </row>
    <row r="118" spans="3:41">
      <c r="C118" s="136"/>
      <c r="D118" s="136"/>
      <c r="E118" s="19"/>
      <c r="F118" s="15"/>
      <c r="G118" s="138"/>
      <c r="H118" s="138"/>
      <c r="I118" s="126"/>
      <c r="J118" s="15"/>
      <c r="K118" s="15"/>
      <c r="L118" s="20"/>
      <c r="M118" s="20"/>
      <c r="N118" s="126"/>
      <c r="O118" s="126"/>
      <c r="P118" s="126"/>
      <c r="Q118" s="171"/>
      <c r="R118" s="172"/>
      <c r="S118" s="172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43"/>
      <c r="AF118" s="143"/>
      <c r="AG118" s="143"/>
      <c r="AH118" s="143"/>
      <c r="AI118" s="143"/>
      <c r="AJ118" s="143"/>
      <c r="AK118" s="143"/>
      <c r="AL118" s="147"/>
      <c r="AM118" s="145"/>
      <c r="AN118" s="147"/>
      <c r="AO118" s="147"/>
    </row>
    <row r="119" spans="3:41">
      <c r="C119" s="136"/>
      <c r="D119" s="136"/>
      <c r="E119" s="19"/>
      <c r="F119" s="15"/>
      <c r="G119" s="138"/>
      <c r="H119" s="138"/>
      <c r="I119" s="126"/>
      <c r="J119" s="15"/>
      <c r="K119" s="15"/>
      <c r="L119" s="20"/>
      <c r="M119" s="20"/>
      <c r="N119" s="126"/>
      <c r="O119" s="126"/>
      <c r="P119" s="126"/>
      <c r="Q119" s="171"/>
      <c r="R119" s="172"/>
      <c r="S119" s="172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43"/>
      <c r="AF119" s="143"/>
      <c r="AG119" s="143"/>
      <c r="AH119" s="143"/>
      <c r="AI119" s="143"/>
      <c r="AJ119" s="143"/>
      <c r="AK119" s="143"/>
      <c r="AL119" s="147"/>
      <c r="AM119" s="145"/>
      <c r="AN119" s="147"/>
      <c r="AO119" s="147"/>
    </row>
    <row r="120" spans="3:41">
      <c r="C120" s="136"/>
      <c r="D120" s="136"/>
      <c r="E120" s="19"/>
      <c r="F120" s="15"/>
      <c r="G120" s="138"/>
      <c r="H120" s="138"/>
      <c r="I120" s="126"/>
      <c r="J120" s="15"/>
      <c r="K120" s="15"/>
      <c r="L120" s="20"/>
      <c r="M120" s="20"/>
      <c r="N120" s="126"/>
      <c r="O120" s="126"/>
      <c r="P120" s="126"/>
      <c r="Q120" s="171"/>
      <c r="R120" s="172"/>
      <c r="S120" s="172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43"/>
      <c r="AF120" s="143"/>
      <c r="AG120" s="143"/>
      <c r="AH120" s="143"/>
      <c r="AI120" s="143"/>
      <c r="AJ120" s="143"/>
      <c r="AK120" s="143"/>
      <c r="AL120" s="147"/>
      <c r="AM120" s="145"/>
      <c r="AN120" s="147"/>
      <c r="AO120" s="147"/>
    </row>
    <row r="121" spans="3:41">
      <c r="C121" s="136"/>
      <c r="D121" s="136"/>
      <c r="E121" s="19"/>
      <c r="F121" s="15"/>
      <c r="G121" s="138"/>
      <c r="H121" s="138"/>
      <c r="I121" s="126"/>
      <c r="J121" s="15"/>
      <c r="K121" s="15"/>
      <c r="L121" s="20"/>
      <c r="M121" s="20"/>
      <c r="N121" s="126"/>
      <c r="O121" s="126"/>
      <c r="P121" s="126"/>
      <c r="Q121" s="171"/>
      <c r="R121" s="172"/>
      <c r="S121" s="172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43"/>
      <c r="AF121" s="143"/>
      <c r="AG121" s="143"/>
      <c r="AH121" s="143"/>
      <c r="AI121" s="143"/>
      <c r="AJ121" s="143"/>
      <c r="AK121" s="143"/>
      <c r="AL121" s="147"/>
      <c r="AM121" s="145"/>
      <c r="AN121" s="147"/>
      <c r="AO121" s="147"/>
    </row>
    <row r="122" spans="3:41">
      <c r="C122" s="136"/>
      <c r="D122" s="136"/>
      <c r="E122" s="19"/>
      <c r="F122" s="15"/>
      <c r="G122" s="138"/>
      <c r="H122" s="138"/>
      <c r="I122" s="126"/>
      <c r="J122" s="15"/>
      <c r="K122" s="15"/>
      <c r="L122" s="20"/>
      <c r="M122" s="20"/>
      <c r="N122" s="126"/>
      <c r="O122" s="126"/>
      <c r="P122" s="126"/>
      <c r="Q122" s="171"/>
      <c r="R122" s="172"/>
      <c r="S122" s="172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43"/>
      <c r="AF122" s="143"/>
      <c r="AG122" s="143"/>
      <c r="AH122" s="143"/>
      <c r="AI122" s="143"/>
      <c r="AJ122" s="143"/>
      <c r="AK122" s="143"/>
      <c r="AL122" s="147"/>
      <c r="AM122" s="145"/>
      <c r="AN122" s="147"/>
      <c r="AO122" s="157"/>
    </row>
    <row r="123" spans="3:41">
      <c r="C123" s="136"/>
      <c r="D123" s="136"/>
      <c r="E123" s="19"/>
      <c r="F123" s="15"/>
      <c r="G123" s="138"/>
      <c r="H123" s="138"/>
      <c r="I123" s="126"/>
      <c r="J123" s="15"/>
      <c r="K123" s="15"/>
      <c r="L123" s="20"/>
      <c r="M123" s="20"/>
      <c r="N123" s="126"/>
      <c r="O123" s="126"/>
      <c r="P123" s="126"/>
      <c r="Q123" s="171"/>
      <c r="R123" s="172"/>
      <c r="S123" s="172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43"/>
      <c r="AF123" s="143"/>
      <c r="AG123" s="143"/>
      <c r="AH123" s="143"/>
      <c r="AI123" s="143"/>
      <c r="AJ123" s="143"/>
      <c r="AK123" s="143"/>
      <c r="AL123" s="147"/>
      <c r="AM123" s="145"/>
      <c r="AN123" s="147"/>
      <c r="AO123" s="147"/>
    </row>
    <row r="124" spans="3:41">
      <c r="C124" s="136"/>
      <c r="D124" s="136"/>
      <c r="E124" s="19"/>
      <c r="F124" s="15"/>
      <c r="G124" s="138"/>
      <c r="H124" s="138"/>
      <c r="I124" s="126"/>
      <c r="J124" s="15"/>
      <c r="K124" s="15"/>
      <c r="L124" s="20"/>
      <c r="M124" s="20"/>
      <c r="N124" s="126"/>
      <c r="O124" s="126"/>
      <c r="P124" s="126"/>
      <c r="Q124" s="171"/>
      <c r="R124" s="172"/>
      <c r="S124" s="172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43"/>
      <c r="AF124" s="143"/>
      <c r="AG124" s="143"/>
      <c r="AH124" s="143"/>
      <c r="AI124" s="143"/>
      <c r="AJ124" s="143"/>
      <c r="AK124" s="143"/>
      <c r="AL124" s="147"/>
      <c r="AM124" s="145"/>
      <c r="AN124" s="147"/>
      <c r="AO124" s="144"/>
    </row>
    <row r="125" spans="3:41">
      <c r="C125" s="136"/>
      <c r="D125" s="136"/>
      <c r="E125" s="19"/>
      <c r="F125" s="15"/>
      <c r="G125" s="138"/>
      <c r="H125" s="138"/>
      <c r="I125" s="126"/>
      <c r="J125" s="15"/>
      <c r="K125" s="15"/>
      <c r="L125" s="20"/>
      <c r="M125" s="20"/>
      <c r="N125" s="126"/>
      <c r="O125" s="126"/>
      <c r="P125" s="126"/>
      <c r="Q125" s="171"/>
      <c r="R125" s="172"/>
      <c r="S125" s="172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43"/>
      <c r="AF125" s="143"/>
      <c r="AG125" s="143"/>
      <c r="AH125" s="143"/>
      <c r="AI125" s="143"/>
      <c r="AJ125" s="143"/>
      <c r="AK125" s="143"/>
      <c r="AL125" s="174"/>
      <c r="AM125" s="145"/>
      <c r="AN125" s="147"/>
      <c r="AO125" s="157"/>
    </row>
    <row r="126" spans="3:41">
      <c r="C126" s="136"/>
      <c r="D126" s="136"/>
      <c r="E126" s="19"/>
      <c r="F126" s="15"/>
      <c r="G126" s="138"/>
      <c r="H126" s="138"/>
      <c r="I126" s="126"/>
      <c r="J126" s="15"/>
      <c r="K126" s="15"/>
      <c r="L126" s="20"/>
      <c r="M126" s="20"/>
      <c r="N126" s="126"/>
      <c r="O126" s="126"/>
      <c r="P126" s="126"/>
      <c r="Q126" s="171"/>
      <c r="R126" s="172"/>
      <c r="S126" s="172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43"/>
      <c r="AF126" s="143"/>
      <c r="AG126" s="143"/>
      <c r="AH126" s="143"/>
      <c r="AI126" s="143"/>
      <c r="AJ126" s="143"/>
      <c r="AK126" s="143"/>
      <c r="AL126" s="147"/>
      <c r="AM126" s="145"/>
      <c r="AN126" s="147"/>
      <c r="AO126" s="157"/>
    </row>
    <row r="127" spans="3:41">
      <c r="C127" s="136"/>
      <c r="D127" s="136"/>
      <c r="E127" s="19"/>
      <c r="F127" s="15"/>
      <c r="G127" s="138"/>
      <c r="H127" s="138"/>
      <c r="I127" s="126"/>
      <c r="J127" s="15"/>
      <c r="K127" s="15"/>
      <c r="L127" s="20"/>
      <c r="M127" s="20"/>
      <c r="N127" s="126"/>
      <c r="O127" s="126"/>
      <c r="P127" s="126"/>
      <c r="Q127" s="171"/>
      <c r="R127" s="172"/>
      <c r="S127" s="172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43"/>
      <c r="AF127" s="143"/>
      <c r="AG127" s="143"/>
      <c r="AH127" s="143"/>
      <c r="AI127" s="143"/>
      <c r="AJ127" s="143"/>
      <c r="AK127" s="143"/>
      <c r="AL127" s="151"/>
      <c r="AM127" s="145"/>
      <c r="AN127" s="143"/>
      <c r="AO127" s="143"/>
    </row>
    <row r="128" spans="3:41">
      <c r="C128" s="136"/>
      <c r="D128" s="136"/>
      <c r="E128" s="19"/>
      <c r="F128" s="15"/>
      <c r="G128" s="138"/>
      <c r="H128" s="138"/>
      <c r="I128" s="126"/>
      <c r="J128" s="15"/>
      <c r="K128" s="15"/>
      <c r="L128" s="20"/>
      <c r="M128" s="20"/>
      <c r="N128" s="126"/>
      <c r="O128" s="126"/>
      <c r="P128" s="126"/>
      <c r="Q128" s="171"/>
      <c r="R128" s="172"/>
      <c r="S128" s="172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43"/>
      <c r="AF128" s="143"/>
      <c r="AG128" s="143"/>
      <c r="AH128" s="143"/>
      <c r="AI128" s="143"/>
      <c r="AJ128" s="143"/>
      <c r="AK128" s="143"/>
      <c r="AL128" s="151"/>
      <c r="AM128" s="145"/>
      <c r="AN128" s="147"/>
      <c r="AO128" s="157"/>
    </row>
    <row r="129" spans="3:41">
      <c r="C129" s="136"/>
      <c r="D129" s="136"/>
      <c r="E129" s="19"/>
      <c r="F129" s="15"/>
      <c r="G129" s="138"/>
      <c r="H129" s="138"/>
      <c r="I129" s="126"/>
      <c r="J129" s="15"/>
      <c r="K129" s="15"/>
      <c r="L129" s="20"/>
      <c r="M129" s="20"/>
      <c r="N129" s="126"/>
      <c r="O129" s="126"/>
      <c r="P129" s="126"/>
      <c r="Q129" s="171"/>
      <c r="R129" s="172"/>
      <c r="S129" s="172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43"/>
      <c r="AF129" s="143"/>
      <c r="AG129" s="143"/>
      <c r="AH129" s="143"/>
      <c r="AI129" s="143"/>
      <c r="AJ129" s="143"/>
      <c r="AK129" s="143"/>
      <c r="AL129" s="174"/>
      <c r="AM129" s="145"/>
      <c r="AN129" s="146"/>
      <c r="AO129" s="169"/>
    </row>
    <row r="130" spans="3:41">
      <c r="C130" s="136"/>
      <c r="D130" s="136"/>
      <c r="E130" s="19"/>
      <c r="F130" s="15"/>
      <c r="G130" s="138"/>
      <c r="H130" s="138"/>
      <c r="I130" s="126"/>
      <c r="J130" s="15"/>
      <c r="K130" s="15"/>
      <c r="L130" s="20"/>
      <c r="M130" s="20"/>
      <c r="N130" s="126"/>
      <c r="O130" s="126"/>
      <c r="P130" s="126"/>
      <c r="Q130" s="171"/>
      <c r="R130" s="172"/>
      <c r="S130" s="172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43"/>
      <c r="AF130" s="143"/>
      <c r="AG130" s="143"/>
      <c r="AH130" s="143"/>
      <c r="AI130" s="143"/>
      <c r="AJ130" s="143"/>
      <c r="AK130" s="143"/>
      <c r="AL130" s="147"/>
      <c r="AM130" s="145"/>
      <c r="AN130" s="147"/>
      <c r="AO130" s="169"/>
    </row>
    <row r="131" spans="3:41">
      <c r="C131" s="136"/>
      <c r="D131" s="136"/>
      <c r="E131" s="19"/>
      <c r="F131" s="15"/>
      <c r="G131" s="138"/>
      <c r="H131" s="138"/>
      <c r="I131" s="126"/>
      <c r="J131" s="15"/>
      <c r="K131" s="15"/>
      <c r="L131" s="20"/>
      <c r="M131" s="20"/>
      <c r="N131" s="126"/>
      <c r="O131" s="126"/>
      <c r="P131" s="126"/>
      <c r="Q131" s="171"/>
      <c r="R131" s="172"/>
      <c r="S131" s="172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43"/>
      <c r="AF131" s="143"/>
      <c r="AG131" s="143"/>
      <c r="AH131" s="143"/>
      <c r="AI131" s="143"/>
      <c r="AJ131" s="143"/>
      <c r="AK131" s="143"/>
      <c r="AL131" s="174"/>
      <c r="AM131" s="145"/>
      <c r="AN131" s="147"/>
      <c r="AO131" s="169"/>
    </row>
    <row r="132" spans="3:41">
      <c r="C132" s="136"/>
      <c r="D132" s="136"/>
      <c r="E132" s="19"/>
      <c r="F132" s="15"/>
      <c r="G132" s="138"/>
      <c r="H132" s="138"/>
      <c r="I132" s="126"/>
      <c r="J132" s="15"/>
      <c r="K132" s="15"/>
      <c r="L132" s="20"/>
      <c r="M132" s="20"/>
      <c r="N132" s="126"/>
      <c r="O132" s="126"/>
      <c r="P132" s="126"/>
      <c r="Q132" s="171"/>
      <c r="R132" s="172"/>
      <c r="S132" s="172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43"/>
      <c r="AF132" s="143"/>
      <c r="AG132" s="143"/>
      <c r="AH132" s="143"/>
      <c r="AI132" s="143"/>
      <c r="AJ132" s="143"/>
      <c r="AK132" s="143"/>
      <c r="AL132" s="174"/>
      <c r="AM132" s="145"/>
      <c r="AN132" s="147"/>
      <c r="AO132" s="169"/>
    </row>
    <row r="133" spans="3:41">
      <c r="C133" s="136"/>
      <c r="D133" s="136"/>
      <c r="E133" s="19"/>
      <c r="F133" s="15"/>
      <c r="G133" s="138"/>
      <c r="H133" s="138"/>
      <c r="I133" s="126"/>
      <c r="J133" s="15"/>
      <c r="K133" s="15"/>
      <c r="L133" s="20"/>
      <c r="M133" s="20"/>
      <c r="N133" s="126"/>
      <c r="O133" s="126"/>
      <c r="P133" s="126"/>
      <c r="Q133" s="171"/>
      <c r="R133" s="172"/>
      <c r="S133" s="172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43"/>
      <c r="AF133" s="143"/>
      <c r="AG133" s="143"/>
      <c r="AH133" s="143"/>
      <c r="AI133" s="143"/>
      <c r="AJ133" s="143"/>
      <c r="AK133" s="143"/>
      <c r="AL133" s="174"/>
      <c r="AM133" s="145"/>
      <c r="AN133" s="146"/>
      <c r="AO133" s="151"/>
    </row>
    <row r="134" spans="3:41">
      <c r="C134" s="136"/>
      <c r="D134" s="136"/>
      <c r="E134" s="19"/>
      <c r="F134" s="15"/>
      <c r="G134" s="138"/>
      <c r="H134" s="138"/>
      <c r="I134" s="126"/>
      <c r="J134" s="15"/>
      <c r="K134" s="15"/>
      <c r="L134" s="20"/>
      <c r="M134" s="20"/>
      <c r="N134" s="126"/>
      <c r="O134" s="126"/>
      <c r="P134" s="126"/>
      <c r="Q134" s="171"/>
      <c r="R134" s="172"/>
      <c r="S134" s="172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43"/>
      <c r="AF134" s="143"/>
      <c r="AG134" s="143"/>
      <c r="AH134" s="143"/>
      <c r="AI134" s="143"/>
      <c r="AJ134" s="143"/>
      <c r="AK134" s="143"/>
      <c r="AL134" s="174"/>
      <c r="AM134" s="145"/>
      <c r="AN134" s="147"/>
      <c r="AO134" s="151"/>
    </row>
    <row r="135" spans="3:41">
      <c r="C135" s="136"/>
      <c r="D135" s="136"/>
      <c r="E135" s="19"/>
      <c r="F135" s="15"/>
      <c r="G135" s="138"/>
      <c r="H135" s="138"/>
      <c r="I135" s="126"/>
      <c r="J135" s="15"/>
      <c r="K135" s="15"/>
      <c r="L135" s="20"/>
      <c r="M135" s="20"/>
      <c r="N135" s="126"/>
      <c r="O135" s="126"/>
      <c r="P135" s="126"/>
      <c r="Q135" s="171"/>
      <c r="R135" s="172"/>
      <c r="S135" s="172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43"/>
      <c r="AF135" s="143"/>
      <c r="AG135" s="143"/>
      <c r="AH135" s="143"/>
      <c r="AI135" s="143"/>
      <c r="AJ135" s="143"/>
      <c r="AK135" s="143"/>
      <c r="AL135" s="174"/>
      <c r="AM135" s="145"/>
      <c r="AN135" s="147"/>
      <c r="AO135" s="151"/>
    </row>
    <row r="136" spans="3:41">
      <c r="C136" s="136"/>
      <c r="D136" s="136"/>
      <c r="E136" s="19"/>
      <c r="F136" s="15"/>
      <c r="G136" s="138"/>
      <c r="H136" s="138"/>
      <c r="I136" s="126"/>
      <c r="J136" s="15"/>
      <c r="K136" s="15"/>
      <c r="L136" s="20"/>
      <c r="M136" s="20"/>
      <c r="N136" s="126"/>
      <c r="O136" s="126"/>
      <c r="P136" s="126"/>
      <c r="Q136" s="171"/>
      <c r="R136" s="172"/>
      <c r="S136" s="172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43"/>
      <c r="AF136" s="143"/>
      <c r="AG136" s="143"/>
      <c r="AH136" s="143"/>
      <c r="AI136" s="143"/>
      <c r="AJ136" s="143"/>
      <c r="AK136" s="143"/>
      <c r="AL136" s="174"/>
      <c r="AM136" s="145"/>
      <c r="AN136" s="147"/>
      <c r="AO136" s="169"/>
    </row>
    <row r="137" spans="3:41">
      <c r="C137" s="136"/>
      <c r="D137" s="136"/>
      <c r="E137" s="19"/>
      <c r="F137" s="15"/>
      <c r="G137" s="138"/>
      <c r="H137" s="138"/>
      <c r="I137" s="126"/>
      <c r="J137" s="15"/>
      <c r="K137" s="15"/>
      <c r="L137" s="20"/>
      <c r="M137" s="20"/>
      <c r="N137" s="126"/>
      <c r="O137" s="126"/>
      <c r="P137" s="126"/>
      <c r="Q137" s="171"/>
      <c r="R137" s="172"/>
      <c r="S137" s="172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43"/>
      <c r="AF137" s="143"/>
      <c r="AG137" s="143"/>
      <c r="AH137" s="143"/>
      <c r="AI137" s="143"/>
      <c r="AJ137" s="143"/>
      <c r="AK137" s="143"/>
      <c r="AL137" s="174"/>
      <c r="AM137" s="145"/>
      <c r="AN137" s="147"/>
      <c r="AO137" s="169"/>
    </row>
    <row r="138" spans="3:41">
      <c r="C138" s="136"/>
      <c r="D138" s="136"/>
      <c r="E138" s="19"/>
      <c r="F138" s="15"/>
      <c r="G138" s="138"/>
      <c r="H138" s="138"/>
      <c r="I138" s="126"/>
      <c r="J138" s="15"/>
      <c r="K138" s="15"/>
      <c r="L138" s="20"/>
      <c r="M138" s="20"/>
      <c r="N138" s="126"/>
      <c r="O138" s="126"/>
      <c r="P138" s="126"/>
      <c r="Q138" s="171"/>
      <c r="R138" s="172"/>
      <c r="S138" s="172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43"/>
      <c r="AF138" s="143"/>
      <c r="AG138" s="143"/>
      <c r="AH138" s="143"/>
      <c r="AI138" s="143"/>
      <c r="AJ138" s="143"/>
      <c r="AK138" s="143"/>
      <c r="AL138" s="180"/>
      <c r="AM138" s="145"/>
      <c r="AN138" s="147"/>
      <c r="AO138" s="169"/>
    </row>
    <row r="139" spans="3:41">
      <c r="C139" s="136"/>
      <c r="D139" s="136"/>
      <c r="E139" s="19"/>
      <c r="F139" s="15"/>
      <c r="G139" s="138"/>
      <c r="H139" s="138"/>
      <c r="I139" s="126"/>
      <c r="J139" s="15"/>
      <c r="K139" s="15"/>
      <c r="L139" s="20"/>
      <c r="M139" s="20"/>
      <c r="N139" s="126"/>
      <c r="O139" s="126"/>
      <c r="P139" s="126"/>
      <c r="Q139" s="171"/>
      <c r="R139" s="172"/>
      <c r="S139" s="172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43"/>
      <c r="AF139" s="143"/>
      <c r="AG139" s="143"/>
      <c r="AH139" s="143"/>
      <c r="AI139" s="143"/>
      <c r="AJ139" s="143"/>
      <c r="AK139" s="143"/>
      <c r="AL139" s="147"/>
      <c r="AM139" s="145"/>
      <c r="AN139" s="147"/>
      <c r="AO139" s="169"/>
    </row>
    <row r="140" spans="3:41">
      <c r="C140" s="136"/>
      <c r="D140" s="136"/>
      <c r="E140" s="19"/>
      <c r="F140" s="15"/>
      <c r="G140" s="138"/>
      <c r="H140" s="138"/>
      <c r="I140" s="126"/>
      <c r="J140" s="15"/>
      <c r="K140" s="15"/>
      <c r="L140" s="20"/>
      <c r="M140" s="20"/>
      <c r="N140" s="126"/>
      <c r="O140" s="126"/>
      <c r="P140" s="126"/>
      <c r="Q140" s="171"/>
      <c r="R140" s="172"/>
      <c r="S140" s="172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43"/>
      <c r="AF140" s="143"/>
      <c r="AG140" s="143"/>
      <c r="AH140" s="143"/>
      <c r="AI140" s="143"/>
      <c r="AJ140" s="143"/>
      <c r="AK140" s="143"/>
      <c r="AL140" s="147"/>
      <c r="AM140" s="145"/>
      <c r="AN140" s="147"/>
      <c r="AO140" s="169"/>
    </row>
    <row r="141" spans="3:41">
      <c r="C141" s="136"/>
      <c r="D141" s="136"/>
      <c r="E141" s="19"/>
      <c r="F141" s="15"/>
      <c r="G141" s="138"/>
      <c r="H141" s="138"/>
      <c r="I141" s="126"/>
      <c r="J141" s="15"/>
      <c r="K141" s="15"/>
      <c r="L141" s="20"/>
      <c r="M141" s="20"/>
      <c r="N141" s="126"/>
      <c r="O141" s="126"/>
      <c r="P141" s="126"/>
      <c r="Q141" s="171"/>
      <c r="R141" s="172"/>
      <c r="S141" s="172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43"/>
      <c r="AF141" s="143"/>
      <c r="AG141" s="143"/>
      <c r="AH141" s="143"/>
      <c r="AI141" s="143"/>
      <c r="AJ141" s="143"/>
      <c r="AK141" s="143"/>
      <c r="AL141" s="147"/>
      <c r="AM141" s="145"/>
      <c r="AN141" s="147"/>
      <c r="AO141" s="147"/>
    </row>
    <row r="142" spans="3:41">
      <c r="C142" s="136"/>
      <c r="D142" s="136"/>
      <c r="E142" s="19"/>
      <c r="F142" s="15"/>
      <c r="G142" s="138"/>
      <c r="H142" s="138"/>
      <c r="I142" s="126"/>
      <c r="J142" s="15"/>
      <c r="K142" s="15"/>
      <c r="L142" s="20"/>
      <c r="M142" s="20"/>
      <c r="N142" s="126"/>
      <c r="O142" s="126"/>
      <c r="P142" s="126"/>
      <c r="Q142" s="171"/>
      <c r="R142" s="172"/>
      <c r="S142" s="172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43"/>
      <c r="AF142" s="143"/>
      <c r="AG142" s="143"/>
      <c r="AH142" s="143"/>
      <c r="AI142" s="143"/>
      <c r="AJ142" s="143"/>
      <c r="AK142" s="143"/>
      <c r="AL142" s="179"/>
      <c r="AM142" s="145"/>
      <c r="AN142" s="147"/>
      <c r="AO142" s="147"/>
    </row>
    <row r="143" spans="3:41">
      <c r="C143" s="136"/>
      <c r="D143" s="136"/>
      <c r="E143" s="19"/>
      <c r="F143" s="15"/>
      <c r="G143" s="138"/>
      <c r="H143" s="138"/>
      <c r="I143" s="126"/>
      <c r="J143" s="15"/>
      <c r="K143" s="15"/>
      <c r="L143" s="20"/>
      <c r="M143" s="20"/>
      <c r="N143" s="126"/>
      <c r="O143" s="126"/>
      <c r="P143" s="126"/>
      <c r="Q143" s="171"/>
      <c r="R143" s="172"/>
      <c r="S143" s="172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43"/>
      <c r="AF143" s="143"/>
      <c r="AG143" s="143"/>
      <c r="AH143" s="143"/>
      <c r="AI143" s="143"/>
      <c r="AJ143" s="143"/>
      <c r="AK143" s="143"/>
      <c r="AL143" s="147"/>
      <c r="AM143" s="145"/>
      <c r="AN143" s="147"/>
      <c r="AO143" s="147"/>
    </row>
    <row r="144" spans="3:41">
      <c r="C144" s="136"/>
      <c r="D144" s="136"/>
      <c r="E144" s="19"/>
      <c r="F144" s="15"/>
      <c r="G144" s="138"/>
      <c r="H144" s="138"/>
      <c r="I144" s="126"/>
      <c r="J144" s="15"/>
      <c r="K144" s="15"/>
      <c r="L144" s="20"/>
      <c r="M144" s="20"/>
      <c r="N144" s="126"/>
      <c r="O144" s="126"/>
      <c r="P144" s="126"/>
      <c r="Q144" s="171"/>
      <c r="R144" s="172"/>
      <c r="S144" s="172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43"/>
      <c r="AF144" s="143"/>
      <c r="AG144" s="143"/>
      <c r="AH144" s="143"/>
      <c r="AI144" s="143"/>
      <c r="AJ144" s="143"/>
      <c r="AK144" s="143"/>
      <c r="AL144" s="147"/>
      <c r="AM144" s="145"/>
      <c r="AN144" s="146"/>
      <c r="AO144" s="147"/>
    </row>
    <row r="145" spans="3:41">
      <c r="C145" s="136"/>
      <c r="D145" s="136"/>
      <c r="E145" s="19"/>
      <c r="F145" s="15"/>
      <c r="G145" s="138"/>
      <c r="H145" s="138"/>
      <c r="I145" s="126"/>
      <c r="J145" s="15"/>
      <c r="K145" s="15"/>
      <c r="L145" s="20"/>
      <c r="M145" s="20"/>
      <c r="N145" s="126"/>
      <c r="O145" s="126"/>
      <c r="P145" s="126"/>
      <c r="Q145" s="171"/>
      <c r="R145" s="172"/>
      <c r="S145" s="172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43"/>
      <c r="AF145" s="143"/>
      <c r="AG145" s="143"/>
      <c r="AH145" s="143"/>
      <c r="AI145" s="143"/>
      <c r="AJ145" s="143"/>
      <c r="AK145" s="143"/>
      <c r="AL145" s="174"/>
      <c r="AM145" s="145"/>
      <c r="AN145" s="147"/>
      <c r="AO145" s="147"/>
    </row>
    <row r="146" spans="3:41">
      <c r="C146" s="136"/>
      <c r="D146" s="136"/>
      <c r="E146" s="19"/>
      <c r="F146" s="181"/>
      <c r="G146" s="138"/>
      <c r="H146" s="138"/>
      <c r="I146" s="126"/>
      <c r="J146" s="15"/>
      <c r="K146" s="15"/>
      <c r="L146" s="20"/>
      <c r="M146" s="20"/>
      <c r="N146" s="126"/>
      <c r="O146" s="126"/>
      <c r="P146" s="126"/>
      <c r="Q146" s="182"/>
      <c r="R146" s="172"/>
      <c r="S146" s="172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83"/>
      <c r="AF146" s="183"/>
      <c r="AG146" s="183"/>
      <c r="AH146" s="183"/>
      <c r="AI146" s="183"/>
      <c r="AJ146" s="183"/>
      <c r="AK146" s="143"/>
      <c r="AL146" s="184"/>
      <c r="AM146" s="145"/>
      <c r="AN146" s="176"/>
      <c r="AO146" s="147"/>
    </row>
    <row r="147" spans="3:41">
      <c r="C147" s="136"/>
      <c r="D147" s="136"/>
      <c r="E147" s="19"/>
      <c r="F147" s="15"/>
      <c r="G147" s="138"/>
      <c r="H147" s="138"/>
      <c r="I147" s="126"/>
      <c r="J147" s="15"/>
      <c r="K147" s="15"/>
      <c r="L147" s="20"/>
      <c r="M147" s="20"/>
      <c r="N147" s="126"/>
      <c r="O147" s="126"/>
      <c r="P147" s="126"/>
      <c r="Q147" s="171"/>
      <c r="R147" s="172"/>
      <c r="S147" s="172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43"/>
      <c r="AF147" s="143"/>
      <c r="AG147" s="143"/>
      <c r="AH147" s="143"/>
      <c r="AI147" s="143"/>
      <c r="AJ147" s="143"/>
      <c r="AK147" s="143"/>
      <c r="AL147" s="147"/>
      <c r="AM147" s="145"/>
      <c r="AN147" s="146"/>
      <c r="AO147" s="147"/>
    </row>
    <row r="148" spans="3:41">
      <c r="C148" s="136"/>
      <c r="D148" s="136"/>
      <c r="E148" s="19"/>
      <c r="F148" s="15"/>
      <c r="G148" s="138"/>
      <c r="H148" s="138"/>
      <c r="I148" s="126"/>
      <c r="J148" s="15"/>
      <c r="K148" s="15"/>
      <c r="L148" s="20"/>
      <c r="M148" s="20"/>
      <c r="N148" s="126"/>
      <c r="O148" s="126"/>
      <c r="P148" s="126"/>
      <c r="Q148" s="171"/>
      <c r="R148" s="172"/>
      <c r="S148" s="172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43"/>
      <c r="AF148" s="143"/>
      <c r="AG148" s="143"/>
      <c r="AH148" s="143"/>
      <c r="AI148" s="143"/>
      <c r="AJ148" s="143"/>
      <c r="AK148" s="143"/>
      <c r="AL148" s="158"/>
      <c r="AM148" s="145"/>
      <c r="AN148" s="147"/>
      <c r="AO148" s="147"/>
    </row>
    <row r="149" spans="3:41">
      <c r="C149" s="136"/>
      <c r="D149" s="136"/>
      <c r="E149" s="19"/>
      <c r="F149" s="15"/>
      <c r="G149" s="138"/>
      <c r="H149" s="138"/>
      <c r="I149" s="126"/>
      <c r="J149" s="15"/>
      <c r="K149" s="15"/>
      <c r="L149" s="20"/>
      <c r="M149" s="20"/>
      <c r="N149" s="126"/>
      <c r="O149" s="126"/>
      <c r="P149" s="126"/>
      <c r="Q149" s="171"/>
      <c r="R149" s="172"/>
      <c r="S149" s="172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43"/>
      <c r="AF149" s="143"/>
      <c r="AG149" s="143"/>
      <c r="AH149" s="143"/>
      <c r="AI149" s="143"/>
      <c r="AJ149" s="143"/>
      <c r="AK149" s="143"/>
      <c r="AL149" s="151"/>
      <c r="AM149" s="145"/>
      <c r="AN149" s="147"/>
      <c r="AO149" s="147"/>
    </row>
    <row r="150" spans="3:41">
      <c r="C150" s="136"/>
      <c r="D150" s="136"/>
      <c r="E150" s="19"/>
      <c r="F150" s="15"/>
      <c r="G150" s="138"/>
      <c r="H150" s="138"/>
      <c r="I150" s="126"/>
      <c r="J150" s="15"/>
      <c r="K150" s="15"/>
      <c r="L150" s="20"/>
      <c r="M150" s="20"/>
      <c r="N150" s="126"/>
      <c r="O150" s="126"/>
      <c r="P150" s="126"/>
      <c r="Q150" s="171"/>
      <c r="R150" s="172"/>
      <c r="S150" s="172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43"/>
      <c r="AF150" s="143"/>
      <c r="AG150" s="143"/>
      <c r="AH150" s="143"/>
      <c r="AI150" s="143"/>
      <c r="AJ150" s="143"/>
      <c r="AK150" s="143"/>
      <c r="AL150" s="158"/>
      <c r="AM150" s="145"/>
      <c r="AN150" s="143"/>
      <c r="AO150" s="147"/>
    </row>
    <row r="151" spans="3:41">
      <c r="C151" s="136"/>
      <c r="D151" s="136"/>
      <c r="E151" s="19"/>
      <c r="F151" s="15"/>
      <c r="G151" s="138"/>
      <c r="H151" s="138"/>
      <c r="I151" s="126"/>
      <c r="J151" s="15"/>
      <c r="K151" s="15"/>
      <c r="L151" s="20"/>
      <c r="M151" s="20"/>
      <c r="N151" s="126"/>
      <c r="O151" s="126"/>
      <c r="P151" s="126"/>
      <c r="Q151" s="171"/>
      <c r="R151" s="172"/>
      <c r="S151" s="172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43"/>
      <c r="AF151" s="143"/>
      <c r="AG151" s="143"/>
      <c r="AH151" s="143"/>
      <c r="AI151" s="143"/>
      <c r="AJ151" s="143"/>
      <c r="AK151" s="143"/>
      <c r="AL151" s="158"/>
      <c r="AM151" s="145"/>
      <c r="AN151" s="147"/>
      <c r="AO151" s="147"/>
    </row>
    <row r="152" spans="3:41">
      <c r="C152" s="136"/>
      <c r="D152" s="136"/>
      <c r="E152" s="19"/>
      <c r="F152" s="15"/>
      <c r="G152" s="138"/>
      <c r="H152" s="138"/>
      <c r="I152" s="126"/>
      <c r="J152" s="15"/>
      <c r="K152" s="15"/>
      <c r="L152" s="20"/>
      <c r="M152" s="20"/>
      <c r="N152" s="126"/>
      <c r="O152" s="126"/>
      <c r="P152" s="126"/>
      <c r="Q152" s="171"/>
      <c r="R152" s="172"/>
      <c r="S152" s="172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43"/>
      <c r="AF152" s="143"/>
      <c r="AG152" s="143"/>
      <c r="AH152" s="143"/>
      <c r="AI152" s="143"/>
      <c r="AJ152" s="143"/>
      <c r="AK152" s="143"/>
      <c r="AL152" s="151"/>
      <c r="AM152" s="145"/>
      <c r="AN152" s="147"/>
      <c r="AO152" s="147"/>
    </row>
    <row r="153" spans="3:41">
      <c r="C153" s="136"/>
      <c r="D153" s="136"/>
      <c r="E153" s="19"/>
      <c r="F153" s="15"/>
      <c r="G153" s="138"/>
      <c r="H153" s="138"/>
      <c r="I153" s="126"/>
      <c r="J153" s="15"/>
      <c r="K153" s="15"/>
      <c r="L153" s="20"/>
      <c r="M153" s="20"/>
      <c r="N153" s="126"/>
      <c r="O153" s="126"/>
      <c r="P153" s="126"/>
      <c r="Q153" s="171"/>
      <c r="R153" s="172"/>
      <c r="S153" s="172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43"/>
      <c r="AF153" s="143"/>
      <c r="AG153" s="143"/>
      <c r="AH153" s="143"/>
      <c r="AI153" s="143"/>
      <c r="AJ153" s="143"/>
      <c r="AK153" s="143"/>
      <c r="AL153" s="151"/>
      <c r="AM153" s="145"/>
      <c r="AN153" s="147"/>
      <c r="AO153" s="147"/>
    </row>
    <row r="154" spans="3:41">
      <c r="C154" s="136"/>
      <c r="D154" s="136"/>
      <c r="E154" s="19"/>
      <c r="F154" s="15"/>
      <c r="G154" s="138"/>
      <c r="H154" s="138"/>
      <c r="I154" s="126"/>
      <c r="J154" s="15"/>
      <c r="K154" s="15"/>
      <c r="L154" s="20"/>
      <c r="M154" s="20"/>
      <c r="N154" s="126"/>
      <c r="O154" s="126"/>
      <c r="P154" s="126"/>
      <c r="Q154" s="171"/>
      <c r="R154" s="172"/>
      <c r="S154" s="172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43"/>
      <c r="AF154" s="143"/>
      <c r="AG154" s="143"/>
      <c r="AH154" s="143"/>
      <c r="AI154" s="143"/>
      <c r="AJ154" s="143"/>
      <c r="AK154" s="143"/>
      <c r="AL154" s="151"/>
      <c r="AM154" s="145"/>
      <c r="AN154" s="143"/>
      <c r="AO154" s="158"/>
    </row>
    <row r="155" spans="3:41">
      <c r="C155" s="136"/>
      <c r="D155" s="136"/>
      <c r="E155" s="19"/>
      <c r="F155" s="15"/>
      <c r="G155" s="138"/>
      <c r="H155" s="138"/>
      <c r="I155" s="126"/>
      <c r="J155" s="15"/>
      <c r="K155" s="15"/>
      <c r="L155" s="20"/>
      <c r="M155" s="20"/>
      <c r="N155" s="126"/>
      <c r="O155" s="126"/>
      <c r="P155" s="126"/>
      <c r="Q155" s="171"/>
      <c r="R155" s="172"/>
      <c r="S155" s="172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43"/>
      <c r="AF155" s="143"/>
      <c r="AG155" s="143"/>
      <c r="AH155" s="143"/>
      <c r="AI155" s="143"/>
      <c r="AJ155" s="143"/>
      <c r="AK155" s="143"/>
      <c r="AL155" s="151"/>
      <c r="AM155" s="145"/>
      <c r="AN155" s="143"/>
      <c r="AO155" s="169"/>
    </row>
    <row r="156" spans="3:41">
      <c r="C156" s="136"/>
      <c r="D156" s="136"/>
      <c r="E156" s="19"/>
      <c r="F156" s="15"/>
      <c r="G156" s="138"/>
      <c r="H156" s="138"/>
      <c r="I156" s="126"/>
      <c r="J156" s="15"/>
      <c r="K156" s="15"/>
      <c r="L156" s="20"/>
      <c r="M156" s="20"/>
      <c r="N156" s="126"/>
      <c r="O156" s="126"/>
      <c r="P156" s="126"/>
      <c r="Q156" s="171"/>
      <c r="R156" s="172"/>
      <c r="S156" s="172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43"/>
      <c r="AF156" s="143"/>
      <c r="AG156" s="143"/>
      <c r="AH156" s="143"/>
      <c r="AI156" s="143"/>
      <c r="AJ156" s="143"/>
      <c r="AK156" s="143"/>
      <c r="AL156" s="151"/>
      <c r="AM156" s="145"/>
      <c r="AN156" s="147"/>
      <c r="AO156" s="158"/>
    </row>
    <row r="157" spans="3:41">
      <c r="C157" s="136"/>
      <c r="D157" s="136"/>
      <c r="E157" s="19"/>
      <c r="F157" s="15"/>
      <c r="G157" s="138"/>
      <c r="H157" s="138"/>
      <c r="I157" s="126"/>
      <c r="J157" s="15"/>
      <c r="K157" s="15"/>
      <c r="L157" s="20"/>
      <c r="M157" s="20"/>
      <c r="N157" s="126"/>
      <c r="O157" s="126"/>
      <c r="P157" s="126"/>
      <c r="Q157" s="171"/>
      <c r="R157" s="172"/>
      <c r="S157" s="172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43"/>
      <c r="AF157" s="143"/>
      <c r="AG157" s="143"/>
      <c r="AH157" s="143"/>
      <c r="AI157" s="143"/>
      <c r="AJ157" s="143"/>
      <c r="AK157" s="143"/>
      <c r="AL157" s="151"/>
      <c r="AM157" s="145"/>
      <c r="AN157" s="147"/>
      <c r="AO157" s="169"/>
    </row>
    <row r="158" spans="3:41">
      <c r="C158" s="136"/>
      <c r="D158" s="136"/>
      <c r="E158" s="19"/>
      <c r="F158" s="15"/>
      <c r="G158" s="138"/>
      <c r="H158" s="138"/>
      <c r="I158" s="126"/>
      <c r="J158" s="15"/>
      <c r="K158" s="15"/>
      <c r="L158" s="20"/>
      <c r="M158" s="20"/>
      <c r="N158" s="126"/>
      <c r="O158" s="126"/>
      <c r="P158" s="126"/>
      <c r="Q158" s="171"/>
      <c r="R158" s="172"/>
      <c r="S158" s="172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43"/>
      <c r="AF158" s="143"/>
      <c r="AG158" s="143"/>
      <c r="AH158" s="143"/>
      <c r="AI158" s="143"/>
      <c r="AJ158" s="143"/>
      <c r="AK158" s="143"/>
      <c r="AL158" s="151"/>
      <c r="AM158" s="145"/>
      <c r="AN158" s="143"/>
      <c r="AO158" s="169"/>
    </row>
    <row r="159" spans="3:41">
      <c r="C159" s="136"/>
      <c r="D159" s="136"/>
      <c r="E159" s="19"/>
      <c r="F159" s="15"/>
      <c r="G159" s="138"/>
      <c r="H159" s="138"/>
      <c r="I159" s="126"/>
      <c r="J159" s="15"/>
      <c r="K159" s="15"/>
      <c r="L159" s="20"/>
      <c r="M159" s="20"/>
      <c r="N159" s="126"/>
      <c r="O159" s="126"/>
      <c r="P159" s="126"/>
      <c r="Q159" s="171"/>
      <c r="R159" s="172"/>
      <c r="S159" s="172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43"/>
      <c r="AF159" s="143"/>
      <c r="AG159" s="143"/>
      <c r="AH159" s="143"/>
      <c r="AI159" s="143"/>
      <c r="AJ159" s="143"/>
      <c r="AK159" s="143"/>
      <c r="AL159" s="151"/>
      <c r="AM159" s="145"/>
      <c r="AN159" s="151"/>
      <c r="AO159" s="169"/>
    </row>
    <row r="160" spans="3:41">
      <c r="C160" s="136"/>
      <c r="D160" s="136"/>
      <c r="E160" s="19"/>
      <c r="F160" s="15"/>
      <c r="G160" s="138"/>
      <c r="H160" s="138"/>
      <c r="I160" s="126"/>
      <c r="J160" s="15"/>
      <c r="K160" s="15"/>
      <c r="L160" s="20"/>
      <c r="M160" s="20"/>
      <c r="N160" s="126"/>
      <c r="O160" s="126"/>
      <c r="P160" s="126"/>
      <c r="Q160" s="171"/>
      <c r="R160" s="172"/>
      <c r="S160" s="172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43"/>
      <c r="AF160" s="143"/>
      <c r="AG160" s="143"/>
      <c r="AH160" s="143"/>
      <c r="AI160" s="143"/>
      <c r="AJ160" s="143"/>
      <c r="AK160" s="143"/>
      <c r="AL160" s="151"/>
      <c r="AM160" s="145"/>
      <c r="AN160" s="151"/>
      <c r="AO160" s="151"/>
    </row>
    <row r="161" spans="3:41">
      <c r="C161" s="136"/>
      <c r="D161" s="136"/>
      <c r="E161" s="19"/>
      <c r="F161" s="15"/>
      <c r="G161" s="138"/>
      <c r="H161" s="138"/>
      <c r="I161" s="126"/>
      <c r="J161" s="15"/>
      <c r="K161" s="15"/>
      <c r="L161" s="20"/>
      <c r="M161" s="20"/>
      <c r="N161" s="126"/>
      <c r="O161" s="126"/>
      <c r="P161" s="126"/>
      <c r="Q161" s="171"/>
      <c r="R161" s="172"/>
      <c r="S161" s="172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43"/>
      <c r="AF161" s="143"/>
      <c r="AG161" s="143"/>
      <c r="AH161" s="143"/>
      <c r="AI161" s="143"/>
      <c r="AJ161" s="143"/>
      <c r="AK161" s="143"/>
      <c r="AL161" s="151"/>
      <c r="AM161" s="145"/>
      <c r="AN161" s="143"/>
      <c r="AO161" s="151"/>
    </row>
    <row r="162" spans="3:41">
      <c r="C162" s="136"/>
      <c r="D162" s="136"/>
      <c r="E162" s="19"/>
      <c r="F162" s="15"/>
      <c r="G162" s="138"/>
      <c r="H162" s="138"/>
      <c r="I162" s="126"/>
      <c r="J162" s="15"/>
      <c r="K162" s="15"/>
      <c r="L162" s="20"/>
      <c r="M162" s="20"/>
      <c r="N162" s="126"/>
      <c r="O162" s="126"/>
      <c r="P162" s="126"/>
      <c r="Q162" s="171"/>
      <c r="R162" s="172"/>
      <c r="S162" s="172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43"/>
      <c r="AF162" s="143"/>
      <c r="AG162" s="143"/>
      <c r="AH162" s="143"/>
      <c r="AI162" s="143"/>
      <c r="AJ162" s="143"/>
      <c r="AK162" s="143"/>
      <c r="AL162" s="185"/>
      <c r="AM162" s="145"/>
      <c r="AN162" s="147"/>
      <c r="AO162" s="151"/>
    </row>
    <row r="163" spans="3:41">
      <c r="C163" s="136"/>
      <c r="D163" s="136"/>
      <c r="E163" s="19"/>
      <c r="F163" s="15"/>
      <c r="G163" s="138"/>
      <c r="H163" s="138"/>
      <c r="I163" s="126"/>
      <c r="J163" s="15"/>
      <c r="K163" s="15"/>
      <c r="L163" s="20"/>
      <c r="M163" s="20"/>
      <c r="N163" s="126"/>
      <c r="O163" s="126"/>
      <c r="P163" s="126"/>
      <c r="Q163" s="171"/>
      <c r="R163" s="172"/>
      <c r="S163" s="172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43"/>
      <c r="AF163" s="143"/>
      <c r="AG163" s="143"/>
      <c r="AH163" s="143"/>
      <c r="AI163" s="143"/>
      <c r="AJ163" s="143"/>
      <c r="AK163" s="143"/>
      <c r="AL163" s="185"/>
      <c r="AM163" s="145"/>
      <c r="AN163" s="147"/>
      <c r="AO163" s="158"/>
    </row>
    <row r="164" spans="3:41">
      <c r="C164" s="136"/>
      <c r="D164" s="136"/>
      <c r="E164" s="19"/>
      <c r="F164" s="15"/>
      <c r="G164" s="138"/>
      <c r="H164" s="138"/>
      <c r="I164" s="126"/>
      <c r="J164" s="15"/>
      <c r="K164" s="15"/>
      <c r="L164" s="20"/>
      <c r="M164" s="20"/>
      <c r="N164" s="126"/>
      <c r="O164" s="126"/>
      <c r="P164" s="126"/>
      <c r="Q164" s="171"/>
      <c r="R164" s="172"/>
      <c r="S164" s="172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43"/>
      <c r="AF164" s="143"/>
      <c r="AG164" s="143"/>
      <c r="AH164" s="143"/>
      <c r="AI164" s="143"/>
      <c r="AJ164" s="143"/>
      <c r="AK164" s="143"/>
      <c r="AL164" s="185"/>
      <c r="AM164" s="145"/>
      <c r="AN164" s="143"/>
      <c r="AO164" s="151"/>
    </row>
    <row r="165" spans="3:41">
      <c r="C165" s="136"/>
      <c r="D165" s="136"/>
      <c r="E165" s="19"/>
      <c r="F165" s="15"/>
      <c r="G165" s="138"/>
      <c r="H165" s="138"/>
      <c r="I165" s="126"/>
      <c r="J165" s="15"/>
      <c r="K165" s="15"/>
      <c r="L165" s="20"/>
      <c r="M165" s="20"/>
      <c r="N165" s="126"/>
      <c r="O165" s="126"/>
      <c r="P165" s="126"/>
      <c r="Q165" s="171"/>
      <c r="R165" s="172"/>
      <c r="S165" s="172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43"/>
      <c r="AF165" s="143"/>
      <c r="AG165" s="143"/>
      <c r="AH165" s="143"/>
      <c r="AI165" s="143"/>
      <c r="AJ165" s="143"/>
      <c r="AK165" s="143"/>
      <c r="AL165" s="185"/>
      <c r="AM165" s="145"/>
      <c r="AN165" s="147"/>
      <c r="AO165" s="158"/>
    </row>
    <row r="166" spans="3:41">
      <c r="C166" s="136"/>
      <c r="D166" s="136"/>
      <c r="E166" s="19"/>
      <c r="F166" s="15"/>
      <c r="G166" s="138"/>
      <c r="H166" s="138"/>
      <c r="I166" s="126"/>
      <c r="J166" s="15"/>
      <c r="K166" s="15"/>
      <c r="L166" s="20"/>
      <c r="M166" s="20"/>
      <c r="N166" s="126"/>
      <c r="O166" s="126"/>
      <c r="P166" s="126"/>
      <c r="Q166" s="171"/>
      <c r="R166" s="172"/>
      <c r="S166" s="172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43"/>
      <c r="AF166" s="143"/>
      <c r="AG166" s="143"/>
      <c r="AH166" s="143"/>
      <c r="AI166" s="143"/>
      <c r="AJ166" s="143"/>
      <c r="AK166" s="143"/>
      <c r="AL166" s="185"/>
      <c r="AM166" s="145"/>
      <c r="AN166" s="147"/>
      <c r="AO166" s="153"/>
    </row>
    <row r="167" spans="3:41">
      <c r="C167" s="136"/>
      <c r="D167" s="136"/>
      <c r="E167" s="19"/>
      <c r="F167" s="15"/>
      <c r="G167" s="138"/>
      <c r="H167" s="138"/>
      <c r="I167" s="126"/>
      <c r="J167" s="15"/>
      <c r="K167" s="15"/>
      <c r="L167" s="20"/>
      <c r="M167" s="20"/>
      <c r="N167" s="126"/>
      <c r="O167" s="126"/>
      <c r="P167" s="126"/>
      <c r="Q167" s="171"/>
      <c r="R167" s="172"/>
      <c r="S167" s="172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43"/>
      <c r="AF167" s="143"/>
      <c r="AG167" s="143"/>
      <c r="AH167" s="143"/>
      <c r="AI167" s="143"/>
      <c r="AJ167" s="143"/>
      <c r="AK167" s="143"/>
      <c r="AL167" s="185"/>
      <c r="AM167" s="145"/>
      <c r="AN167" s="147"/>
      <c r="AO167" s="153"/>
    </row>
    <row r="168" spans="3:41">
      <c r="C168" s="136"/>
      <c r="D168" s="136"/>
      <c r="E168" s="19"/>
      <c r="F168" s="15"/>
      <c r="G168" s="138"/>
      <c r="H168" s="138"/>
      <c r="I168" s="126"/>
      <c r="J168" s="15"/>
      <c r="K168" s="15"/>
      <c r="L168" s="20"/>
      <c r="M168" s="20"/>
      <c r="N168" s="126"/>
      <c r="O168" s="126"/>
      <c r="P168" s="126"/>
      <c r="Q168" s="171"/>
      <c r="R168" s="172"/>
      <c r="S168" s="172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43"/>
      <c r="AF168" s="143"/>
      <c r="AG168" s="143"/>
      <c r="AH168" s="143"/>
      <c r="AI168" s="143"/>
      <c r="AJ168" s="143"/>
      <c r="AK168" s="143"/>
      <c r="AL168" s="158"/>
      <c r="AM168" s="145"/>
      <c r="AN168" s="143"/>
      <c r="AO168" s="153"/>
    </row>
    <row r="169" spans="3:41">
      <c r="C169" s="136"/>
      <c r="D169" s="136"/>
      <c r="E169" s="19"/>
      <c r="F169" s="15"/>
      <c r="G169" s="138"/>
      <c r="H169" s="138"/>
      <c r="I169" s="126"/>
      <c r="J169" s="15"/>
      <c r="K169" s="15"/>
      <c r="L169" s="20"/>
      <c r="M169" s="20"/>
      <c r="N169" s="126"/>
      <c r="O169" s="126"/>
      <c r="P169" s="126"/>
      <c r="Q169" s="171"/>
      <c r="R169" s="172"/>
      <c r="S169" s="172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43"/>
      <c r="AF169" s="143"/>
      <c r="AG169" s="143"/>
      <c r="AH169" s="143"/>
      <c r="AI169" s="143"/>
      <c r="AJ169" s="143"/>
      <c r="AK169" s="143"/>
      <c r="AL169" s="151"/>
      <c r="AM169" s="145"/>
      <c r="AN169" s="143"/>
      <c r="AO169" s="153"/>
    </row>
    <row r="170" spans="3:41">
      <c r="C170" s="136"/>
      <c r="D170" s="136"/>
      <c r="E170" s="19"/>
      <c r="F170" s="15"/>
      <c r="G170" s="138"/>
      <c r="H170" s="138"/>
      <c r="I170" s="126"/>
      <c r="J170" s="15"/>
      <c r="K170" s="15"/>
      <c r="L170" s="20"/>
      <c r="M170" s="20"/>
      <c r="N170" s="126"/>
      <c r="O170" s="126"/>
      <c r="P170" s="126"/>
      <c r="Q170" s="171"/>
      <c r="R170" s="172"/>
      <c r="S170" s="172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43"/>
      <c r="AF170" s="143"/>
      <c r="AG170" s="143"/>
      <c r="AH170" s="143"/>
      <c r="AI170" s="143"/>
      <c r="AJ170" s="143"/>
      <c r="AK170" s="143"/>
      <c r="AL170" s="151"/>
      <c r="AM170" s="145"/>
      <c r="AN170" s="147"/>
      <c r="AO170" s="153"/>
    </row>
    <row r="171" spans="3:41">
      <c r="C171" s="136"/>
      <c r="D171" s="136"/>
      <c r="E171" s="19"/>
      <c r="F171" s="15"/>
      <c r="G171" s="138"/>
      <c r="H171" s="138"/>
      <c r="I171" s="126"/>
      <c r="J171" s="15"/>
      <c r="K171" s="15"/>
      <c r="L171" s="20"/>
      <c r="M171" s="20"/>
      <c r="N171" s="126"/>
      <c r="O171" s="126"/>
      <c r="P171" s="126"/>
      <c r="Q171" s="171"/>
      <c r="R171" s="172"/>
      <c r="S171" s="172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43"/>
      <c r="AF171" s="143"/>
      <c r="AG171" s="143"/>
      <c r="AH171" s="143"/>
      <c r="AI171" s="143"/>
      <c r="AJ171" s="143"/>
      <c r="AK171" s="143"/>
      <c r="AL171" s="151"/>
      <c r="AM171" s="145"/>
      <c r="AN171" s="143"/>
      <c r="AO171" s="153"/>
    </row>
    <row r="172" spans="3:41">
      <c r="C172" s="136"/>
      <c r="D172" s="136"/>
      <c r="E172" s="19"/>
      <c r="F172" s="15"/>
      <c r="G172" s="138"/>
      <c r="H172" s="138"/>
      <c r="I172" s="126"/>
      <c r="J172" s="15"/>
      <c r="K172" s="15"/>
      <c r="L172" s="20"/>
      <c r="M172" s="20"/>
      <c r="N172" s="126"/>
      <c r="O172" s="126"/>
      <c r="P172" s="126"/>
      <c r="Q172" s="171"/>
      <c r="R172" s="172"/>
      <c r="S172" s="172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43"/>
      <c r="AF172" s="143"/>
      <c r="AG172" s="143"/>
      <c r="AH172" s="143"/>
      <c r="AI172" s="143"/>
      <c r="AJ172" s="143"/>
      <c r="AK172" s="143"/>
      <c r="AL172" s="151"/>
      <c r="AM172" s="145"/>
      <c r="AN172" s="147"/>
      <c r="AO172" s="146"/>
    </row>
    <row r="173" spans="3:41">
      <c r="C173" s="136"/>
      <c r="D173" s="136"/>
      <c r="E173" s="19"/>
      <c r="F173" s="15"/>
      <c r="G173" s="138"/>
      <c r="H173" s="138"/>
      <c r="I173" s="126"/>
      <c r="J173" s="15"/>
      <c r="K173" s="15"/>
      <c r="L173" s="20"/>
      <c r="M173" s="20"/>
      <c r="N173" s="126"/>
      <c r="O173" s="126"/>
      <c r="P173" s="126"/>
      <c r="Q173" s="171"/>
      <c r="R173" s="172"/>
      <c r="S173" s="172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43"/>
      <c r="AF173" s="143"/>
      <c r="AG173" s="143"/>
      <c r="AH173" s="143"/>
      <c r="AI173" s="143"/>
      <c r="AJ173" s="143"/>
      <c r="AK173" s="143"/>
      <c r="AL173" s="151"/>
      <c r="AM173" s="145"/>
      <c r="AN173" s="147"/>
      <c r="AO173" s="146"/>
    </row>
    <row r="174" spans="3:41">
      <c r="C174" s="136"/>
      <c r="D174" s="136"/>
      <c r="E174" s="19"/>
      <c r="F174" s="15"/>
      <c r="G174" s="138"/>
      <c r="H174" s="138"/>
      <c r="I174" s="126"/>
      <c r="J174" s="15"/>
      <c r="K174" s="15"/>
      <c r="L174" s="20"/>
      <c r="M174" s="20"/>
      <c r="N174" s="126"/>
      <c r="O174" s="126"/>
      <c r="P174" s="126"/>
      <c r="Q174" s="171"/>
      <c r="R174" s="172"/>
      <c r="S174" s="172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43"/>
      <c r="AF174" s="143"/>
      <c r="AG174" s="143"/>
      <c r="AH174" s="143"/>
      <c r="AI174" s="143"/>
      <c r="AJ174" s="143"/>
      <c r="AK174" s="143"/>
      <c r="AL174" s="151"/>
      <c r="AM174" s="145"/>
      <c r="AN174" s="151"/>
      <c r="AO174" s="146"/>
    </row>
    <row r="175" spans="3:41">
      <c r="C175" s="136"/>
      <c r="D175" s="136"/>
      <c r="E175" s="19"/>
      <c r="F175" s="15"/>
      <c r="G175" s="138"/>
      <c r="H175" s="138"/>
      <c r="I175" s="126"/>
      <c r="J175" s="15"/>
      <c r="K175" s="15"/>
      <c r="L175" s="20"/>
      <c r="M175" s="20"/>
      <c r="N175" s="126"/>
      <c r="O175" s="126"/>
      <c r="P175" s="126"/>
      <c r="Q175" s="171"/>
      <c r="R175" s="172"/>
      <c r="S175" s="172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43"/>
      <c r="AF175" s="143"/>
      <c r="AG175" s="143"/>
      <c r="AH175" s="143"/>
      <c r="AI175" s="143"/>
      <c r="AJ175" s="143"/>
      <c r="AK175" s="143"/>
      <c r="AL175" s="151"/>
      <c r="AM175" s="145"/>
      <c r="AN175" s="151"/>
      <c r="AO175" s="146"/>
    </row>
    <row r="176" spans="3:41">
      <c r="C176" s="136"/>
      <c r="D176" s="136"/>
      <c r="E176" s="19"/>
      <c r="F176" s="15"/>
      <c r="G176" s="138"/>
      <c r="H176" s="138"/>
      <c r="I176" s="126"/>
      <c r="J176" s="15"/>
      <c r="K176" s="15"/>
      <c r="L176" s="20"/>
      <c r="M176" s="20"/>
      <c r="N176" s="126"/>
      <c r="O176" s="126"/>
      <c r="P176" s="126"/>
      <c r="Q176" s="171"/>
      <c r="R176" s="172"/>
      <c r="S176" s="172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43"/>
      <c r="AF176" s="143"/>
      <c r="AG176" s="143"/>
      <c r="AH176" s="143"/>
      <c r="AI176" s="143"/>
      <c r="AJ176" s="143"/>
      <c r="AK176" s="143"/>
      <c r="AL176" s="151"/>
      <c r="AM176" s="145"/>
      <c r="AN176" s="151"/>
      <c r="AO176" s="146"/>
    </row>
    <row r="177" spans="3:41">
      <c r="C177" s="136"/>
      <c r="D177" s="136"/>
      <c r="E177" s="19"/>
      <c r="F177" s="15"/>
      <c r="G177" s="138"/>
      <c r="H177" s="138"/>
      <c r="I177" s="126"/>
      <c r="J177" s="15"/>
      <c r="K177" s="15"/>
      <c r="L177" s="20"/>
      <c r="M177" s="20"/>
      <c r="N177" s="126"/>
      <c r="O177" s="126"/>
      <c r="P177" s="126"/>
      <c r="Q177" s="171"/>
      <c r="R177" s="172"/>
      <c r="S177" s="172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43"/>
      <c r="AF177" s="143"/>
      <c r="AG177" s="143"/>
      <c r="AH177" s="143"/>
      <c r="AI177" s="143"/>
      <c r="AJ177" s="143"/>
      <c r="AK177" s="143"/>
      <c r="AL177" s="151"/>
      <c r="AM177" s="145"/>
      <c r="AN177" s="157"/>
      <c r="AO177" s="146"/>
    </row>
    <row r="178" spans="3:41">
      <c r="C178" s="136"/>
      <c r="D178" s="136"/>
      <c r="E178" s="19"/>
      <c r="F178" s="15"/>
      <c r="G178" s="138"/>
      <c r="H178" s="138"/>
      <c r="I178" s="126"/>
      <c r="J178" s="15"/>
      <c r="K178" s="15"/>
      <c r="L178" s="20"/>
      <c r="M178" s="20"/>
      <c r="N178" s="126"/>
      <c r="O178" s="126"/>
      <c r="P178" s="126"/>
      <c r="Q178" s="171"/>
      <c r="R178" s="172"/>
      <c r="S178" s="172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43"/>
      <c r="AF178" s="143"/>
      <c r="AG178" s="143"/>
      <c r="AH178" s="143"/>
      <c r="AI178" s="186"/>
      <c r="AJ178" s="143"/>
      <c r="AK178" s="143"/>
      <c r="AL178" s="151"/>
      <c r="AM178" s="145"/>
      <c r="AN178" s="144"/>
      <c r="AO178" s="147"/>
    </row>
    <row r="179" spans="3:41">
      <c r="C179" s="136"/>
      <c r="D179" s="136"/>
      <c r="E179" s="19"/>
      <c r="F179" s="15"/>
      <c r="G179" s="138"/>
      <c r="H179" s="138"/>
      <c r="I179" s="126"/>
      <c r="J179" s="15"/>
      <c r="K179" s="15"/>
      <c r="L179" s="20"/>
      <c r="M179" s="20"/>
      <c r="N179" s="126"/>
      <c r="O179" s="126"/>
      <c r="P179" s="126"/>
      <c r="Q179" s="171"/>
      <c r="R179" s="172"/>
      <c r="S179" s="172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43"/>
      <c r="AF179" s="143"/>
      <c r="AG179" s="143"/>
      <c r="AH179" s="143"/>
      <c r="AI179" s="143"/>
      <c r="AJ179" s="143"/>
      <c r="AK179" s="143"/>
      <c r="AL179" s="151"/>
      <c r="AM179" s="145"/>
      <c r="AN179" s="144"/>
      <c r="AO179" s="147"/>
    </row>
    <row r="180" spans="3:41">
      <c r="C180" s="136"/>
      <c r="D180" s="136"/>
      <c r="E180" s="19"/>
      <c r="F180" s="15"/>
      <c r="G180" s="138"/>
      <c r="H180" s="138"/>
      <c r="I180" s="126"/>
      <c r="J180" s="15"/>
      <c r="K180" s="15"/>
      <c r="L180" s="20"/>
      <c r="M180" s="20"/>
      <c r="N180" s="126"/>
      <c r="O180" s="126"/>
      <c r="P180" s="126"/>
      <c r="Q180" s="171"/>
      <c r="R180" s="172"/>
      <c r="S180" s="172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43"/>
      <c r="AF180" s="143"/>
      <c r="AG180" s="143"/>
      <c r="AH180" s="143"/>
      <c r="AI180" s="143"/>
      <c r="AJ180" s="143"/>
      <c r="AK180" s="143"/>
      <c r="AL180" s="151"/>
      <c r="AM180" s="145"/>
      <c r="AN180" s="151"/>
      <c r="AO180" s="147"/>
    </row>
    <row r="181" spans="3:41">
      <c r="C181" s="136"/>
      <c r="D181" s="136"/>
      <c r="E181" s="19"/>
      <c r="F181" s="15"/>
      <c r="G181" s="138"/>
      <c r="H181" s="138"/>
      <c r="I181" s="126"/>
      <c r="J181" s="15"/>
      <c r="K181" s="15"/>
      <c r="L181" s="20"/>
      <c r="M181" s="20"/>
      <c r="N181" s="126"/>
      <c r="O181" s="126"/>
      <c r="P181" s="126"/>
      <c r="Q181" s="171"/>
      <c r="R181" s="172"/>
      <c r="S181" s="172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43"/>
      <c r="AF181" s="143"/>
      <c r="AG181" s="143"/>
      <c r="AH181" s="143"/>
      <c r="AI181" s="143"/>
      <c r="AJ181" s="143"/>
      <c r="AK181" s="143"/>
      <c r="AL181" s="147"/>
      <c r="AM181" s="145"/>
      <c r="AN181" s="146"/>
      <c r="AO181" s="147"/>
    </row>
    <row r="182" spans="3:41">
      <c r="C182" s="136"/>
      <c r="D182" s="136"/>
      <c r="E182" s="19"/>
      <c r="F182" s="15"/>
      <c r="G182" s="138"/>
      <c r="H182" s="138"/>
      <c r="I182" s="126"/>
      <c r="J182" s="15"/>
      <c r="K182" s="15"/>
      <c r="L182" s="20"/>
      <c r="M182" s="20"/>
      <c r="N182" s="126"/>
      <c r="O182" s="126"/>
      <c r="P182" s="126"/>
      <c r="Q182" s="171"/>
      <c r="R182" s="172"/>
      <c r="S182" s="172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43"/>
      <c r="AF182" s="143"/>
      <c r="AG182" s="143"/>
      <c r="AH182" s="143"/>
      <c r="AI182" s="143"/>
      <c r="AJ182" s="143"/>
      <c r="AK182" s="143"/>
      <c r="AL182" s="147"/>
      <c r="AM182" s="145"/>
      <c r="AN182" s="153"/>
      <c r="AO182" s="147"/>
    </row>
    <row r="183" spans="3:41">
      <c r="C183" s="136"/>
      <c r="D183" s="136"/>
      <c r="E183" s="19"/>
      <c r="F183" s="15"/>
      <c r="G183" s="138"/>
      <c r="H183" s="138"/>
      <c r="I183" s="126"/>
      <c r="J183" s="15"/>
      <c r="K183" s="15"/>
      <c r="L183" s="20"/>
      <c r="M183" s="20"/>
      <c r="N183" s="126"/>
      <c r="O183" s="126"/>
      <c r="P183" s="126"/>
      <c r="Q183" s="171"/>
      <c r="R183" s="172"/>
      <c r="S183" s="172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43"/>
      <c r="AF183" s="143"/>
      <c r="AG183" s="143"/>
      <c r="AH183" s="143"/>
      <c r="AI183" s="143"/>
      <c r="AJ183" s="143"/>
      <c r="AK183" s="143"/>
      <c r="AL183" s="147"/>
      <c r="AM183" s="145"/>
      <c r="AN183" s="153"/>
      <c r="AO183" s="147"/>
    </row>
    <row r="184" spans="3:41">
      <c r="C184" s="136"/>
      <c r="D184" s="136"/>
      <c r="E184" s="19"/>
      <c r="F184" s="15"/>
      <c r="G184" s="138"/>
      <c r="H184" s="138"/>
      <c r="I184" s="126"/>
      <c r="J184" s="15"/>
      <c r="K184" s="15"/>
      <c r="L184" s="20"/>
      <c r="M184" s="20"/>
      <c r="N184" s="126"/>
      <c r="O184" s="126"/>
      <c r="P184" s="126"/>
      <c r="Q184" s="171"/>
      <c r="R184" s="172"/>
      <c r="S184" s="172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43"/>
      <c r="AF184" s="143"/>
      <c r="AG184" s="143"/>
      <c r="AH184" s="143"/>
      <c r="AI184" s="143"/>
      <c r="AJ184" s="143"/>
      <c r="AK184" s="143"/>
      <c r="AL184" s="147"/>
      <c r="AM184" s="145"/>
      <c r="AN184" s="153"/>
      <c r="AO184" s="147"/>
    </row>
    <row r="185" spans="3:41">
      <c r="C185" s="136"/>
      <c r="D185" s="136"/>
      <c r="E185" s="19"/>
      <c r="F185" s="15"/>
      <c r="G185" s="138"/>
      <c r="H185" s="138"/>
      <c r="I185" s="126"/>
      <c r="J185" s="15"/>
      <c r="K185" s="15"/>
      <c r="L185" s="20"/>
      <c r="M185" s="20"/>
      <c r="N185" s="126"/>
      <c r="O185" s="126"/>
      <c r="P185" s="126"/>
      <c r="Q185" s="171"/>
      <c r="R185" s="172"/>
      <c r="S185" s="172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43"/>
      <c r="AF185" s="143"/>
      <c r="AG185" s="143"/>
      <c r="AH185" s="143"/>
      <c r="AI185" s="143"/>
      <c r="AJ185" s="143"/>
      <c r="AK185" s="143"/>
      <c r="AL185" s="147"/>
      <c r="AM185" s="145"/>
      <c r="AN185" s="153"/>
      <c r="AO185" s="147"/>
    </row>
    <row r="186" spans="3:41">
      <c r="C186" s="136"/>
      <c r="D186" s="136"/>
      <c r="E186" s="19"/>
      <c r="F186" s="15"/>
      <c r="G186" s="138"/>
      <c r="H186" s="138"/>
      <c r="I186" s="126"/>
      <c r="J186" s="15"/>
      <c r="K186" s="15"/>
      <c r="L186" s="20"/>
      <c r="M186" s="20"/>
      <c r="N186" s="126"/>
      <c r="O186" s="126"/>
      <c r="P186" s="126"/>
      <c r="Q186" s="171"/>
      <c r="R186" s="172"/>
      <c r="S186" s="172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43"/>
      <c r="AF186" s="143"/>
      <c r="AG186" s="143"/>
      <c r="AH186" s="143"/>
      <c r="AI186" s="143"/>
      <c r="AJ186" s="143"/>
      <c r="AK186" s="143"/>
      <c r="AL186" s="147"/>
      <c r="AM186" s="145"/>
      <c r="AN186" s="153"/>
      <c r="AO186" s="147"/>
    </row>
    <row r="187" spans="3:41">
      <c r="C187" s="136"/>
      <c r="D187" s="136"/>
      <c r="E187" s="19"/>
      <c r="F187" s="15"/>
      <c r="G187" s="138"/>
      <c r="H187" s="138"/>
      <c r="I187" s="126"/>
      <c r="J187" s="15"/>
      <c r="K187" s="15"/>
      <c r="L187" s="20"/>
      <c r="M187" s="20"/>
      <c r="N187" s="126"/>
      <c r="O187" s="126"/>
      <c r="P187" s="126"/>
      <c r="Q187" s="171"/>
      <c r="R187" s="172"/>
      <c r="S187" s="172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43"/>
      <c r="AF187" s="143"/>
      <c r="AG187" s="143"/>
      <c r="AH187" s="143"/>
      <c r="AI187" s="143"/>
      <c r="AJ187" s="143"/>
      <c r="AK187" s="143"/>
      <c r="AL187" s="147"/>
      <c r="AM187" s="145"/>
      <c r="AN187" s="153"/>
      <c r="AO187" s="147"/>
    </row>
    <row r="188" spans="3:41">
      <c r="C188" s="136"/>
      <c r="D188" s="136"/>
      <c r="E188" s="19"/>
      <c r="F188" s="15"/>
      <c r="G188" s="138"/>
      <c r="H188" s="138"/>
      <c r="I188" s="126"/>
      <c r="J188" s="15"/>
      <c r="K188" s="15"/>
      <c r="L188" s="20"/>
      <c r="M188" s="20"/>
      <c r="N188" s="126"/>
      <c r="O188" s="126"/>
      <c r="P188" s="126"/>
      <c r="Q188" s="171"/>
      <c r="R188" s="172"/>
      <c r="S188" s="172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43"/>
      <c r="AF188" s="143"/>
      <c r="AG188" s="143"/>
      <c r="AH188" s="143"/>
      <c r="AI188" s="143"/>
      <c r="AJ188" s="143"/>
      <c r="AK188" s="143"/>
      <c r="AL188" s="147"/>
      <c r="AM188" s="145"/>
      <c r="AN188" s="153"/>
      <c r="AO188" s="147"/>
    </row>
    <row r="189" spans="3:41">
      <c r="C189" s="136"/>
      <c r="D189" s="136"/>
      <c r="E189" s="19"/>
      <c r="F189" s="15"/>
      <c r="G189" s="138"/>
      <c r="H189" s="138"/>
      <c r="I189" s="126"/>
      <c r="J189" s="15"/>
      <c r="K189" s="15"/>
      <c r="L189" s="20"/>
      <c r="M189" s="20"/>
      <c r="N189" s="126"/>
      <c r="O189" s="126"/>
      <c r="P189" s="126"/>
      <c r="Q189" s="171"/>
      <c r="R189" s="172"/>
      <c r="S189" s="172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43"/>
      <c r="AF189" s="143"/>
      <c r="AG189" s="143"/>
      <c r="AH189" s="143"/>
      <c r="AI189" s="143"/>
      <c r="AJ189" s="143"/>
      <c r="AK189" s="143"/>
      <c r="AL189" s="153"/>
      <c r="AM189" s="145"/>
      <c r="AN189" s="155"/>
      <c r="AO189" s="147"/>
    </row>
    <row r="190" spans="3:41">
      <c r="C190" s="136"/>
      <c r="D190" s="136"/>
      <c r="E190" s="19"/>
      <c r="F190" s="15"/>
      <c r="G190" s="138"/>
      <c r="H190" s="138"/>
      <c r="I190" s="126"/>
      <c r="J190" s="15"/>
      <c r="K190" s="15"/>
      <c r="L190" s="20"/>
      <c r="M190" s="20"/>
      <c r="N190" s="126"/>
      <c r="O190" s="126"/>
      <c r="P190" s="126"/>
      <c r="Q190" s="171"/>
      <c r="R190" s="172"/>
      <c r="S190" s="172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43"/>
      <c r="AF190" s="143"/>
      <c r="AG190" s="143"/>
      <c r="AH190" s="143"/>
      <c r="AI190" s="143"/>
      <c r="AJ190" s="143"/>
      <c r="AK190" s="143"/>
      <c r="AL190" s="153"/>
      <c r="AM190" s="145"/>
      <c r="AN190" s="153"/>
      <c r="AO190" s="147"/>
    </row>
    <row r="191" spans="3:41">
      <c r="C191" s="136"/>
      <c r="D191" s="136"/>
      <c r="E191" s="19"/>
      <c r="F191" s="15"/>
      <c r="G191" s="138"/>
      <c r="H191" s="138"/>
      <c r="I191" s="126"/>
      <c r="J191" s="15"/>
      <c r="K191" s="15"/>
      <c r="L191" s="20"/>
      <c r="M191" s="20"/>
      <c r="N191" s="126"/>
      <c r="O191" s="126"/>
      <c r="P191" s="126"/>
      <c r="Q191" s="171"/>
      <c r="R191" s="172"/>
      <c r="S191" s="172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43"/>
      <c r="AF191" s="143"/>
      <c r="AG191" s="143"/>
      <c r="AH191" s="143"/>
      <c r="AI191" s="143"/>
      <c r="AJ191" s="143"/>
      <c r="AK191" s="143"/>
      <c r="AL191" s="147"/>
      <c r="AM191" s="145"/>
      <c r="AN191" s="155"/>
      <c r="AO191" s="147"/>
    </row>
    <row r="192" spans="3:41">
      <c r="C192" s="136"/>
      <c r="D192" s="136"/>
      <c r="E192" s="19"/>
      <c r="F192" s="15"/>
      <c r="G192" s="138"/>
      <c r="H192" s="138"/>
      <c r="I192" s="126"/>
      <c r="J192" s="15"/>
      <c r="K192" s="15"/>
      <c r="L192" s="20"/>
      <c r="M192" s="20"/>
      <c r="N192" s="126"/>
      <c r="O192" s="126"/>
      <c r="P192" s="126"/>
      <c r="Q192" s="171"/>
      <c r="R192" s="172"/>
      <c r="S192" s="172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43"/>
      <c r="AF192" s="143"/>
      <c r="AG192" s="143"/>
      <c r="AH192" s="143"/>
      <c r="AI192" s="143"/>
      <c r="AJ192" s="143"/>
      <c r="AK192" s="143"/>
      <c r="AL192" s="147"/>
      <c r="AM192" s="145"/>
      <c r="AN192" s="152"/>
      <c r="AO192" s="147"/>
    </row>
    <row r="193" spans="3:41">
      <c r="C193" s="136"/>
      <c r="D193" s="136"/>
      <c r="E193" s="19"/>
      <c r="F193" s="15"/>
      <c r="G193" s="138"/>
      <c r="H193" s="138"/>
      <c r="I193" s="126"/>
      <c r="J193" s="15"/>
      <c r="K193" s="15"/>
      <c r="L193" s="20"/>
      <c r="M193" s="20"/>
      <c r="N193" s="126"/>
      <c r="O193" s="126"/>
      <c r="P193" s="126"/>
      <c r="Q193" s="171"/>
      <c r="R193" s="172"/>
      <c r="S193" s="172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43"/>
      <c r="AF193" s="143"/>
      <c r="AG193" s="143"/>
      <c r="AH193" s="143"/>
      <c r="AI193" s="143"/>
      <c r="AJ193" s="143"/>
      <c r="AK193" s="143"/>
      <c r="AL193" s="147"/>
      <c r="AM193" s="145"/>
      <c r="AN193" s="153"/>
      <c r="AO193" s="147"/>
    </row>
    <row r="194" spans="3:41">
      <c r="C194" s="136"/>
      <c r="D194" s="136"/>
      <c r="E194" s="19"/>
      <c r="F194" s="15"/>
      <c r="G194" s="138"/>
      <c r="H194" s="138"/>
      <c r="I194" s="126"/>
      <c r="J194" s="15"/>
      <c r="K194" s="15"/>
      <c r="L194" s="20"/>
      <c r="M194" s="20"/>
      <c r="N194" s="126"/>
      <c r="O194" s="126"/>
      <c r="P194" s="126"/>
      <c r="Q194" s="171"/>
      <c r="R194" s="172"/>
      <c r="S194" s="172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43"/>
      <c r="AF194" s="143"/>
      <c r="AG194" s="143"/>
      <c r="AH194" s="143"/>
      <c r="AI194" s="143"/>
      <c r="AJ194" s="143"/>
      <c r="AK194" s="143"/>
      <c r="AL194" s="147"/>
      <c r="AM194" s="145"/>
      <c r="AN194" s="153"/>
      <c r="AO194" s="147"/>
    </row>
    <row r="195" spans="3:41">
      <c r="C195" s="136"/>
      <c r="D195" s="136"/>
      <c r="E195" s="19"/>
      <c r="F195" s="15"/>
      <c r="G195" s="138"/>
      <c r="H195" s="138"/>
      <c r="I195" s="126"/>
      <c r="J195" s="15"/>
      <c r="K195" s="15"/>
      <c r="L195" s="20"/>
      <c r="M195" s="20"/>
      <c r="N195" s="126"/>
      <c r="O195" s="126"/>
      <c r="P195" s="126"/>
      <c r="Q195" s="171"/>
      <c r="R195" s="172"/>
      <c r="S195" s="172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43"/>
      <c r="AF195" s="143"/>
      <c r="AG195" s="143"/>
      <c r="AH195" s="143"/>
      <c r="AI195" s="143"/>
      <c r="AJ195" s="143"/>
      <c r="AK195" s="143"/>
      <c r="AL195" s="147"/>
      <c r="AM195" s="145"/>
      <c r="AN195" s="153"/>
      <c r="AO195" s="147"/>
    </row>
    <row r="196" spans="3:41">
      <c r="C196" s="136"/>
      <c r="D196" s="136"/>
      <c r="E196" s="19"/>
      <c r="F196" s="15"/>
      <c r="G196" s="138"/>
      <c r="H196" s="138"/>
      <c r="I196" s="126"/>
      <c r="J196" s="15"/>
      <c r="K196" s="15"/>
      <c r="L196" s="20"/>
      <c r="M196" s="20"/>
      <c r="N196" s="126"/>
      <c r="O196" s="126"/>
      <c r="P196" s="126"/>
      <c r="Q196" s="171"/>
      <c r="R196" s="172"/>
      <c r="S196" s="172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43"/>
      <c r="AF196" s="143"/>
      <c r="AG196" s="143"/>
      <c r="AH196" s="143"/>
      <c r="AI196" s="143"/>
      <c r="AJ196" s="143"/>
      <c r="AK196" s="143"/>
      <c r="AL196" s="147"/>
      <c r="AM196" s="145"/>
      <c r="AN196" s="153"/>
      <c r="AO196" s="147"/>
    </row>
    <row r="197" spans="3:41">
      <c r="C197" s="136"/>
      <c r="D197" s="136"/>
      <c r="E197" s="19"/>
      <c r="F197" s="15"/>
      <c r="G197" s="138"/>
      <c r="H197" s="138"/>
      <c r="I197" s="126"/>
      <c r="J197" s="15"/>
      <c r="K197" s="15"/>
      <c r="L197" s="20"/>
      <c r="M197" s="20"/>
      <c r="N197" s="126"/>
      <c r="O197" s="126"/>
      <c r="P197" s="126"/>
      <c r="Q197" s="171"/>
      <c r="R197" s="172"/>
      <c r="S197" s="172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43"/>
      <c r="AF197" s="143"/>
      <c r="AG197" s="143"/>
      <c r="AH197" s="143"/>
      <c r="AI197" s="143"/>
      <c r="AJ197" s="143"/>
      <c r="AK197" s="143"/>
      <c r="AL197" s="153"/>
      <c r="AM197" s="145"/>
      <c r="AN197" s="153"/>
      <c r="AO197" s="146"/>
    </row>
    <row r="198" spans="3:41">
      <c r="C198" s="136"/>
      <c r="D198" s="136"/>
      <c r="E198" s="19"/>
      <c r="F198" s="15"/>
      <c r="G198" s="138"/>
      <c r="H198" s="138"/>
      <c r="I198" s="126"/>
      <c r="J198" s="15"/>
      <c r="K198" s="15"/>
      <c r="L198" s="20"/>
      <c r="M198" s="20"/>
      <c r="N198" s="126"/>
      <c r="O198" s="126"/>
      <c r="P198" s="126"/>
      <c r="Q198" s="171"/>
      <c r="R198" s="172"/>
      <c r="S198" s="172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43"/>
      <c r="AF198" s="143"/>
      <c r="AG198" s="143"/>
      <c r="AH198" s="143"/>
      <c r="AI198" s="143"/>
      <c r="AJ198" s="143"/>
      <c r="AK198" s="143"/>
      <c r="AL198" s="153"/>
      <c r="AM198" s="145"/>
      <c r="AN198" s="153"/>
      <c r="AO198" s="151"/>
    </row>
    <row r="199" spans="3:41">
      <c r="C199" s="136"/>
      <c r="D199" s="136"/>
      <c r="E199" s="19"/>
      <c r="F199" s="15"/>
      <c r="G199" s="138"/>
      <c r="H199" s="138"/>
      <c r="I199" s="126"/>
      <c r="J199" s="15"/>
      <c r="K199" s="15"/>
      <c r="L199" s="20"/>
      <c r="M199" s="20"/>
      <c r="N199" s="126"/>
      <c r="O199" s="126"/>
      <c r="P199" s="126"/>
      <c r="Q199" s="171"/>
      <c r="R199" s="172"/>
      <c r="S199" s="172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43"/>
      <c r="AF199" s="143"/>
      <c r="AG199" s="143"/>
      <c r="AH199" s="143"/>
      <c r="AI199" s="143"/>
      <c r="AJ199" s="143"/>
      <c r="AK199" s="143"/>
      <c r="AL199" s="147"/>
      <c r="AM199" s="145"/>
      <c r="AN199" s="146"/>
      <c r="AO199" s="151"/>
    </row>
    <row r="200" spans="3:41">
      <c r="C200" s="136"/>
      <c r="D200" s="136"/>
      <c r="E200" s="19"/>
      <c r="F200" s="15"/>
      <c r="G200" s="138"/>
      <c r="H200" s="138"/>
      <c r="I200" s="126"/>
      <c r="J200" s="15"/>
      <c r="K200" s="15"/>
      <c r="L200" s="20"/>
      <c r="M200" s="20"/>
      <c r="N200" s="126"/>
      <c r="O200" s="126"/>
      <c r="P200" s="126"/>
      <c r="Q200" s="171"/>
      <c r="R200" s="172"/>
      <c r="S200" s="172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43"/>
      <c r="AF200" s="143"/>
      <c r="AG200" s="143"/>
      <c r="AH200" s="143"/>
      <c r="AI200" s="143"/>
      <c r="AJ200" s="143"/>
      <c r="AK200" s="143"/>
      <c r="AL200" s="146"/>
      <c r="AM200" s="145"/>
      <c r="AN200" s="146"/>
      <c r="AO200" s="151"/>
    </row>
    <row r="201" spans="3:41">
      <c r="C201" s="136"/>
      <c r="D201" s="136"/>
      <c r="E201" s="19"/>
      <c r="F201" s="15"/>
      <c r="G201" s="138"/>
      <c r="H201" s="138"/>
      <c r="I201" s="126"/>
      <c r="J201" s="15"/>
      <c r="K201" s="15"/>
      <c r="L201" s="20"/>
      <c r="M201" s="20"/>
      <c r="N201" s="126"/>
      <c r="O201" s="126"/>
      <c r="P201" s="126"/>
      <c r="Q201" s="171"/>
      <c r="R201" s="172"/>
      <c r="S201" s="172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43"/>
      <c r="AF201" s="143"/>
      <c r="AG201" s="143"/>
      <c r="AH201" s="143"/>
      <c r="AI201" s="143"/>
      <c r="AJ201" s="143"/>
      <c r="AK201" s="143"/>
      <c r="AL201" s="146"/>
      <c r="AM201" s="145"/>
      <c r="AN201" s="146"/>
      <c r="AO201" s="147"/>
    </row>
    <row r="202" spans="3:41">
      <c r="C202" s="136"/>
      <c r="D202" s="136"/>
      <c r="E202" s="19"/>
      <c r="F202" s="15"/>
      <c r="G202" s="138"/>
      <c r="H202" s="138"/>
      <c r="I202" s="126"/>
      <c r="J202" s="15"/>
      <c r="K202" s="15"/>
      <c r="L202" s="20"/>
      <c r="M202" s="20"/>
      <c r="N202" s="126"/>
      <c r="O202" s="126"/>
      <c r="P202" s="126"/>
      <c r="Q202" s="171"/>
      <c r="R202" s="172"/>
      <c r="S202" s="172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43"/>
      <c r="AF202" s="143"/>
      <c r="AG202" s="143"/>
      <c r="AH202" s="143"/>
      <c r="AI202" s="143"/>
      <c r="AJ202" s="143"/>
      <c r="AK202" s="143"/>
      <c r="AL202" s="146"/>
      <c r="AM202" s="145"/>
      <c r="AN202" s="146"/>
      <c r="AO202" s="147"/>
    </row>
    <row r="203" spans="3:41">
      <c r="C203" s="136"/>
      <c r="D203" s="136"/>
      <c r="E203" s="19"/>
      <c r="F203" s="15"/>
      <c r="G203" s="138"/>
      <c r="H203" s="138"/>
      <c r="I203" s="126"/>
      <c r="J203" s="15"/>
      <c r="K203" s="15"/>
      <c r="L203" s="20"/>
      <c r="M203" s="20"/>
      <c r="N203" s="126"/>
      <c r="O203" s="126"/>
      <c r="P203" s="126"/>
      <c r="Q203" s="171"/>
      <c r="R203" s="172"/>
      <c r="S203" s="172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43"/>
      <c r="AF203" s="143"/>
      <c r="AG203" s="143"/>
      <c r="AH203" s="143"/>
      <c r="AI203" s="143"/>
      <c r="AJ203" s="143"/>
      <c r="AK203" s="143"/>
      <c r="AL203" s="146"/>
      <c r="AM203" s="145"/>
      <c r="AN203" s="146"/>
      <c r="AO203" s="147"/>
    </row>
    <row r="204" spans="3:41">
      <c r="C204" s="136"/>
      <c r="D204" s="136"/>
      <c r="E204" s="19"/>
      <c r="F204" s="15"/>
      <c r="G204" s="138"/>
      <c r="H204" s="138"/>
      <c r="I204" s="126"/>
      <c r="J204" s="15"/>
      <c r="K204" s="15"/>
      <c r="L204" s="20"/>
      <c r="M204" s="20"/>
      <c r="N204" s="126"/>
      <c r="O204" s="126"/>
      <c r="P204" s="126"/>
      <c r="Q204" s="171"/>
      <c r="R204" s="172"/>
      <c r="S204" s="172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43"/>
      <c r="AF204" s="143"/>
      <c r="AG204" s="143"/>
      <c r="AH204" s="143"/>
      <c r="AI204" s="143"/>
      <c r="AJ204" s="143"/>
      <c r="AK204" s="143"/>
      <c r="AL204" s="146"/>
      <c r="AM204" s="145"/>
      <c r="AN204" s="153"/>
      <c r="AO204" s="147"/>
    </row>
    <row r="205" spans="3:41">
      <c r="C205" s="136"/>
      <c r="D205" s="136"/>
      <c r="E205" s="19"/>
      <c r="F205" s="15"/>
      <c r="G205" s="138"/>
      <c r="H205" s="138"/>
      <c r="I205" s="126"/>
      <c r="J205" s="15"/>
      <c r="K205" s="15"/>
      <c r="L205" s="20"/>
      <c r="M205" s="20"/>
      <c r="N205" s="126"/>
      <c r="O205" s="126"/>
      <c r="P205" s="126"/>
      <c r="Q205" s="171"/>
      <c r="R205" s="172"/>
      <c r="S205" s="172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43"/>
      <c r="AF205" s="143"/>
      <c r="AG205" s="143"/>
      <c r="AH205" s="143"/>
      <c r="AI205" s="143"/>
      <c r="AJ205" s="143"/>
      <c r="AK205" s="143"/>
      <c r="AL205" s="146"/>
      <c r="AM205" s="145"/>
      <c r="AN205" s="146"/>
      <c r="AO205" s="147"/>
    </row>
    <row r="206" spans="3:41">
      <c r="C206" s="136"/>
      <c r="D206" s="136"/>
      <c r="E206" s="19"/>
      <c r="F206" s="15"/>
      <c r="G206" s="138"/>
      <c r="H206" s="138"/>
      <c r="I206" s="126"/>
      <c r="J206" s="15"/>
      <c r="K206" s="15"/>
      <c r="L206" s="20"/>
      <c r="M206" s="20"/>
      <c r="N206" s="126"/>
      <c r="O206" s="126"/>
      <c r="P206" s="126"/>
      <c r="Q206" s="171"/>
      <c r="R206" s="172"/>
      <c r="S206" s="172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43"/>
      <c r="AF206" s="143"/>
      <c r="AG206" s="143"/>
      <c r="AH206" s="143"/>
      <c r="AI206" s="143"/>
      <c r="AJ206" s="143"/>
      <c r="AK206" s="143"/>
      <c r="AL206" s="146"/>
      <c r="AM206" s="145"/>
      <c r="AN206" s="146"/>
      <c r="AO206" s="147"/>
    </row>
    <row r="207" spans="3:41">
      <c r="C207" s="136"/>
      <c r="D207" s="136"/>
      <c r="E207" s="19"/>
      <c r="F207" s="15"/>
      <c r="G207" s="138"/>
      <c r="H207" s="138"/>
      <c r="I207" s="126"/>
      <c r="J207" s="15"/>
      <c r="K207" s="15"/>
      <c r="L207" s="20"/>
      <c r="M207" s="20"/>
      <c r="N207" s="126"/>
      <c r="O207" s="126"/>
      <c r="P207" s="126"/>
      <c r="Q207" s="171"/>
      <c r="R207" s="172"/>
      <c r="S207" s="172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43"/>
      <c r="AF207" s="143"/>
      <c r="AG207" s="143"/>
      <c r="AH207" s="143"/>
      <c r="AI207" s="143"/>
      <c r="AJ207" s="143"/>
      <c r="AK207" s="143"/>
      <c r="AL207" s="146"/>
      <c r="AM207" s="145"/>
      <c r="AN207" s="146"/>
      <c r="AO207" s="147"/>
    </row>
    <row r="208" spans="3:41">
      <c r="C208" s="136"/>
      <c r="D208" s="136"/>
      <c r="E208" s="19"/>
      <c r="F208" s="15"/>
      <c r="G208" s="138"/>
      <c r="H208" s="138"/>
      <c r="I208" s="126"/>
      <c r="J208" s="15"/>
      <c r="K208" s="15"/>
      <c r="L208" s="20"/>
      <c r="M208" s="20"/>
      <c r="N208" s="126"/>
      <c r="O208" s="126"/>
      <c r="P208" s="126"/>
      <c r="Q208" s="171"/>
      <c r="R208" s="172"/>
      <c r="S208" s="172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43"/>
      <c r="AF208" s="143"/>
      <c r="AG208" s="143"/>
      <c r="AH208" s="143"/>
      <c r="AI208" s="143"/>
      <c r="AJ208" s="143"/>
      <c r="AK208" s="143"/>
      <c r="AL208" s="146"/>
      <c r="AM208" s="145"/>
      <c r="AN208" s="153"/>
      <c r="AO208" s="147"/>
    </row>
    <row r="209" spans="3:41">
      <c r="C209" s="136"/>
      <c r="D209" s="136"/>
      <c r="E209" s="19"/>
      <c r="F209" s="15"/>
      <c r="G209" s="138"/>
      <c r="H209" s="138"/>
      <c r="I209" s="126"/>
      <c r="J209" s="15"/>
      <c r="K209" s="15"/>
      <c r="L209" s="20"/>
      <c r="M209" s="20"/>
      <c r="N209" s="126"/>
      <c r="O209" s="126"/>
      <c r="P209" s="126"/>
      <c r="Q209" s="171"/>
      <c r="R209" s="172"/>
      <c r="S209" s="172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43"/>
      <c r="AF209" s="143"/>
      <c r="AG209" s="143"/>
      <c r="AH209" s="143"/>
      <c r="AI209" s="143"/>
      <c r="AJ209" s="143"/>
      <c r="AK209" s="143"/>
      <c r="AL209" s="146"/>
      <c r="AM209" s="145"/>
      <c r="AN209" s="153"/>
      <c r="AO209" s="147"/>
    </row>
    <row r="210" spans="3:41">
      <c r="C210" s="136"/>
      <c r="D210" s="136"/>
      <c r="E210" s="19"/>
      <c r="F210" s="15"/>
      <c r="G210" s="138"/>
      <c r="H210" s="138"/>
      <c r="I210" s="126"/>
      <c r="J210" s="15"/>
      <c r="K210" s="15"/>
      <c r="L210" s="20"/>
      <c r="M210" s="20"/>
      <c r="N210" s="126"/>
      <c r="O210" s="126"/>
      <c r="P210" s="126"/>
      <c r="Q210" s="171"/>
      <c r="R210" s="172"/>
      <c r="S210" s="172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43"/>
      <c r="AF210" s="143"/>
      <c r="AG210" s="143"/>
      <c r="AH210" s="143"/>
      <c r="AI210" s="143"/>
      <c r="AJ210" s="143"/>
      <c r="AK210" s="143"/>
      <c r="AL210" s="146"/>
      <c r="AM210" s="187"/>
      <c r="AN210" s="153"/>
      <c r="AO210" s="147"/>
    </row>
    <row r="211" spans="3:41">
      <c r="C211" s="136"/>
      <c r="D211" s="136"/>
      <c r="E211" s="19"/>
      <c r="F211" s="15"/>
      <c r="G211" s="138"/>
      <c r="H211" s="138"/>
      <c r="I211" s="126"/>
      <c r="J211" s="15"/>
      <c r="K211" s="15"/>
      <c r="L211" s="20"/>
      <c r="M211" s="20"/>
      <c r="N211" s="126"/>
      <c r="O211" s="126"/>
      <c r="P211" s="126"/>
      <c r="Q211" s="171"/>
      <c r="R211" s="172"/>
      <c r="S211" s="172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43"/>
      <c r="AF211" s="143"/>
      <c r="AG211" s="143"/>
      <c r="AH211" s="143"/>
      <c r="AI211" s="143"/>
      <c r="AJ211" s="143"/>
      <c r="AK211" s="143"/>
      <c r="AL211" s="146"/>
      <c r="AM211" s="145"/>
      <c r="AN211" s="146"/>
      <c r="AO211" s="147"/>
    </row>
    <row r="212" spans="3:41">
      <c r="C212" s="136"/>
      <c r="D212" s="136"/>
      <c r="E212" s="19"/>
      <c r="F212" s="15"/>
      <c r="G212" s="138"/>
      <c r="H212" s="138"/>
      <c r="I212" s="126"/>
      <c r="J212" s="15"/>
      <c r="K212" s="15"/>
      <c r="L212" s="20"/>
      <c r="M212" s="20"/>
      <c r="N212" s="126"/>
      <c r="O212" s="126"/>
      <c r="P212" s="126"/>
      <c r="Q212" s="171"/>
      <c r="R212" s="172"/>
      <c r="S212" s="172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43"/>
      <c r="AF212" s="143"/>
      <c r="AG212" s="143"/>
      <c r="AH212" s="143"/>
      <c r="AI212" s="143"/>
      <c r="AJ212" s="143"/>
      <c r="AK212" s="143"/>
      <c r="AL212" s="146"/>
      <c r="AM212" s="145"/>
      <c r="AN212" s="153"/>
      <c r="AO212" s="147"/>
    </row>
    <row r="213" spans="3:41">
      <c r="C213" s="136"/>
      <c r="D213" s="136"/>
      <c r="E213" s="19"/>
      <c r="F213" s="15"/>
      <c r="G213" s="138"/>
      <c r="H213" s="138"/>
      <c r="I213" s="126"/>
      <c r="J213" s="15"/>
      <c r="K213" s="15"/>
      <c r="L213" s="20"/>
      <c r="M213" s="20"/>
      <c r="N213" s="126"/>
      <c r="O213" s="126"/>
      <c r="P213" s="126"/>
      <c r="Q213" s="171"/>
      <c r="R213" s="172"/>
      <c r="S213" s="172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43"/>
      <c r="AF213" s="143"/>
      <c r="AG213" s="143"/>
      <c r="AH213" s="143"/>
      <c r="AI213" s="143"/>
      <c r="AJ213" s="143"/>
      <c r="AK213" s="143"/>
      <c r="AL213" s="146"/>
      <c r="AM213" s="145"/>
      <c r="AN213" s="153"/>
      <c r="AO213" s="147"/>
    </row>
    <row r="214" spans="3:41">
      <c r="C214" s="136"/>
      <c r="D214" s="136"/>
      <c r="E214" s="19"/>
      <c r="F214" s="15"/>
      <c r="G214" s="138"/>
      <c r="H214" s="138"/>
      <c r="I214" s="126"/>
      <c r="J214" s="15"/>
      <c r="K214" s="15"/>
      <c r="L214" s="20"/>
      <c r="M214" s="20"/>
      <c r="N214" s="126"/>
      <c r="O214" s="126"/>
      <c r="P214" s="126"/>
      <c r="Q214" s="171"/>
      <c r="R214" s="172"/>
      <c r="S214" s="172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43"/>
      <c r="AF214" s="143"/>
      <c r="AG214" s="143"/>
      <c r="AH214" s="143"/>
      <c r="AI214" s="143"/>
      <c r="AJ214" s="143"/>
      <c r="AK214" s="143"/>
      <c r="AL214" s="146"/>
      <c r="AM214" s="145"/>
      <c r="AN214" s="153"/>
      <c r="AO214" s="147"/>
    </row>
    <row r="215" spans="3:41">
      <c r="C215" s="136"/>
      <c r="D215" s="136"/>
      <c r="E215" s="19"/>
      <c r="F215" s="15"/>
      <c r="G215" s="138"/>
      <c r="H215" s="138"/>
      <c r="I215" s="126"/>
      <c r="J215" s="15"/>
      <c r="K215" s="15"/>
      <c r="L215" s="20"/>
      <c r="M215" s="20"/>
      <c r="N215" s="126"/>
      <c r="O215" s="126"/>
      <c r="P215" s="126"/>
      <c r="Q215" s="171"/>
      <c r="R215" s="172"/>
      <c r="S215" s="172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43"/>
      <c r="AF215" s="143"/>
      <c r="AG215" s="143"/>
      <c r="AH215" s="143"/>
      <c r="AI215" s="143"/>
      <c r="AJ215" s="143"/>
      <c r="AK215" s="143"/>
      <c r="AL215" s="146"/>
      <c r="AM215" s="145"/>
      <c r="AN215" s="153"/>
      <c r="AO215" s="147"/>
    </row>
    <row r="216" spans="3:41">
      <c r="C216" s="136"/>
      <c r="D216" s="136"/>
      <c r="E216" s="19"/>
      <c r="F216" s="15"/>
      <c r="G216" s="138"/>
      <c r="H216" s="138"/>
      <c r="I216" s="126"/>
      <c r="J216" s="15"/>
      <c r="K216" s="15"/>
      <c r="L216" s="20"/>
      <c r="M216" s="20"/>
      <c r="N216" s="126"/>
      <c r="O216" s="126"/>
      <c r="P216" s="126"/>
      <c r="Q216" s="171"/>
      <c r="R216" s="172"/>
      <c r="S216" s="172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43"/>
      <c r="AF216" s="143"/>
      <c r="AG216" s="143"/>
      <c r="AH216" s="143"/>
      <c r="AI216" s="143"/>
      <c r="AJ216" s="143"/>
      <c r="AK216" s="143"/>
      <c r="AL216" s="146"/>
      <c r="AM216" s="145"/>
      <c r="AN216" s="153"/>
      <c r="AO216" s="147"/>
    </row>
    <row r="217" spans="3:41">
      <c r="C217" s="136"/>
      <c r="D217" s="136"/>
      <c r="E217" s="19"/>
      <c r="F217" s="15"/>
      <c r="G217" s="138"/>
      <c r="H217" s="138"/>
      <c r="I217" s="126"/>
      <c r="J217" s="15"/>
      <c r="K217" s="15"/>
      <c r="L217" s="20"/>
      <c r="M217" s="20"/>
      <c r="N217" s="126"/>
      <c r="O217" s="126"/>
      <c r="P217" s="126"/>
      <c r="Q217" s="171"/>
      <c r="R217" s="173"/>
      <c r="S217" s="172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43"/>
      <c r="AF217" s="143"/>
      <c r="AG217" s="143"/>
      <c r="AH217" s="143"/>
      <c r="AI217" s="143"/>
      <c r="AJ217" s="143"/>
      <c r="AK217" s="143"/>
      <c r="AL217" s="146"/>
      <c r="AM217" s="145"/>
      <c r="AN217" s="187"/>
      <c r="AO217" s="147"/>
    </row>
    <row r="218" spans="3:41">
      <c r="C218" s="136"/>
      <c r="D218" s="136"/>
      <c r="E218" s="19"/>
      <c r="F218" s="15"/>
      <c r="G218" s="138"/>
      <c r="H218" s="138"/>
      <c r="I218" s="126"/>
      <c r="J218" s="15"/>
      <c r="K218" s="15"/>
      <c r="L218" s="20"/>
      <c r="M218" s="20"/>
      <c r="N218" s="126"/>
      <c r="O218" s="126"/>
      <c r="P218" s="126"/>
      <c r="Q218" s="171"/>
      <c r="R218" s="173"/>
      <c r="S218" s="172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43"/>
      <c r="AF218" s="143"/>
      <c r="AG218" s="143"/>
      <c r="AH218" s="143"/>
      <c r="AI218" s="143"/>
      <c r="AJ218" s="143"/>
      <c r="AK218" s="143"/>
      <c r="AL218" s="146"/>
      <c r="AM218" s="145"/>
      <c r="AN218" s="187"/>
      <c r="AO218" s="147"/>
    </row>
    <row r="219" spans="3:41">
      <c r="C219" s="136"/>
      <c r="D219" s="136"/>
      <c r="E219" s="19"/>
      <c r="F219" s="15"/>
      <c r="G219" s="138"/>
      <c r="H219" s="138"/>
      <c r="I219" s="126"/>
      <c r="J219" s="15"/>
      <c r="K219" s="15"/>
      <c r="L219" s="20"/>
      <c r="M219" s="20"/>
      <c r="N219" s="126"/>
      <c r="O219" s="126"/>
      <c r="P219" s="126"/>
      <c r="Q219" s="171"/>
      <c r="R219" s="172"/>
      <c r="S219" s="172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43"/>
      <c r="AF219" s="143"/>
      <c r="AG219" s="143"/>
      <c r="AH219" s="143"/>
      <c r="AI219" s="143"/>
      <c r="AJ219" s="143"/>
      <c r="AK219" s="146"/>
      <c r="AL219" s="146"/>
      <c r="AM219" s="187"/>
      <c r="AN219" s="187"/>
      <c r="AO219" s="147"/>
    </row>
    <row r="220" spans="3:41">
      <c r="C220" s="136"/>
      <c r="D220" s="136"/>
      <c r="E220" s="19"/>
      <c r="F220" s="15"/>
      <c r="G220" s="138"/>
      <c r="H220" s="138"/>
      <c r="I220" s="126"/>
      <c r="J220" s="15"/>
      <c r="K220" s="15"/>
      <c r="L220" s="20"/>
      <c r="M220" s="20"/>
      <c r="N220" s="126"/>
      <c r="O220" s="126"/>
      <c r="P220" s="126"/>
      <c r="Q220" s="171"/>
      <c r="R220" s="173"/>
      <c r="S220" s="172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43"/>
      <c r="AF220" s="143"/>
      <c r="AG220" s="143"/>
      <c r="AH220" s="143"/>
      <c r="AI220" s="143"/>
      <c r="AJ220" s="143"/>
      <c r="AK220" s="143"/>
      <c r="AL220" s="146"/>
      <c r="AM220" s="145"/>
      <c r="AN220" s="155"/>
      <c r="AO220" s="147"/>
    </row>
    <row r="221" spans="3:41">
      <c r="C221" s="136"/>
      <c r="D221" s="136"/>
      <c r="E221" s="19"/>
      <c r="F221" s="15"/>
      <c r="G221" s="138"/>
      <c r="H221" s="138"/>
      <c r="I221" s="126"/>
      <c r="J221" s="15"/>
      <c r="K221" s="15"/>
      <c r="L221" s="20"/>
      <c r="M221" s="20"/>
      <c r="N221" s="126"/>
      <c r="O221" s="126"/>
      <c r="P221" s="126"/>
      <c r="Q221" s="171"/>
      <c r="R221" s="172"/>
      <c r="S221" s="172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43"/>
      <c r="AF221" s="143"/>
      <c r="AG221" s="143"/>
      <c r="AH221" s="143"/>
      <c r="AI221" s="143"/>
      <c r="AJ221" s="143"/>
      <c r="AK221" s="146"/>
      <c r="AL221" s="146"/>
      <c r="AM221" s="187"/>
      <c r="AN221" s="147"/>
      <c r="AO221" s="147"/>
    </row>
    <row r="222" spans="3:41">
      <c r="C222" s="136"/>
      <c r="D222" s="136"/>
      <c r="E222" s="19"/>
      <c r="F222" s="15"/>
      <c r="G222" s="138"/>
      <c r="H222" s="138"/>
      <c r="I222" s="126"/>
      <c r="J222" s="15"/>
      <c r="K222" s="15"/>
      <c r="L222" s="20"/>
      <c r="M222" s="20"/>
      <c r="N222" s="126"/>
      <c r="O222" s="126"/>
      <c r="P222" s="126"/>
      <c r="Q222" s="171"/>
      <c r="R222" s="173"/>
      <c r="S222" s="172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43"/>
      <c r="AF222" s="143"/>
      <c r="AG222" s="143"/>
      <c r="AH222" s="143"/>
      <c r="AI222" s="143"/>
      <c r="AJ222" s="143"/>
      <c r="AK222" s="143"/>
      <c r="AL222" s="146"/>
      <c r="AM222" s="145"/>
      <c r="AN222" s="147"/>
      <c r="AO222" s="147"/>
    </row>
    <row r="223" spans="3:41">
      <c r="C223" s="136"/>
      <c r="D223" s="136"/>
      <c r="E223" s="19"/>
      <c r="F223" s="15"/>
      <c r="G223" s="138"/>
      <c r="H223" s="138"/>
      <c r="I223" s="126"/>
      <c r="J223" s="15"/>
      <c r="K223" s="15"/>
      <c r="L223" s="20"/>
      <c r="M223" s="20"/>
      <c r="N223" s="126"/>
      <c r="O223" s="126"/>
      <c r="P223" s="126"/>
      <c r="Q223" s="171"/>
      <c r="R223" s="173"/>
      <c r="S223" s="172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43"/>
      <c r="AF223" s="143"/>
      <c r="AG223" s="143"/>
      <c r="AH223" s="143"/>
      <c r="AI223" s="143"/>
      <c r="AJ223" s="143"/>
      <c r="AK223" s="143"/>
      <c r="AL223" s="146"/>
      <c r="AM223" s="145"/>
      <c r="AN223" s="147"/>
      <c r="AO223" s="147"/>
    </row>
    <row r="224" spans="3:41">
      <c r="C224" s="136"/>
      <c r="D224" s="136"/>
      <c r="E224" s="19"/>
      <c r="F224" s="15"/>
      <c r="G224" s="138"/>
      <c r="H224" s="138"/>
      <c r="I224" s="126"/>
      <c r="J224" s="15"/>
      <c r="K224" s="15"/>
      <c r="L224" s="20"/>
      <c r="M224" s="20"/>
      <c r="N224" s="126"/>
      <c r="O224" s="126"/>
      <c r="P224" s="126"/>
      <c r="Q224" s="171"/>
      <c r="R224" s="173"/>
      <c r="S224" s="172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43"/>
      <c r="AF224" s="143"/>
      <c r="AG224" s="143"/>
      <c r="AH224" s="143"/>
      <c r="AI224" s="143"/>
      <c r="AJ224" s="143"/>
      <c r="AK224" s="143"/>
      <c r="AL224" s="146"/>
      <c r="AM224" s="145"/>
      <c r="AN224" s="147"/>
      <c r="AO224" s="147"/>
    </row>
    <row r="225" spans="3:41">
      <c r="C225" s="136"/>
      <c r="D225" s="136"/>
      <c r="E225" s="19"/>
      <c r="F225" s="15"/>
      <c r="G225" s="138"/>
      <c r="H225" s="138"/>
      <c r="I225" s="126"/>
      <c r="J225" s="15"/>
      <c r="K225" s="15"/>
      <c r="L225" s="20"/>
      <c r="M225" s="20"/>
      <c r="N225" s="126"/>
      <c r="O225" s="126"/>
      <c r="P225" s="126"/>
      <c r="Q225" s="171"/>
      <c r="R225" s="172"/>
      <c r="S225" s="172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43"/>
      <c r="AF225" s="143"/>
      <c r="AG225" s="143"/>
      <c r="AH225" s="143"/>
      <c r="AI225" s="143"/>
      <c r="AJ225" s="143"/>
      <c r="AK225" s="146"/>
      <c r="AL225" s="146"/>
      <c r="AM225" s="187"/>
      <c r="AN225" s="147"/>
      <c r="AO225" s="147"/>
    </row>
    <row r="226" spans="3:41">
      <c r="C226" s="136"/>
      <c r="D226" s="136"/>
      <c r="E226" s="19"/>
      <c r="F226" s="15"/>
      <c r="G226" s="138"/>
      <c r="H226" s="138"/>
      <c r="I226" s="126"/>
      <c r="J226" s="15"/>
      <c r="K226" s="15"/>
      <c r="L226" s="20"/>
      <c r="M226" s="20"/>
      <c r="N226" s="126"/>
      <c r="O226" s="126"/>
      <c r="P226" s="126"/>
      <c r="Q226" s="171"/>
      <c r="R226" s="173"/>
      <c r="S226" s="172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43"/>
      <c r="AF226" s="143"/>
      <c r="AG226" s="143"/>
      <c r="AH226" s="143"/>
      <c r="AI226" s="143"/>
      <c r="AJ226" s="143"/>
      <c r="AK226" s="143"/>
      <c r="AL226" s="146"/>
      <c r="AM226" s="145"/>
      <c r="AN226" s="147"/>
      <c r="AO226" s="147"/>
    </row>
    <row r="227" spans="3:41">
      <c r="C227" s="136"/>
      <c r="D227" s="136"/>
      <c r="E227" s="19"/>
      <c r="F227" s="15"/>
      <c r="G227" s="138"/>
      <c r="H227" s="138"/>
      <c r="I227" s="126"/>
      <c r="J227" s="15"/>
      <c r="K227" s="15"/>
      <c r="L227" s="20"/>
      <c r="M227" s="20"/>
      <c r="N227" s="126"/>
      <c r="O227" s="126"/>
      <c r="P227" s="126"/>
      <c r="Q227" s="171"/>
      <c r="R227" s="173"/>
      <c r="S227" s="172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43"/>
      <c r="AF227" s="143"/>
      <c r="AG227" s="143"/>
      <c r="AH227" s="143"/>
      <c r="AI227" s="143"/>
      <c r="AJ227" s="143"/>
      <c r="AK227" s="143"/>
      <c r="AL227" s="146"/>
      <c r="AM227" s="145"/>
      <c r="AN227" s="147"/>
      <c r="AO227" s="147"/>
    </row>
    <row r="228" spans="3:41">
      <c r="C228" s="136"/>
      <c r="D228" s="136"/>
      <c r="E228" s="19"/>
      <c r="F228" s="15"/>
      <c r="G228" s="138"/>
      <c r="H228" s="138"/>
      <c r="I228" s="126"/>
      <c r="J228" s="15"/>
      <c r="K228" s="15"/>
      <c r="L228" s="20"/>
      <c r="M228" s="20"/>
      <c r="N228" s="126"/>
      <c r="O228" s="126"/>
      <c r="P228" s="126"/>
      <c r="Q228" s="171"/>
      <c r="R228" s="173"/>
      <c r="S228" s="172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43"/>
      <c r="AF228" s="143"/>
      <c r="AG228" s="143"/>
      <c r="AH228" s="143"/>
      <c r="AI228" s="143"/>
      <c r="AJ228" s="143"/>
      <c r="AK228" s="143"/>
      <c r="AL228" s="146"/>
      <c r="AM228" s="145"/>
      <c r="AN228" s="153"/>
      <c r="AO228" s="147"/>
    </row>
    <row r="229" spans="3:41">
      <c r="C229" s="136"/>
      <c r="D229" s="136"/>
      <c r="E229" s="19"/>
      <c r="F229" s="15"/>
      <c r="G229" s="138"/>
      <c r="H229" s="138"/>
      <c r="I229" s="126"/>
      <c r="J229" s="15"/>
      <c r="K229" s="15"/>
      <c r="L229" s="20"/>
      <c r="M229" s="20"/>
      <c r="N229" s="126"/>
      <c r="O229" s="126"/>
      <c r="P229" s="126"/>
      <c r="Q229" s="171"/>
      <c r="R229" s="173"/>
      <c r="S229" s="172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43"/>
      <c r="AF229" s="143"/>
      <c r="AG229" s="143"/>
      <c r="AH229" s="143"/>
      <c r="AI229" s="143"/>
      <c r="AJ229" s="143"/>
      <c r="AK229" s="143"/>
      <c r="AL229" s="146"/>
      <c r="AM229" s="145"/>
      <c r="AN229" s="147"/>
      <c r="AO229" s="147"/>
    </row>
    <row r="230" spans="3:41">
      <c r="C230" s="136"/>
      <c r="D230" s="136"/>
      <c r="E230" s="19"/>
      <c r="F230" s="15"/>
      <c r="G230" s="138"/>
      <c r="H230" s="138"/>
      <c r="I230" s="126"/>
      <c r="J230" s="15"/>
      <c r="K230" s="15"/>
      <c r="L230" s="20"/>
      <c r="M230" s="20"/>
      <c r="N230" s="126"/>
      <c r="O230" s="126"/>
      <c r="P230" s="126"/>
      <c r="Q230" s="171"/>
      <c r="R230" s="173"/>
      <c r="S230" s="172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43"/>
      <c r="AF230" s="143"/>
      <c r="AG230" s="143"/>
      <c r="AH230" s="143"/>
      <c r="AI230" s="143"/>
      <c r="AJ230" s="143"/>
      <c r="AK230" s="143"/>
      <c r="AL230" s="152"/>
      <c r="AM230" s="145"/>
      <c r="AN230" s="155"/>
      <c r="AO230" s="147"/>
    </row>
    <row r="231" spans="3:41">
      <c r="C231" s="136"/>
      <c r="D231" s="136"/>
      <c r="E231" s="19"/>
      <c r="F231" s="15"/>
      <c r="G231" s="138"/>
      <c r="H231" s="138"/>
      <c r="I231" s="126"/>
      <c r="J231" s="15"/>
      <c r="K231" s="15"/>
      <c r="L231" s="20"/>
      <c r="M231" s="20"/>
      <c r="N231" s="126"/>
      <c r="O231" s="126"/>
      <c r="P231" s="126"/>
      <c r="Q231" s="171"/>
      <c r="R231" s="172"/>
      <c r="S231" s="172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43"/>
      <c r="AF231" s="143"/>
      <c r="AG231" s="143"/>
      <c r="AH231" s="143"/>
      <c r="AI231" s="143"/>
      <c r="AJ231" s="143"/>
      <c r="AK231" s="143"/>
      <c r="AL231" s="152"/>
      <c r="AM231" s="145"/>
      <c r="AN231" s="153"/>
      <c r="AO231" s="147"/>
    </row>
    <row r="232" spans="3:41">
      <c r="C232" s="136"/>
      <c r="D232" s="136"/>
      <c r="E232" s="19"/>
      <c r="F232" s="15"/>
      <c r="G232" s="138"/>
      <c r="H232" s="138"/>
      <c r="I232" s="126"/>
      <c r="J232" s="15"/>
      <c r="K232" s="15"/>
      <c r="L232" s="20"/>
      <c r="M232" s="20"/>
      <c r="N232" s="126"/>
      <c r="O232" s="126"/>
      <c r="P232" s="126"/>
      <c r="Q232" s="171"/>
      <c r="R232" s="172"/>
      <c r="S232" s="172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43"/>
      <c r="AF232" s="143"/>
      <c r="AG232" s="143"/>
      <c r="AH232" s="143"/>
      <c r="AI232" s="143"/>
      <c r="AJ232" s="143"/>
      <c r="AK232" s="143"/>
      <c r="AL232" s="152"/>
      <c r="AM232" s="145"/>
      <c r="AN232" s="155"/>
      <c r="AO232" s="147"/>
    </row>
    <row r="233" spans="3:41">
      <c r="C233" s="136"/>
      <c r="D233" s="136"/>
      <c r="E233" s="19"/>
      <c r="F233" s="15"/>
      <c r="G233" s="138"/>
      <c r="H233" s="138"/>
      <c r="I233" s="126"/>
      <c r="J233" s="15"/>
      <c r="K233" s="15"/>
      <c r="L233" s="20"/>
      <c r="M233" s="20"/>
      <c r="N233" s="126"/>
      <c r="O233" s="126"/>
      <c r="P233" s="126"/>
      <c r="Q233" s="171"/>
      <c r="R233" s="172"/>
      <c r="S233" s="172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43"/>
      <c r="AF233" s="143"/>
      <c r="AG233" s="143"/>
      <c r="AH233" s="143"/>
      <c r="AI233" s="186"/>
      <c r="AJ233" s="143"/>
      <c r="AK233" s="143"/>
      <c r="AL233" s="152"/>
      <c r="AM233" s="145"/>
      <c r="AN233" s="153"/>
      <c r="AO233" s="147"/>
    </row>
    <row r="234" spans="3:41">
      <c r="C234" s="136"/>
      <c r="D234" s="136"/>
      <c r="E234" s="19"/>
      <c r="F234" s="15"/>
      <c r="G234" s="138"/>
      <c r="H234" s="138"/>
      <c r="I234" s="126"/>
      <c r="J234" s="15"/>
      <c r="K234" s="15"/>
      <c r="L234" s="20"/>
      <c r="M234" s="20"/>
      <c r="N234" s="126"/>
      <c r="O234" s="126"/>
      <c r="P234" s="126"/>
      <c r="Q234" s="171"/>
      <c r="R234" s="172"/>
      <c r="S234" s="172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43"/>
      <c r="AF234" s="143"/>
      <c r="AG234" s="143"/>
      <c r="AH234" s="143"/>
      <c r="AI234" s="143"/>
      <c r="AJ234" s="143"/>
      <c r="AK234" s="143"/>
      <c r="AL234" s="154"/>
      <c r="AM234" s="145"/>
      <c r="AN234" s="188"/>
      <c r="AO234" s="147"/>
    </row>
    <row r="235" spans="3:41">
      <c r="C235" s="136"/>
      <c r="D235" s="136"/>
      <c r="E235" s="19"/>
      <c r="F235" s="15"/>
      <c r="G235" s="138"/>
      <c r="H235" s="138"/>
      <c r="I235" s="126"/>
      <c r="J235" s="15"/>
      <c r="K235" s="15"/>
      <c r="L235" s="20"/>
      <c r="M235" s="20"/>
      <c r="N235" s="126"/>
      <c r="O235" s="126"/>
      <c r="P235" s="126"/>
      <c r="Q235" s="171"/>
      <c r="R235" s="172"/>
      <c r="S235" s="172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43"/>
      <c r="AF235" s="143"/>
      <c r="AG235" s="143"/>
      <c r="AH235" s="143"/>
      <c r="AI235" s="143"/>
      <c r="AJ235" s="143"/>
      <c r="AK235" s="143"/>
      <c r="AL235" s="152"/>
      <c r="AM235" s="145"/>
      <c r="AN235" s="153"/>
      <c r="AO235" s="147"/>
    </row>
    <row r="236" spans="3:41">
      <c r="C236" s="136"/>
      <c r="D236" s="136"/>
      <c r="E236" s="19"/>
      <c r="F236" s="15"/>
      <c r="G236" s="138"/>
      <c r="H236" s="138"/>
      <c r="I236" s="126"/>
      <c r="J236" s="15"/>
      <c r="K236" s="15"/>
      <c r="L236" s="20"/>
      <c r="M236" s="20"/>
      <c r="N236" s="126"/>
      <c r="O236" s="126"/>
      <c r="P236" s="126"/>
      <c r="Q236" s="171"/>
      <c r="R236" s="172"/>
      <c r="S236" s="172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43"/>
      <c r="AF236" s="143"/>
      <c r="AG236" s="143"/>
      <c r="AH236" s="143"/>
      <c r="AI236" s="143"/>
      <c r="AJ236" s="143"/>
      <c r="AK236" s="143"/>
      <c r="AL236" s="152"/>
      <c r="AM236" s="145"/>
      <c r="AN236" s="147"/>
      <c r="AO236" s="147"/>
    </row>
    <row r="237" spans="3:41">
      <c r="C237" s="136"/>
      <c r="D237" s="136"/>
      <c r="E237" s="19"/>
      <c r="F237" s="15"/>
      <c r="G237" s="138"/>
      <c r="H237" s="138"/>
      <c r="I237" s="126"/>
      <c r="J237" s="15"/>
      <c r="K237" s="15"/>
      <c r="L237" s="20"/>
      <c r="M237" s="20"/>
      <c r="N237" s="126"/>
      <c r="O237" s="126"/>
      <c r="P237" s="126"/>
      <c r="Q237" s="171"/>
      <c r="R237" s="172"/>
      <c r="S237" s="172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43"/>
      <c r="AF237" s="143"/>
      <c r="AG237" s="143"/>
      <c r="AH237" s="143"/>
      <c r="AI237" s="143"/>
      <c r="AJ237" s="143"/>
      <c r="AK237" s="146"/>
      <c r="AL237" s="152"/>
      <c r="AM237" s="187"/>
      <c r="AN237" s="155"/>
      <c r="AO237" s="147"/>
    </row>
    <row r="238" spans="3:41">
      <c r="C238" s="136"/>
      <c r="D238" s="136"/>
      <c r="E238" s="19"/>
      <c r="F238" s="15"/>
      <c r="G238" s="138"/>
      <c r="H238" s="138"/>
      <c r="I238" s="126"/>
      <c r="J238" s="15"/>
      <c r="K238" s="15"/>
      <c r="L238" s="20"/>
      <c r="M238" s="20"/>
      <c r="N238" s="126"/>
      <c r="O238" s="126"/>
      <c r="P238" s="126"/>
      <c r="Q238" s="171"/>
      <c r="R238" s="172"/>
      <c r="S238" s="172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43"/>
      <c r="AF238" s="143"/>
      <c r="AG238" s="143"/>
      <c r="AH238" s="143"/>
      <c r="AI238" s="143"/>
      <c r="AJ238" s="143"/>
      <c r="AK238" s="143"/>
      <c r="AL238" s="152"/>
      <c r="AM238" s="145"/>
      <c r="AN238" s="153"/>
      <c r="AO238" s="147"/>
    </row>
    <row r="239" spans="3:41">
      <c r="C239" s="136"/>
      <c r="D239" s="136"/>
      <c r="E239" s="19"/>
      <c r="F239" s="15"/>
      <c r="G239" s="138"/>
      <c r="H239" s="138"/>
      <c r="I239" s="126"/>
      <c r="J239" s="15"/>
      <c r="K239" s="15"/>
      <c r="L239" s="20"/>
      <c r="M239" s="20"/>
      <c r="N239" s="126"/>
      <c r="O239" s="126"/>
      <c r="P239" s="126"/>
      <c r="Q239" s="171"/>
      <c r="R239" s="172"/>
      <c r="S239" s="172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43"/>
      <c r="AF239" s="143"/>
      <c r="AG239" s="143"/>
      <c r="AH239" s="143"/>
      <c r="AI239" s="143"/>
      <c r="AJ239" s="143"/>
      <c r="AK239" s="143"/>
      <c r="AL239" s="147"/>
      <c r="AM239" s="145"/>
      <c r="AN239" s="153"/>
      <c r="AO239" s="147"/>
    </row>
    <row r="240" spans="3:41">
      <c r="C240" s="136"/>
      <c r="D240" s="136"/>
      <c r="E240" s="19"/>
      <c r="F240" s="15"/>
      <c r="G240" s="138"/>
      <c r="H240" s="138"/>
      <c r="I240" s="126"/>
      <c r="J240" s="15"/>
      <c r="K240" s="15"/>
      <c r="L240" s="20"/>
      <c r="M240" s="20"/>
      <c r="N240" s="126"/>
      <c r="O240" s="126"/>
      <c r="P240" s="126"/>
      <c r="Q240" s="171"/>
      <c r="R240" s="172"/>
      <c r="S240" s="172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43"/>
      <c r="AF240" s="143"/>
      <c r="AG240" s="143"/>
      <c r="AH240" s="143"/>
      <c r="AI240" s="143"/>
      <c r="AJ240" s="143"/>
      <c r="AK240" s="143"/>
      <c r="AL240" s="147"/>
      <c r="AM240" s="145"/>
      <c r="AN240" s="146"/>
      <c r="AO240" s="147"/>
    </row>
    <row r="241" spans="3:41">
      <c r="C241" s="136"/>
      <c r="D241" s="136"/>
      <c r="E241" s="19"/>
      <c r="F241" s="15"/>
      <c r="G241" s="138"/>
      <c r="H241" s="138"/>
      <c r="I241" s="126"/>
      <c r="J241" s="15"/>
      <c r="K241" s="15"/>
      <c r="L241" s="20"/>
      <c r="M241" s="20"/>
      <c r="N241" s="126"/>
      <c r="O241" s="126"/>
      <c r="P241" s="126"/>
      <c r="Q241" s="171"/>
      <c r="R241" s="172"/>
      <c r="S241" s="172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43"/>
      <c r="AF241" s="143"/>
      <c r="AG241" s="143"/>
      <c r="AH241" s="143"/>
      <c r="AI241" s="143"/>
      <c r="AJ241" s="143"/>
      <c r="AK241" s="143"/>
      <c r="AL241" s="147"/>
      <c r="AM241" s="145"/>
      <c r="AN241" s="152"/>
      <c r="AO241" s="147"/>
    </row>
    <row r="242" spans="3:41">
      <c r="C242" s="136"/>
      <c r="D242" s="136"/>
      <c r="E242" s="19"/>
      <c r="F242" s="15"/>
      <c r="G242" s="138"/>
      <c r="H242" s="138"/>
      <c r="I242" s="126"/>
      <c r="J242" s="15"/>
      <c r="K242" s="15"/>
      <c r="L242" s="20"/>
      <c r="M242" s="20"/>
      <c r="N242" s="126"/>
      <c r="O242" s="126"/>
      <c r="P242" s="126"/>
      <c r="Q242" s="171"/>
      <c r="R242" s="172"/>
      <c r="S242" s="172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43"/>
      <c r="AF242" s="143"/>
      <c r="AG242" s="143"/>
      <c r="AH242" s="143"/>
      <c r="AI242" s="143"/>
      <c r="AJ242" s="143"/>
      <c r="AK242" s="143"/>
      <c r="AL242" s="147"/>
      <c r="AM242" s="145"/>
      <c r="AN242" s="155"/>
      <c r="AO242" s="147"/>
    </row>
    <row r="243" spans="3:41">
      <c r="C243" s="136"/>
      <c r="D243" s="136"/>
      <c r="E243" s="19"/>
      <c r="F243" s="15"/>
      <c r="G243" s="138"/>
      <c r="H243" s="138"/>
      <c r="I243" s="126"/>
      <c r="J243" s="15"/>
      <c r="K243" s="15"/>
      <c r="L243" s="20"/>
      <c r="M243" s="20"/>
      <c r="N243" s="126"/>
      <c r="O243" s="126"/>
      <c r="P243" s="126"/>
      <c r="Q243" s="171"/>
      <c r="R243" s="172"/>
      <c r="S243" s="172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43"/>
      <c r="AF243" s="143"/>
      <c r="AG243" s="143"/>
      <c r="AH243" s="143"/>
      <c r="AI243" s="143"/>
      <c r="AJ243" s="143"/>
      <c r="AK243" s="143"/>
      <c r="AL243" s="147"/>
      <c r="AM243" s="145"/>
      <c r="AN243" s="147"/>
      <c r="AO243" s="143"/>
    </row>
    <row r="244" spans="3:41">
      <c r="C244" s="136"/>
      <c r="D244" s="136"/>
      <c r="E244" s="19"/>
      <c r="F244" s="15"/>
      <c r="G244" s="138"/>
      <c r="H244" s="138"/>
      <c r="I244" s="126"/>
      <c r="J244" s="15"/>
      <c r="K244" s="15"/>
      <c r="L244" s="20"/>
      <c r="M244" s="20"/>
      <c r="N244" s="126"/>
      <c r="O244" s="126"/>
      <c r="P244" s="126"/>
      <c r="Q244" s="171"/>
      <c r="R244" s="172"/>
      <c r="S244" s="172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43"/>
      <c r="AF244" s="143"/>
      <c r="AG244" s="143"/>
      <c r="AH244" s="143"/>
      <c r="AI244" s="143"/>
      <c r="AJ244" s="143"/>
      <c r="AK244" s="143"/>
      <c r="AL244" s="147"/>
      <c r="AM244" s="145"/>
      <c r="AN244" s="147"/>
      <c r="AO244" s="147"/>
    </row>
    <row r="245" spans="3:41">
      <c r="C245" s="136"/>
      <c r="D245" s="136"/>
      <c r="E245" s="19"/>
      <c r="F245" s="15"/>
      <c r="G245" s="138"/>
      <c r="H245" s="138"/>
      <c r="I245" s="126"/>
      <c r="J245" s="15"/>
      <c r="K245" s="15"/>
      <c r="L245" s="20"/>
      <c r="M245" s="20"/>
      <c r="N245" s="126"/>
      <c r="O245" s="126"/>
      <c r="P245" s="126"/>
      <c r="Q245" s="171"/>
      <c r="R245" s="172"/>
      <c r="S245" s="172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43"/>
      <c r="AF245" s="143"/>
      <c r="AG245" s="143"/>
      <c r="AH245" s="143"/>
      <c r="AI245" s="143"/>
      <c r="AJ245" s="143"/>
      <c r="AK245" s="143"/>
      <c r="AL245" s="147"/>
      <c r="AM245" s="145"/>
      <c r="AN245" s="146"/>
      <c r="AO245" s="146"/>
    </row>
    <row r="246" spans="3:41">
      <c r="C246" s="136"/>
      <c r="D246" s="136"/>
      <c r="E246" s="19"/>
      <c r="F246" s="15"/>
      <c r="G246" s="138"/>
      <c r="H246" s="138"/>
      <c r="I246" s="126"/>
      <c r="J246" s="15"/>
      <c r="K246" s="15"/>
      <c r="L246" s="20"/>
      <c r="M246" s="20"/>
      <c r="N246" s="126"/>
      <c r="O246" s="126"/>
      <c r="P246" s="126"/>
      <c r="Q246" s="171"/>
      <c r="R246" s="172"/>
      <c r="S246" s="172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43"/>
      <c r="AF246" s="143"/>
      <c r="AG246" s="143"/>
      <c r="AH246" s="143"/>
      <c r="AI246" s="143"/>
      <c r="AJ246" s="143"/>
      <c r="AK246" s="143"/>
      <c r="AL246" s="147"/>
      <c r="AM246" s="145"/>
      <c r="AN246" s="147"/>
      <c r="AO246" s="147"/>
    </row>
    <row r="247" spans="3:41">
      <c r="C247" s="136"/>
      <c r="D247" s="136"/>
      <c r="E247" s="19"/>
      <c r="F247" s="15"/>
      <c r="G247" s="138"/>
      <c r="H247" s="138"/>
      <c r="I247" s="126"/>
      <c r="J247" s="15"/>
      <c r="K247" s="15"/>
      <c r="L247" s="20"/>
      <c r="M247" s="20"/>
      <c r="N247" s="126"/>
      <c r="O247" s="126"/>
      <c r="P247" s="126"/>
      <c r="Q247" s="171"/>
      <c r="R247" s="172"/>
      <c r="S247" s="172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43"/>
      <c r="AF247" s="143"/>
      <c r="AG247" s="143"/>
      <c r="AH247" s="143"/>
      <c r="AI247" s="143"/>
      <c r="AJ247" s="143"/>
      <c r="AK247" s="143"/>
      <c r="AL247" s="147"/>
      <c r="AM247" s="145"/>
      <c r="AN247" s="147"/>
      <c r="AO247" s="147"/>
    </row>
    <row r="248" spans="3:41">
      <c r="C248" s="136"/>
      <c r="D248" s="136"/>
      <c r="E248" s="19"/>
      <c r="F248" s="15"/>
      <c r="G248" s="138"/>
      <c r="H248" s="138"/>
      <c r="I248" s="126"/>
      <c r="J248" s="15"/>
      <c r="K248" s="15"/>
      <c r="L248" s="20"/>
      <c r="M248" s="20"/>
      <c r="N248" s="126"/>
      <c r="O248" s="126"/>
      <c r="P248" s="126"/>
      <c r="Q248" s="171"/>
      <c r="R248" s="172"/>
      <c r="S248" s="172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43"/>
      <c r="AF248" s="143"/>
      <c r="AG248" s="143"/>
      <c r="AH248" s="143"/>
      <c r="AI248" s="143"/>
      <c r="AJ248" s="143"/>
      <c r="AK248" s="143"/>
      <c r="AL248" s="147"/>
      <c r="AM248" s="145"/>
      <c r="AN248" s="146"/>
      <c r="AO248" s="147"/>
    </row>
    <row r="249" spans="3:41">
      <c r="C249" s="136"/>
      <c r="D249" s="136"/>
      <c r="E249" s="19"/>
      <c r="F249" s="15"/>
      <c r="G249" s="138"/>
      <c r="H249" s="138"/>
      <c r="I249" s="126"/>
      <c r="J249" s="15"/>
      <c r="K249" s="15"/>
      <c r="L249" s="20"/>
      <c r="M249" s="20"/>
      <c r="N249" s="126"/>
      <c r="O249" s="126"/>
      <c r="P249" s="126"/>
      <c r="Q249" s="171"/>
      <c r="R249" s="172"/>
      <c r="S249" s="172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43"/>
      <c r="AF249" s="143"/>
      <c r="AG249" s="143"/>
      <c r="AH249" s="143"/>
      <c r="AI249" s="143"/>
      <c r="AJ249" s="143"/>
      <c r="AK249" s="143"/>
      <c r="AL249" s="147"/>
      <c r="AM249" s="145"/>
      <c r="AN249" s="147"/>
      <c r="AO249" s="146"/>
    </row>
    <row r="250" spans="3:41">
      <c r="C250" s="136"/>
      <c r="D250" s="136"/>
      <c r="E250" s="19"/>
      <c r="F250" s="15"/>
      <c r="G250" s="138"/>
      <c r="H250" s="138"/>
      <c r="I250" s="126"/>
      <c r="J250" s="15"/>
      <c r="K250" s="15"/>
      <c r="L250" s="20"/>
      <c r="M250" s="20"/>
      <c r="N250" s="126"/>
      <c r="O250" s="126"/>
      <c r="P250" s="126"/>
      <c r="Q250" s="171"/>
      <c r="R250" s="172"/>
      <c r="S250" s="172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43"/>
      <c r="AF250" s="143"/>
      <c r="AG250" s="143"/>
      <c r="AH250" s="143"/>
      <c r="AI250" s="143"/>
      <c r="AJ250" s="143"/>
      <c r="AK250" s="143"/>
      <c r="AL250" s="147"/>
      <c r="AM250" s="145"/>
      <c r="AN250" s="147"/>
      <c r="AO250" s="147"/>
    </row>
    <row r="251" spans="3:41">
      <c r="C251" s="136"/>
      <c r="D251" s="136"/>
      <c r="E251" s="19"/>
      <c r="F251" s="15"/>
      <c r="G251" s="138"/>
      <c r="H251" s="138"/>
      <c r="I251" s="126"/>
      <c r="J251" s="15"/>
      <c r="K251" s="15"/>
      <c r="L251" s="20"/>
      <c r="M251" s="20"/>
      <c r="N251" s="126"/>
      <c r="O251" s="126"/>
      <c r="P251" s="126"/>
      <c r="Q251" s="171"/>
      <c r="R251" s="172"/>
      <c r="S251" s="172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43"/>
      <c r="AF251" s="143"/>
      <c r="AG251" s="143"/>
      <c r="AH251" s="143"/>
      <c r="AI251" s="143"/>
      <c r="AJ251" s="143"/>
      <c r="AK251" s="143"/>
      <c r="AL251" s="147"/>
      <c r="AM251" s="145"/>
      <c r="AN251" s="147"/>
      <c r="AO251" s="147"/>
    </row>
    <row r="252" spans="3:41">
      <c r="C252" s="136"/>
      <c r="D252" s="136"/>
      <c r="E252" s="19"/>
      <c r="F252" s="15"/>
      <c r="G252" s="138"/>
      <c r="H252" s="138"/>
      <c r="I252" s="126"/>
      <c r="J252" s="15"/>
      <c r="K252" s="15"/>
      <c r="L252" s="20"/>
      <c r="M252" s="20"/>
      <c r="N252" s="126"/>
      <c r="O252" s="126"/>
      <c r="P252" s="126"/>
      <c r="Q252" s="171"/>
      <c r="R252" s="172"/>
      <c r="S252" s="172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43"/>
      <c r="AF252" s="143"/>
      <c r="AG252" s="143"/>
      <c r="AH252" s="143"/>
      <c r="AI252" s="143"/>
      <c r="AJ252" s="143"/>
      <c r="AK252" s="143"/>
      <c r="AL252" s="147"/>
      <c r="AM252" s="145"/>
      <c r="AN252" s="146"/>
      <c r="AO252" s="147"/>
    </row>
    <row r="253" spans="3:41">
      <c r="C253" s="136"/>
      <c r="D253" s="136"/>
      <c r="E253" s="136"/>
      <c r="F253" s="15"/>
      <c r="G253" s="138"/>
      <c r="H253" s="138"/>
      <c r="I253" s="126"/>
      <c r="J253" s="15"/>
      <c r="K253" s="15"/>
      <c r="L253" s="20"/>
      <c r="M253" s="20"/>
      <c r="N253" s="126"/>
      <c r="O253" s="126"/>
      <c r="P253" s="126"/>
      <c r="Q253" s="171"/>
      <c r="R253" s="172"/>
      <c r="S253" s="172"/>
      <c r="T253" s="126"/>
      <c r="U253" s="189"/>
      <c r="V253" s="190"/>
      <c r="W253" s="189"/>
      <c r="X253" s="189"/>
      <c r="Y253" s="189"/>
      <c r="Z253" s="189"/>
      <c r="AA253" s="189"/>
      <c r="AB253" s="189"/>
      <c r="AC253" s="189"/>
      <c r="AD253" s="189"/>
      <c r="AE253" s="143"/>
      <c r="AF253" s="143"/>
      <c r="AG253" s="143"/>
      <c r="AH253" s="143"/>
      <c r="AI253" s="143"/>
      <c r="AJ253" s="143"/>
      <c r="AK253" s="143"/>
      <c r="AL253" s="147"/>
      <c r="AM253" s="145"/>
      <c r="AN253" s="147"/>
      <c r="AO253" s="147"/>
    </row>
    <row r="254" spans="3:41">
      <c r="C254" s="136"/>
      <c r="D254" s="136"/>
      <c r="E254" s="19"/>
      <c r="F254" s="15"/>
      <c r="G254" s="138"/>
      <c r="H254" s="138"/>
      <c r="I254" s="126"/>
      <c r="J254" s="15"/>
      <c r="K254" s="15"/>
      <c r="L254" s="20"/>
      <c r="M254" s="20"/>
      <c r="N254" s="126"/>
      <c r="O254" s="126"/>
      <c r="P254" s="126"/>
      <c r="Q254" s="171"/>
      <c r="R254" s="172"/>
      <c r="S254" s="172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43"/>
      <c r="AF254" s="143"/>
      <c r="AG254" s="143"/>
      <c r="AH254" s="143"/>
      <c r="AI254" s="143"/>
      <c r="AJ254" s="143"/>
      <c r="AK254" s="143"/>
      <c r="AL254" s="147"/>
      <c r="AM254" s="145"/>
      <c r="AN254" s="147"/>
      <c r="AO254" s="147"/>
    </row>
    <row r="255" spans="3:41">
      <c r="C255" s="136"/>
      <c r="D255" s="136"/>
      <c r="E255" s="19"/>
      <c r="F255" s="15"/>
      <c r="G255" s="138"/>
      <c r="H255" s="138"/>
      <c r="I255" s="126"/>
      <c r="J255" s="15"/>
      <c r="K255" s="15"/>
      <c r="L255" s="20"/>
      <c r="M255" s="20"/>
      <c r="N255" s="126"/>
      <c r="O255" s="126"/>
      <c r="P255" s="126"/>
      <c r="Q255" s="171"/>
      <c r="R255" s="172"/>
      <c r="S255" s="172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43"/>
      <c r="AF255" s="143"/>
      <c r="AG255" s="143"/>
      <c r="AH255" s="143"/>
      <c r="AI255" s="143"/>
      <c r="AJ255" s="143"/>
      <c r="AK255" s="143"/>
      <c r="AL255" s="147"/>
      <c r="AM255" s="145"/>
      <c r="AN255" s="147"/>
      <c r="AO255" s="147"/>
    </row>
    <row r="256" spans="3:41">
      <c r="C256" s="136"/>
      <c r="D256" s="136"/>
      <c r="E256" s="19"/>
      <c r="F256" s="15"/>
      <c r="G256" s="138"/>
      <c r="H256" s="138"/>
      <c r="I256" s="126"/>
      <c r="J256" s="15"/>
      <c r="K256" s="15"/>
      <c r="L256" s="20"/>
      <c r="M256" s="20"/>
      <c r="N256" s="126"/>
      <c r="O256" s="126"/>
      <c r="P256" s="126"/>
      <c r="Q256" s="171"/>
      <c r="R256" s="172"/>
      <c r="S256" s="172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43"/>
      <c r="AF256" s="143"/>
      <c r="AG256" s="143"/>
      <c r="AH256" s="143"/>
      <c r="AI256" s="143"/>
      <c r="AJ256" s="143"/>
      <c r="AK256" s="146"/>
      <c r="AL256" s="147"/>
      <c r="AM256" s="187"/>
      <c r="AN256" s="146"/>
      <c r="AO256" s="147"/>
    </row>
    <row r="257" spans="3:41">
      <c r="C257" s="136"/>
      <c r="D257" s="136"/>
      <c r="E257" s="19"/>
      <c r="F257" s="15"/>
      <c r="G257" s="138"/>
      <c r="H257" s="138"/>
      <c r="I257" s="126"/>
      <c r="J257" s="15"/>
      <c r="K257" s="15"/>
      <c r="L257" s="20"/>
      <c r="M257" s="20"/>
      <c r="N257" s="126"/>
      <c r="O257" s="126"/>
      <c r="P257" s="126"/>
      <c r="Q257" s="171"/>
      <c r="R257" s="172"/>
      <c r="S257" s="172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43"/>
      <c r="AF257" s="143"/>
      <c r="AG257" s="143"/>
      <c r="AH257" s="143"/>
      <c r="AI257" s="143"/>
      <c r="AJ257" s="143"/>
      <c r="AK257" s="143"/>
      <c r="AL257" s="147"/>
      <c r="AM257" s="145"/>
      <c r="AN257" s="147"/>
      <c r="AO257" s="147"/>
    </row>
    <row r="258" spans="3:41">
      <c r="C258" s="136"/>
      <c r="D258" s="136"/>
      <c r="E258" s="19"/>
      <c r="F258" s="15"/>
      <c r="G258" s="138"/>
      <c r="H258" s="138"/>
      <c r="I258" s="126"/>
      <c r="J258" s="15"/>
      <c r="K258" s="15"/>
      <c r="L258" s="20"/>
      <c r="M258" s="20"/>
      <c r="N258" s="126"/>
      <c r="O258" s="126"/>
      <c r="P258" s="126"/>
      <c r="Q258" s="171"/>
      <c r="R258" s="172"/>
      <c r="S258" s="172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43"/>
      <c r="AF258" s="143"/>
      <c r="AG258" s="143"/>
      <c r="AH258" s="143"/>
      <c r="AI258" s="143"/>
      <c r="AJ258" s="143"/>
      <c r="AK258" s="143"/>
      <c r="AL258" s="147"/>
      <c r="AM258" s="145"/>
      <c r="AN258" s="147"/>
      <c r="AO258" s="147"/>
    </row>
    <row r="259" spans="3:41">
      <c r="C259" s="136"/>
      <c r="D259" s="136"/>
      <c r="E259" s="19"/>
      <c r="F259" s="15"/>
      <c r="G259" s="138"/>
      <c r="H259" s="138"/>
      <c r="I259" s="126"/>
      <c r="J259" s="15"/>
      <c r="K259" s="15"/>
      <c r="L259" s="20"/>
      <c r="M259" s="20"/>
      <c r="N259" s="126"/>
      <c r="O259" s="126"/>
      <c r="P259" s="126"/>
      <c r="Q259" s="171"/>
      <c r="R259" s="172"/>
      <c r="S259" s="172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43"/>
      <c r="AF259" s="143"/>
      <c r="AG259" s="143"/>
      <c r="AH259" s="143"/>
      <c r="AI259" s="143"/>
      <c r="AJ259" s="143"/>
      <c r="AK259" s="143"/>
      <c r="AL259" s="147"/>
      <c r="AM259" s="145"/>
      <c r="AN259" s="147"/>
      <c r="AO259" s="147"/>
    </row>
    <row r="260" spans="3:41">
      <c r="C260" s="136"/>
      <c r="D260" s="136"/>
      <c r="E260" s="19"/>
      <c r="F260" s="15"/>
      <c r="G260" s="138"/>
      <c r="H260" s="138"/>
      <c r="I260" s="126"/>
      <c r="J260" s="15"/>
      <c r="K260" s="15"/>
      <c r="L260" s="20"/>
      <c r="M260" s="20"/>
      <c r="N260" s="126"/>
      <c r="O260" s="126"/>
      <c r="P260" s="126"/>
      <c r="Q260" s="171"/>
      <c r="R260" s="172"/>
      <c r="S260" s="172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43"/>
      <c r="AF260" s="143"/>
      <c r="AG260" s="143"/>
      <c r="AH260" s="143"/>
      <c r="AI260" s="143"/>
      <c r="AJ260" s="143"/>
      <c r="AK260" s="143"/>
      <c r="AL260" s="147"/>
      <c r="AM260" s="145"/>
      <c r="AN260" s="147"/>
      <c r="AO260" s="147"/>
    </row>
    <row r="261" spans="3:41">
      <c r="C261" s="136"/>
      <c r="D261" s="136"/>
      <c r="E261" s="19"/>
      <c r="F261" s="15"/>
      <c r="G261" s="138"/>
      <c r="H261" s="138"/>
      <c r="I261" s="126"/>
      <c r="J261" s="15"/>
      <c r="K261" s="15"/>
      <c r="L261" s="20"/>
      <c r="M261" s="20"/>
      <c r="N261" s="126"/>
      <c r="O261" s="126"/>
      <c r="P261" s="126"/>
      <c r="Q261" s="171"/>
      <c r="R261" s="172"/>
      <c r="S261" s="172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43"/>
      <c r="AF261" s="143"/>
      <c r="AG261" s="143"/>
      <c r="AH261" s="143"/>
      <c r="AI261" s="143"/>
      <c r="AJ261" s="143"/>
      <c r="AK261" s="143"/>
      <c r="AL261" s="147"/>
      <c r="AM261" s="145"/>
      <c r="AN261" s="147"/>
      <c r="AO261" s="147"/>
    </row>
    <row r="262" spans="3:41">
      <c r="C262" s="136"/>
      <c r="D262" s="136"/>
      <c r="E262" s="19"/>
      <c r="F262" s="15"/>
      <c r="G262" s="138"/>
      <c r="H262" s="138"/>
      <c r="I262" s="126"/>
      <c r="J262" s="15"/>
      <c r="K262" s="15"/>
      <c r="L262" s="20"/>
      <c r="M262" s="20"/>
      <c r="N262" s="126"/>
      <c r="O262" s="126"/>
      <c r="P262" s="126"/>
      <c r="Q262" s="171"/>
      <c r="R262" s="172"/>
      <c r="S262" s="172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43"/>
      <c r="AF262" s="143"/>
      <c r="AG262" s="143"/>
      <c r="AH262" s="143"/>
      <c r="AI262" s="143"/>
      <c r="AJ262" s="143"/>
      <c r="AK262" s="143"/>
      <c r="AL262" s="147"/>
      <c r="AM262" s="145"/>
      <c r="AN262" s="146"/>
      <c r="AO262" s="147"/>
    </row>
    <row r="263" spans="3:41">
      <c r="C263" s="136"/>
      <c r="D263" s="136"/>
      <c r="E263" s="19"/>
      <c r="F263" s="15"/>
      <c r="G263" s="138"/>
      <c r="H263" s="138"/>
      <c r="I263" s="126"/>
      <c r="J263" s="15"/>
      <c r="K263" s="15"/>
      <c r="L263" s="20"/>
      <c r="M263" s="20"/>
      <c r="N263" s="126"/>
      <c r="O263" s="126"/>
      <c r="P263" s="126"/>
      <c r="Q263" s="171"/>
      <c r="R263" s="172"/>
      <c r="S263" s="172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43"/>
      <c r="AF263" s="143"/>
      <c r="AG263" s="143"/>
      <c r="AH263" s="143"/>
      <c r="AI263" s="186"/>
      <c r="AJ263" s="143"/>
      <c r="AK263" s="143"/>
      <c r="AL263" s="147"/>
      <c r="AM263" s="145"/>
      <c r="AN263" s="147"/>
      <c r="AO263" s="146"/>
    </row>
    <row r="264" spans="3:41">
      <c r="C264" s="136"/>
      <c r="D264" s="136"/>
      <c r="E264" s="19"/>
      <c r="F264" s="15"/>
      <c r="G264" s="138"/>
      <c r="H264" s="138"/>
      <c r="I264" s="126"/>
      <c r="J264" s="15"/>
      <c r="K264" s="15"/>
      <c r="L264" s="20"/>
      <c r="M264" s="20"/>
      <c r="N264" s="126"/>
      <c r="O264" s="126"/>
      <c r="P264" s="126"/>
      <c r="Q264" s="171"/>
      <c r="R264" s="173"/>
      <c r="S264" s="172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43"/>
      <c r="AF264" s="143"/>
      <c r="AG264" s="143"/>
      <c r="AH264" s="143"/>
      <c r="AI264" s="143"/>
      <c r="AJ264" s="143"/>
      <c r="AK264" s="143"/>
      <c r="AL264" s="147"/>
      <c r="AM264" s="145"/>
      <c r="AN264" s="146"/>
      <c r="AO264" s="147"/>
    </row>
    <row r="265" spans="3:41">
      <c r="C265" s="136"/>
      <c r="D265" s="136"/>
      <c r="E265" s="19"/>
      <c r="F265" s="15"/>
      <c r="G265" s="138"/>
      <c r="H265" s="138"/>
      <c r="I265" s="126"/>
      <c r="J265" s="15"/>
      <c r="K265" s="15"/>
      <c r="L265" s="20"/>
      <c r="M265" s="20"/>
      <c r="N265" s="126"/>
      <c r="O265" s="126"/>
      <c r="P265" s="126"/>
      <c r="Q265" s="171"/>
      <c r="R265" s="173"/>
      <c r="S265" s="172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43"/>
      <c r="AF265" s="143"/>
      <c r="AG265" s="143"/>
      <c r="AH265" s="143"/>
      <c r="AI265" s="143"/>
      <c r="AJ265" s="143"/>
      <c r="AK265" s="143"/>
      <c r="AL265" s="147"/>
      <c r="AM265" s="145"/>
      <c r="AN265" s="147"/>
      <c r="AO265" s="147"/>
    </row>
    <row r="266" spans="3:41">
      <c r="C266" s="136"/>
      <c r="D266" s="136"/>
      <c r="E266" s="19"/>
      <c r="F266" s="15"/>
      <c r="G266" s="138"/>
      <c r="H266" s="138"/>
      <c r="I266" s="126"/>
      <c r="J266" s="15"/>
      <c r="K266" s="15"/>
      <c r="L266" s="20"/>
      <c r="M266" s="20"/>
      <c r="N266" s="126"/>
      <c r="O266" s="126"/>
      <c r="P266" s="126"/>
      <c r="Q266" s="171"/>
      <c r="R266" s="173"/>
      <c r="S266" s="172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43"/>
      <c r="AF266" s="143"/>
      <c r="AG266" s="143"/>
      <c r="AH266" s="143"/>
      <c r="AI266" s="143"/>
      <c r="AJ266" s="143"/>
      <c r="AK266" s="143"/>
      <c r="AL266" s="147"/>
      <c r="AM266" s="145"/>
      <c r="AN266" s="147"/>
      <c r="AO266" s="147"/>
    </row>
    <row r="267" spans="3:41">
      <c r="C267" s="136"/>
      <c r="D267" s="136"/>
      <c r="E267" s="19"/>
      <c r="F267" s="15"/>
      <c r="G267" s="138"/>
      <c r="H267" s="138"/>
      <c r="I267" s="126"/>
      <c r="J267" s="15"/>
      <c r="K267" s="15"/>
      <c r="L267" s="20"/>
      <c r="M267" s="20"/>
      <c r="N267" s="126"/>
      <c r="O267" s="126"/>
      <c r="P267" s="126"/>
      <c r="Q267" s="171"/>
      <c r="R267" s="173"/>
      <c r="S267" s="172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43"/>
      <c r="AF267" s="143"/>
      <c r="AG267" s="143"/>
      <c r="AH267" s="143"/>
      <c r="AI267" s="143"/>
      <c r="AJ267" s="143"/>
      <c r="AK267" s="143"/>
      <c r="AL267" s="147"/>
      <c r="AM267" s="145"/>
      <c r="AN267" s="147"/>
      <c r="AO267" s="147"/>
    </row>
    <row r="268" spans="3:41">
      <c r="C268" s="136"/>
      <c r="D268" s="136"/>
      <c r="E268" s="19"/>
      <c r="F268" s="15"/>
      <c r="G268" s="138"/>
      <c r="H268" s="138"/>
      <c r="I268" s="126"/>
      <c r="J268" s="15"/>
      <c r="K268" s="15"/>
      <c r="L268" s="20"/>
      <c r="M268" s="20"/>
      <c r="N268" s="126"/>
      <c r="O268" s="126"/>
      <c r="P268" s="126"/>
      <c r="Q268" s="171"/>
      <c r="R268" s="173"/>
      <c r="S268" s="172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43"/>
      <c r="AF268" s="143"/>
      <c r="AG268" s="143"/>
      <c r="AH268" s="143"/>
      <c r="AI268" s="143"/>
      <c r="AJ268" s="143"/>
      <c r="AK268" s="143"/>
      <c r="AL268" s="147"/>
      <c r="AM268" s="145"/>
      <c r="AN268" s="147"/>
      <c r="AO268" s="147"/>
    </row>
    <row r="269" spans="3:41">
      <c r="C269" s="136"/>
      <c r="D269" s="136"/>
      <c r="E269" s="19"/>
      <c r="F269" s="15"/>
      <c r="G269" s="138"/>
      <c r="H269" s="138"/>
      <c r="I269" s="126"/>
      <c r="J269" s="15"/>
      <c r="K269" s="15"/>
      <c r="L269" s="20"/>
      <c r="M269" s="20"/>
      <c r="N269" s="126"/>
      <c r="O269" s="126"/>
      <c r="P269" s="126"/>
      <c r="Q269" s="171"/>
      <c r="R269" s="172"/>
      <c r="S269" s="172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43"/>
      <c r="AF269" s="143"/>
      <c r="AG269" s="143"/>
      <c r="AH269" s="143"/>
      <c r="AI269" s="143"/>
      <c r="AJ269" s="143"/>
      <c r="AK269" s="143"/>
      <c r="AL269" s="147"/>
      <c r="AM269" s="145"/>
      <c r="AN269" s="146"/>
      <c r="AO269" s="147"/>
    </row>
    <row r="270" spans="3:41">
      <c r="C270" s="136"/>
      <c r="D270" s="136"/>
      <c r="E270" s="19"/>
      <c r="F270" s="15"/>
      <c r="G270" s="138"/>
      <c r="H270" s="138"/>
      <c r="I270" s="126"/>
      <c r="J270" s="15"/>
      <c r="K270" s="15"/>
      <c r="L270" s="20"/>
      <c r="M270" s="20"/>
      <c r="N270" s="126"/>
      <c r="O270" s="126"/>
      <c r="P270" s="126"/>
      <c r="Q270" s="171"/>
      <c r="R270" s="172"/>
      <c r="S270" s="172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43"/>
      <c r="AF270" s="143"/>
      <c r="AG270" s="143"/>
      <c r="AH270" s="143"/>
      <c r="AI270" s="143"/>
      <c r="AJ270" s="143"/>
      <c r="AK270" s="143"/>
      <c r="AL270" s="147"/>
      <c r="AM270" s="187"/>
      <c r="AN270" s="153"/>
      <c r="AO270" s="146"/>
    </row>
    <row r="271" spans="3:41">
      <c r="C271" s="136"/>
      <c r="D271" s="136"/>
      <c r="E271" s="19"/>
      <c r="F271" s="15"/>
      <c r="G271" s="138"/>
      <c r="H271" s="138"/>
      <c r="I271" s="126"/>
      <c r="J271" s="15"/>
      <c r="K271" s="15"/>
      <c r="L271" s="20"/>
      <c r="M271" s="20"/>
      <c r="N271" s="126"/>
      <c r="O271" s="126"/>
      <c r="P271" s="126"/>
      <c r="Q271" s="171"/>
      <c r="R271" s="172"/>
      <c r="S271" s="172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43"/>
      <c r="AF271" s="143"/>
      <c r="AG271" s="143"/>
      <c r="AH271" s="143"/>
      <c r="AI271" s="143"/>
      <c r="AJ271" s="143"/>
      <c r="AK271" s="143"/>
      <c r="AL271" s="147"/>
      <c r="AM271" s="145"/>
      <c r="AN271" s="147"/>
      <c r="AO271" s="147"/>
    </row>
    <row r="272" spans="3:41">
      <c r="C272" s="136"/>
      <c r="D272" s="136"/>
      <c r="E272" s="19"/>
      <c r="F272" s="15"/>
      <c r="G272" s="138"/>
      <c r="H272" s="138"/>
      <c r="I272" s="126"/>
      <c r="J272" s="15"/>
      <c r="K272" s="15"/>
      <c r="L272" s="20"/>
      <c r="M272" s="20"/>
      <c r="N272" s="126"/>
      <c r="O272" s="126"/>
      <c r="P272" s="126"/>
      <c r="Q272" s="171"/>
      <c r="R272" s="172"/>
      <c r="S272" s="172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43"/>
      <c r="AF272" s="143"/>
      <c r="AG272" s="143"/>
      <c r="AH272" s="143"/>
      <c r="AI272" s="143"/>
      <c r="AJ272" s="143"/>
      <c r="AK272" s="143"/>
      <c r="AL272" s="147"/>
      <c r="AM272" s="145"/>
      <c r="AN272" s="147"/>
      <c r="AO272" s="146"/>
    </row>
    <row r="273" spans="3:41">
      <c r="C273" s="136"/>
      <c r="D273" s="136"/>
      <c r="E273" s="19"/>
      <c r="F273" s="15"/>
      <c r="G273" s="138"/>
      <c r="H273" s="138"/>
      <c r="I273" s="126"/>
      <c r="J273" s="15"/>
      <c r="K273" s="15"/>
      <c r="L273" s="20"/>
      <c r="M273" s="20"/>
      <c r="N273" s="126"/>
      <c r="O273" s="126"/>
      <c r="P273" s="126"/>
      <c r="Q273" s="171"/>
      <c r="R273" s="172"/>
      <c r="S273" s="172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43"/>
      <c r="AF273" s="143"/>
      <c r="AG273" s="143"/>
      <c r="AH273" s="143"/>
      <c r="AI273" s="143"/>
      <c r="AJ273" s="143"/>
      <c r="AK273" s="143"/>
      <c r="AL273" s="147"/>
      <c r="AM273" s="145"/>
      <c r="AN273" s="153"/>
      <c r="AO273" s="147"/>
    </row>
    <row r="274" spans="3:41">
      <c r="C274" s="136"/>
      <c r="D274" s="136"/>
      <c r="E274" s="19"/>
      <c r="F274" s="15"/>
      <c r="G274" s="138"/>
      <c r="H274" s="138"/>
      <c r="I274" s="126"/>
      <c r="J274" s="15"/>
      <c r="K274" s="15"/>
      <c r="L274" s="20"/>
      <c r="M274" s="20"/>
      <c r="N274" s="126"/>
      <c r="O274" s="126"/>
      <c r="P274" s="126"/>
      <c r="Q274" s="171"/>
      <c r="R274" s="172"/>
      <c r="S274" s="172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43"/>
      <c r="AF274" s="143"/>
      <c r="AG274" s="143"/>
      <c r="AH274" s="143"/>
      <c r="AI274" s="143"/>
      <c r="AJ274" s="143"/>
      <c r="AK274" s="143"/>
      <c r="AL274" s="147"/>
      <c r="AM274" s="145"/>
      <c r="AN274" s="147"/>
      <c r="AO274" s="146"/>
    </row>
    <row r="275" spans="3:41">
      <c r="C275" s="136"/>
      <c r="D275" s="136"/>
      <c r="E275" s="19"/>
      <c r="F275" s="15"/>
      <c r="G275" s="138"/>
      <c r="H275" s="138"/>
      <c r="I275" s="126"/>
      <c r="J275" s="15"/>
      <c r="K275" s="15"/>
      <c r="L275" s="20"/>
      <c r="M275" s="20"/>
      <c r="N275" s="126"/>
      <c r="O275" s="126"/>
      <c r="P275" s="126"/>
      <c r="Q275" s="171"/>
      <c r="R275" s="172"/>
      <c r="S275" s="172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43"/>
      <c r="AF275" s="143"/>
      <c r="AG275" s="143"/>
      <c r="AH275" s="143"/>
      <c r="AI275" s="143"/>
      <c r="AJ275" s="143"/>
      <c r="AK275" s="143"/>
      <c r="AL275" s="147"/>
      <c r="AM275" s="145"/>
      <c r="AN275" s="153"/>
      <c r="AO275" s="147"/>
    </row>
    <row r="276" spans="3:41">
      <c r="C276" s="136"/>
      <c r="D276" s="136"/>
      <c r="E276" s="19"/>
      <c r="F276" s="15"/>
      <c r="G276" s="138"/>
      <c r="H276" s="138"/>
      <c r="I276" s="126"/>
      <c r="J276" s="15"/>
      <c r="K276" s="15"/>
      <c r="L276" s="20"/>
      <c r="M276" s="20"/>
      <c r="N276" s="126"/>
      <c r="O276" s="126"/>
      <c r="P276" s="126"/>
      <c r="Q276" s="171"/>
      <c r="R276" s="172"/>
      <c r="S276" s="172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43"/>
      <c r="AF276" s="143"/>
      <c r="AG276" s="143"/>
      <c r="AH276" s="143"/>
      <c r="AI276" s="143"/>
      <c r="AJ276" s="143"/>
      <c r="AK276" s="143"/>
      <c r="AL276" s="147"/>
      <c r="AM276" s="145"/>
      <c r="AN276" s="146"/>
      <c r="AO276" s="147"/>
    </row>
    <row r="277" spans="3:41">
      <c r="C277" s="136"/>
      <c r="D277" s="136"/>
      <c r="E277" s="19"/>
      <c r="F277" s="15"/>
      <c r="G277" s="138"/>
      <c r="H277" s="138"/>
      <c r="I277" s="126"/>
      <c r="J277" s="15"/>
      <c r="K277" s="15"/>
      <c r="L277" s="20"/>
      <c r="M277" s="20"/>
      <c r="N277" s="126"/>
      <c r="O277" s="126"/>
      <c r="P277" s="126"/>
      <c r="Q277" s="171"/>
      <c r="R277" s="172"/>
      <c r="S277" s="172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43"/>
      <c r="AF277" s="143"/>
      <c r="AG277" s="143"/>
      <c r="AH277" s="143"/>
      <c r="AI277" s="143"/>
      <c r="AJ277" s="143"/>
      <c r="AK277" s="143"/>
      <c r="AL277" s="147"/>
      <c r="AM277" s="145"/>
      <c r="AN277" s="146"/>
      <c r="AO277" s="143"/>
    </row>
    <row r="278" spans="3:41">
      <c r="C278" s="136"/>
      <c r="D278" s="136"/>
      <c r="E278" s="19"/>
      <c r="F278" s="15"/>
      <c r="G278" s="138"/>
      <c r="H278" s="138"/>
      <c r="I278" s="126"/>
      <c r="J278" s="15"/>
      <c r="K278" s="15"/>
      <c r="L278" s="20"/>
      <c r="M278" s="20"/>
      <c r="N278" s="126"/>
      <c r="O278" s="126"/>
      <c r="P278" s="126"/>
      <c r="Q278" s="171"/>
      <c r="R278" s="172"/>
      <c r="S278" s="172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43"/>
      <c r="AF278" s="143"/>
      <c r="AG278" s="143"/>
      <c r="AH278" s="143"/>
      <c r="AI278" s="143"/>
      <c r="AJ278" s="143"/>
      <c r="AK278" s="143"/>
      <c r="AL278" s="151"/>
      <c r="AM278" s="145"/>
      <c r="AN278" s="143"/>
      <c r="AO278" s="147"/>
    </row>
    <row r="279" spans="3:41">
      <c r="C279" s="136"/>
      <c r="D279" s="136"/>
      <c r="E279" s="19"/>
      <c r="F279" s="15"/>
      <c r="G279" s="138"/>
      <c r="H279" s="138"/>
      <c r="I279" s="126"/>
      <c r="J279" s="15"/>
      <c r="K279" s="15"/>
      <c r="L279" s="20"/>
      <c r="M279" s="20"/>
      <c r="N279" s="126"/>
      <c r="O279" s="126"/>
      <c r="P279" s="126"/>
      <c r="Q279" s="171"/>
      <c r="R279" s="172"/>
      <c r="S279" s="172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43"/>
      <c r="AF279" s="143"/>
      <c r="AG279" s="143"/>
      <c r="AH279" s="143"/>
      <c r="AI279" s="186"/>
      <c r="AJ279" s="143"/>
      <c r="AK279" s="143"/>
      <c r="AL279" s="151"/>
      <c r="AM279" s="145"/>
      <c r="AN279" s="153"/>
      <c r="AO279" s="147"/>
    </row>
    <row r="280" spans="3:41">
      <c r="C280" s="136"/>
      <c r="D280" s="136"/>
      <c r="E280" s="19"/>
      <c r="F280" s="15"/>
      <c r="G280" s="138"/>
      <c r="H280" s="138"/>
      <c r="I280" s="126"/>
      <c r="J280" s="15"/>
      <c r="K280" s="15"/>
      <c r="L280" s="20"/>
      <c r="M280" s="20"/>
      <c r="N280" s="126"/>
      <c r="O280" s="126"/>
      <c r="P280" s="126"/>
      <c r="Q280" s="171"/>
      <c r="R280" s="172"/>
      <c r="S280" s="172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43"/>
      <c r="AF280" s="143"/>
      <c r="AG280" s="143"/>
      <c r="AH280" s="143"/>
      <c r="AI280" s="143"/>
      <c r="AJ280" s="143"/>
      <c r="AK280" s="143"/>
      <c r="AL280" s="151"/>
      <c r="AM280" s="145"/>
      <c r="AN280" s="153"/>
      <c r="AO280" s="147"/>
    </row>
    <row r="281" spans="3:41">
      <c r="C281" s="136"/>
      <c r="D281" s="136"/>
      <c r="E281" s="19"/>
      <c r="F281" s="15"/>
      <c r="G281" s="138"/>
      <c r="H281" s="138"/>
      <c r="I281" s="126"/>
      <c r="J281" s="15"/>
      <c r="K281" s="15"/>
      <c r="L281" s="20"/>
      <c r="M281" s="20"/>
      <c r="N281" s="126"/>
      <c r="O281" s="126"/>
      <c r="P281" s="126"/>
      <c r="Q281" s="171"/>
      <c r="R281" s="172"/>
      <c r="S281" s="172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43"/>
      <c r="AF281" s="143"/>
      <c r="AG281" s="143"/>
      <c r="AH281" s="143"/>
      <c r="AI281" s="143"/>
      <c r="AJ281" s="143"/>
      <c r="AK281" s="143"/>
      <c r="AL281" s="151"/>
      <c r="AM281" s="145"/>
      <c r="AN281" s="145"/>
      <c r="AO281" s="143"/>
    </row>
    <row r="282" spans="3:41">
      <c r="C282" s="136"/>
      <c r="D282" s="136"/>
      <c r="E282" s="19"/>
      <c r="F282" s="15"/>
      <c r="G282" s="138"/>
      <c r="H282" s="138"/>
      <c r="I282" s="126"/>
      <c r="J282" s="15"/>
      <c r="K282" s="15"/>
      <c r="L282" s="20"/>
      <c r="M282" s="20"/>
      <c r="N282" s="126"/>
      <c r="O282" s="126"/>
      <c r="P282" s="126"/>
      <c r="Q282" s="171"/>
      <c r="R282" s="172"/>
      <c r="S282" s="172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43"/>
      <c r="AF282" s="143"/>
      <c r="AG282" s="143"/>
      <c r="AH282" s="143"/>
      <c r="AI282" s="143"/>
      <c r="AJ282" s="143"/>
      <c r="AK282" s="143"/>
      <c r="AL282" s="151"/>
      <c r="AM282" s="145"/>
      <c r="AN282" s="153"/>
      <c r="AO282" s="143"/>
    </row>
    <row r="283" spans="3:41">
      <c r="C283" s="136"/>
      <c r="D283" s="136"/>
      <c r="E283" s="19"/>
      <c r="F283" s="15"/>
      <c r="G283" s="138"/>
      <c r="H283" s="138"/>
      <c r="I283" s="126"/>
      <c r="J283" s="15"/>
      <c r="K283" s="15"/>
      <c r="L283" s="20"/>
      <c r="M283" s="20"/>
      <c r="N283" s="126"/>
      <c r="O283" s="126"/>
      <c r="P283" s="126"/>
      <c r="Q283" s="171"/>
      <c r="R283" s="172"/>
      <c r="S283" s="172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43"/>
      <c r="AF283" s="143"/>
      <c r="AG283" s="143"/>
      <c r="AH283" s="143"/>
      <c r="AI283" s="143"/>
      <c r="AJ283" s="143"/>
      <c r="AK283" s="143"/>
      <c r="AL283" s="151"/>
      <c r="AM283" s="145"/>
      <c r="AN283" s="143"/>
      <c r="AO283" s="147"/>
    </row>
    <row r="284" spans="3:41">
      <c r="C284" s="136"/>
      <c r="D284" s="136"/>
      <c r="E284" s="19"/>
      <c r="F284" s="15"/>
      <c r="G284" s="138"/>
      <c r="H284" s="138"/>
      <c r="I284" s="126"/>
      <c r="J284" s="15"/>
      <c r="K284" s="15"/>
      <c r="L284" s="20"/>
      <c r="M284" s="20"/>
      <c r="N284" s="126"/>
      <c r="O284" s="126"/>
      <c r="P284" s="126"/>
      <c r="Q284" s="171"/>
      <c r="R284" s="172"/>
      <c r="S284" s="172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43"/>
      <c r="AF284" s="143"/>
      <c r="AG284" s="143"/>
      <c r="AH284" s="143"/>
      <c r="AI284" s="143"/>
      <c r="AJ284" s="143"/>
      <c r="AK284" s="143"/>
      <c r="AL284" s="151"/>
      <c r="AM284" s="145"/>
      <c r="AN284" s="153"/>
      <c r="AO284" s="147"/>
    </row>
    <row r="285" spans="3:41">
      <c r="C285" s="136"/>
      <c r="D285" s="136"/>
      <c r="E285" s="19"/>
      <c r="F285" s="15"/>
      <c r="G285" s="138"/>
      <c r="H285" s="138"/>
      <c r="I285" s="126"/>
      <c r="J285" s="15"/>
      <c r="K285" s="15"/>
      <c r="L285" s="20"/>
      <c r="M285" s="20"/>
      <c r="N285" s="126"/>
      <c r="O285" s="126"/>
      <c r="P285" s="126"/>
      <c r="Q285" s="171"/>
      <c r="R285" s="172"/>
      <c r="S285" s="172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43"/>
      <c r="AF285" s="143"/>
      <c r="AG285" s="143"/>
      <c r="AH285" s="143"/>
      <c r="AI285" s="143"/>
      <c r="AJ285" s="143"/>
      <c r="AK285" s="143"/>
      <c r="AL285" s="151"/>
      <c r="AM285" s="145"/>
      <c r="AN285" s="153"/>
      <c r="AO285" s="143"/>
    </row>
    <row r="286" spans="3:41">
      <c r="C286" s="136"/>
      <c r="D286" s="136"/>
      <c r="E286" s="19"/>
      <c r="F286" s="15"/>
      <c r="G286" s="138"/>
      <c r="H286" s="138"/>
      <c r="I286" s="126"/>
      <c r="J286" s="15"/>
      <c r="K286" s="15"/>
      <c r="L286" s="20"/>
      <c r="M286" s="20"/>
      <c r="N286" s="126"/>
      <c r="O286" s="126"/>
      <c r="P286" s="126"/>
      <c r="Q286" s="171"/>
      <c r="R286" s="172"/>
      <c r="S286" s="172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43"/>
      <c r="AF286" s="143"/>
      <c r="AG286" s="143"/>
      <c r="AH286" s="143"/>
      <c r="AI286" s="143"/>
      <c r="AJ286" s="143"/>
      <c r="AK286" s="143"/>
      <c r="AL286" s="143"/>
      <c r="AM286" s="145"/>
      <c r="AN286" s="143"/>
      <c r="AO286" s="147"/>
    </row>
    <row r="287" spans="3:41">
      <c r="C287" s="136"/>
      <c r="D287" s="136"/>
      <c r="E287" s="19"/>
      <c r="F287" s="15"/>
      <c r="G287" s="138"/>
      <c r="H287" s="138"/>
      <c r="I287" s="126"/>
      <c r="J287" s="15"/>
      <c r="K287" s="15"/>
      <c r="L287" s="20"/>
      <c r="M287" s="20"/>
      <c r="N287" s="126"/>
      <c r="O287" s="126"/>
      <c r="P287" s="126"/>
      <c r="Q287" s="171"/>
      <c r="R287" s="172"/>
      <c r="S287" s="172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43"/>
      <c r="AF287" s="143"/>
      <c r="AG287" s="143"/>
      <c r="AH287" s="143"/>
      <c r="AI287" s="143"/>
      <c r="AJ287" s="143"/>
      <c r="AK287" s="143"/>
      <c r="AL287" s="143"/>
      <c r="AM287" s="145"/>
      <c r="AN287" s="143"/>
      <c r="AO287" s="143"/>
    </row>
    <row r="288" spans="3:41">
      <c r="C288" s="136"/>
      <c r="D288" s="136"/>
      <c r="E288" s="19"/>
      <c r="F288" s="15"/>
      <c r="G288" s="138"/>
      <c r="H288" s="138"/>
      <c r="I288" s="126"/>
      <c r="J288" s="15"/>
      <c r="K288" s="15"/>
      <c r="L288" s="20"/>
      <c r="M288" s="20"/>
      <c r="N288" s="126"/>
      <c r="O288" s="126"/>
      <c r="P288" s="126"/>
      <c r="Q288" s="171"/>
      <c r="R288" s="172"/>
      <c r="S288" s="172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43"/>
      <c r="AF288" s="143"/>
      <c r="AG288" s="143"/>
      <c r="AH288" s="143"/>
      <c r="AI288" s="143"/>
      <c r="AJ288" s="143"/>
      <c r="AK288" s="143"/>
      <c r="AL288" s="143"/>
      <c r="AM288" s="145"/>
      <c r="AN288" s="145"/>
      <c r="AO288" s="147"/>
    </row>
    <row r="289" spans="3:41">
      <c r="C289" s="136"/>
      <c r="D289" s="136"/>
      <c r="E289" s="19"/>
      <c r="F289" s="15"/>
      <c r="G289" s="138"/>
      <c r="H289" s="138"/>
      <c r="I289" s="126"/>
      <c r="J289" s="15"/>
      <c r="K289" s="15"/>
      <c r="L289" s="20"/>
      <c r="M289" s="20"/>
      <c r="N289" s="126"/>
      <c r="O289" s="126"/>
      <c r="P289" s="126"/>
      <c r="Q289" s="171"/>
      <c r="R289" s="172"/>
      <c r="S289" s="172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43"/>
      <c r="AF289" s="143"/>
      <c r="AG289" s="143"/>
      <c r="AH289" s="143"/>
      <c r="AI289" s="143"/>
      <c r="AJ289" s="143"/>
      <c r="AK289" s="143"/>
      <c r="AL289" s="143"/>
      <c r="AM289" s="145"/>
      <c r="AN289" s="145"/>
      <c r="AO289" s="151"/>
    </row>
    <row r="290" spans="3:41">
      <c r="C290" s="136"/>
      <c r="D290" s="136"/>
      <c r="E290" s="19"/>
      <c r="F290" s="15"/>
      <c r="G290" s="138"/>
      <c r="H290" s="138"/>
      <c r="I290" s="126"/>
      <c r="J290" s="15"/>
      <c r="K290" s="15"/>
      <c r="L290" s="20"/>
      <c r="M290" s="20"/>
      <c r="N290" s="126"/>
      <c r="O290" s="126"/>
      <c r="P290" s="126"/>
      <c r="Q290" s="171"/>
      <c r="R290" s="172"/>
      <c r="S290" s="172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43"/>
      <c r="AF290" s="143"/>
      <c r="AG290" s="143"/>
      <c r="AH290" s="143"/>
      <c r="AI290" s="143"/>
      <c r="AJ290" s="143"/>
      <c r="AK290" s="143"/>
      <c r="AL290" s="143"/>
      <c r="AM290" s="145"/>
      <c r="AN290" s="153"/>
      <c r="AO290" s="151"/>
    </row>
    <row r="291" spans="3:41">
      <c r="C291" s="136"/>
      <c r="D291" s="136"/>
      <c r="E291" s="19"/>
      <c r="F291" s="15"/>
      <c r="G291" s="138"/>
      <c r="H291" s="138"/>
      <c r="I291" s="126"/>
      <c r="J291" s="15"/>
      <c r="K291" s="15"/>
      <c r="L291" s="20"/>
      <c r="M291" s="20"/>
      <c r="N291" s="126"/>
      <c r="O291" s="126"/>
      <c r="P291" s="126"/>
      <c r="Q291" s="171"/>
      <c r="R291" s="172"/>
      <c r="S291" s="172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43"/>
      <c r="AF291" s="143"/>
      <c r="AG291" s="143"/>
      <c r="AH291" s="143"/>
      <c r="AI291" s="143"/>
      <c r="AJ291" s="143"/>
      <c r="AK291" s="143"/>
      <c r="AL291" s="151"/>
      <c r="AM291" s="145"/>
      <c r="AN291" s="143"/>
      <c r="AO291" s="143"/>
    </row>
    <row r="292" spans="3:41">
      <c r="C292" s="136"/>
      <c r="D292" s="136"/>
      <c r="E292" s="19"/>
      <c r="F292" s="15"/>
      <c r="G292" s="138"/>
      <c r="H292" s="138"/>
      <c r="I292" s="126"/>
      <c r="J292" s="15"/>
      <c r="K292" s="15"/>
      <c r="L292" s="20"/>
      <c r="M292" s="20"/>
      <c r="N292" s="126"/>
      <c r="O292" s="126"/>
      <c r="P292" s="126"/>
      <c r="Q292" s="171"/>
      <c r="R292" s="172"/>
      <c r="S292" s="172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43"/>
      <c r="AF292" s="143"/>
      <c r="AG292" s="143"/>
      <c r="AH292" s="143"/>
      <c r="AI292" s="143"/>
      <c r="AJ292" s="143"/>
      <c r="AK292" s="143"/>
      <c r="AL292" s="151"/>
      <c r="AM292" s="145"/>
      <c r="AN292" s="153"/>
      <c r="AO292" s="147"/>
    </row>
    <row r="293" spans="3:41">
      <c r="C293" s="136"/>
      <c r="D293" s="136"/>
      <c r="E293" s="19"/>
      <c r="F293" s="15"/>
      <c r="G293" s="138"/>
      <c r="H293" s="138"/>
      <c r="I293" s="126"/>
      <c r="J293" s="15"/>
      <c r="K293" s="15"/>
      <c r="L293" s="20"/>
      <c r="M293" s="20"/>
      <c r="N293" s="126"/>
      <c r="O293" s="126"/>
      <c r="P293" s="126"/>
      <c r="Q293" s="171"/>
      <c r="R293" s="172"/>
      <c r="S293" s="172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43"/>
      <c r="AF293" s="143"/>
      <c r="AG293" s="143"/>
      <c r="AH293" s="143"/>
      <c r="AI293" s="143"/>
      <c r="AJ293" s="143"/>
      <c r="AK293" s="143"/>
      <c r="AL293" s="151"/>
      <c r="AM293" s="145"/>
      <c r="AN293" s="143"/>
      <c r="AO293" s="147"/>
    </row>
    <row r="294" spans="3:41">
      <c r="C294" s="136"/>
      <c r="D294" s="136"/>
      <c r="E294" s="19"/>
      <c r="F294" s="15"/>
      <c r="G294" s="138"/>
      <c r="H294" s="138"/>
      <c r="I294" s="126"/>
      <c r="J294" s="15"/>
      <c r="K294" s="15"/>
      <c r="L294" s="20"/>
      <c r="M294" s="20"/>
      <c r="N294" s="126"/>
      <c r="O294" s="126"/>
      <c r="P294" s="126"/>
      <c r="Q294" s="171"/>
      <c r="R294" s="172"/>
      <c r="S294" s="172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43"/>
      <c r="AF294" s="143"/>
      <c r="AG294" s="143"/>
      <c r="AH294" s="143"/>
      <c r="AI294" s="143"/>
      <c r="AJ294" s="143"/>
      <c r="AK294" s="143"/>
      <c r="AL294" s="151"/>
      <c r="AM294" s="145"/>
      <c r="AN294" s="145"/>
      <c r="AO294" s="143"/>
    </row>
    <row r="295" spans="3:41">
      <c r="C295" s="136"/>
      <c r="D295" s="136"/>
      <c r="E295" s="19"/>
      <c r="F295" s="15"/>
      <c r="G295" s="138"/>
      <c r="H295" s="138"/>
      <c r="I295" s="126"/>
      <c r="J295" s="15"/>
      <c r="K295" s="15"/>
      <c r="L295" s="20"/>
      <c r="M295" s="20"/>
      <c r="N295" s="126"/>
      <c r="O295" s="126"/>
      <c r="P295" s="126"/>
      <c r="Q295" s="171"/>
      <c r="R295" s="172"/>
      <c r="S295" s="172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43"/>
      <c r="AF295" s="143"/>
      <c r="AG295" s="143"/>
      <c r="AH295" s="143"/>
      <c r="AI295" s="143"/>
      <c r="AJ295" s="143"/>
      <c r="AK295" s="143"/>
      <c r="AL295" s="151"/>
      <c r="AM295" s="145"/>
      <c r="AN295" s="145"/>
      <c r="AO295" s="147"/>
    </row>
    <row r="296" spans="3:41">
      <c r="C296" s="136"/>
      <c r="D296" s="136"/>
      <c r="E296" s="19"/>
      <c r="F296" s="15"/>
      <c r="G296" s="138"/>
      <c r="H296" s="138"/>
      <c r="I296" s="126"/>
      <c r="J296" s="15"/>
      <c r="K296" s="15"/>
      <c r="L296" s="20"/>
      <c r="M296" s="20"/>
      <c r="N296" s="126"/>
      <c r="O296" s="126"/>
      <c r="P296" s="126"/>
      <c r="Q296" s="171"/>
      <c r="R296" s="172"/>
      <c r="S296" s="172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43"/>
      <c r="AF296" s="143"/>
      <c r="AG296" s="143"/>
      <c r="AH296" s="143"/>
      <c r="AI296" s="143"/>
      <c r="AJ296" s="143"/>
      <c r="AK296" s="143"/>
      <c r="AL296" s="151"/>
      <c r="AM296" s="145"/>
      <c r="AN296" s="153"/>
      <c r="AO296" s="147"/>
    </row>
    <row r="297" spans="3:41">
      <c r="C297" s="136"/>
      <c r="D297" s="136"/>
      <c r="E297" s="19"/>
      <c r="F297" s="15"/>
      <c r="G297" s="138"/>
      <c r="H297" s="138"/>
      <c r="I297" s="126"/>
      <c r="J297" s="15"/>
      <c r="K297" s="15"/>
      <c r="L297" s="20"/>
      <c r="M297" s="20"/>
      <c r="N297" s="126"/>
      <c r="O297" s="126"/>
      <c r="P297" s="126"/>
      <c r="Q297" s="171"/>
      <c r="R297" s="172"/>
      <c r="S297" s="172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43"/>
      <c r="AF297" s="143"/>
      <c r="AG297" s="143"/>
      <c r="AH297" s="143"/>
      <c r="AI297" s="143"/>
      <c r="AJ297" s="143"/>
      <c r="AK297" s="143"/>
      <c r="AL297" s="151"/>
      <c r="AM297" s="145"/>
      <c r="AN297" s="145"/>
      <c r="AO297" s="147"/>
    </row>
    <row r="298" spans="3:41">
      <c r="C298" s="136"/>
      <c r="D298" s="136"/>
      <c r="E298" s="19"/>
      <c r="F298" s="15"/>
      <c r="G298" s="138"/>
      <c r="H298" s="138"/>
      <c r="I298" s="126"/>
      <c r="J298" s="15"/>
      <c r="K298" s="15"/>
      <c r="L298" s="20"/>
      <c r="M298" s="20"/>
      <c r="N298" s="126"/>
      <c r="O298" s="126"/>
      <c r="P298" s="126"/>
      <c r="Q298" s="171"/>
      <c r="R298" s="172"/>
      <c r="S298" s="172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43"/>
      <c r="AF298" s="143"/>
      <c r="AG298" s="143"/>
      <c r="AH298" s="143"/>
      <c r="AI298" s="143"/>
      <c r="AJ298" s="143"/>
      <c r="AK298" s="143"/>
      <c r="AL298" s="151"/>
      <c r="AM298" s="145"/>
      <c r="AN298" s="153"/>
      <c r="AO298" s="143"/>
    </row>
    <row r="299" spans="3:41">
      <c r="C299" s="136"/>
      <c r="D299" s="136"/>
      <c r="E299" s="19"/>
      <c r="F299" s="15"/>
      <c r="G299" s="138"/>
      <c r="H299" s="138"/>
      <c r="I299" s="126"/>
      <c r="J299" s="15"/>
      <c r="K299" s="15"/>
      <c r="L299" s="20"/>
      <c r="M299" s="20"/>
      <c r="N299" s="126"/>
      <c r="O299" s="126"/>
      <c r="P299" s="126"/>
      <c r="Q299" s="171"/>
      <c r="R299" s="173"/>
      <c r="S299" s="172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43"/>
      <c r="AF299" s="143"/>
      <c r="AG299" s="143"/>
      <c r="AH299" s="143"/>
      <c r="AI299" s="143"/>
      <c r="AJ299" s="143"/>
      <c r="AK299" s="143"/>
      <c r="AL299" s="151"/>
      <c r="AM299" s="145"/>
      <c r="AN299" s="153"/>
      <c r="AO299" s="143"/>
    </row>
    <row r="300" spans="3:41">
      <c r="C300" s="136"/>
      <c r="D300" s="136"/>
      <c r="E300" s="19"/>
      <c r="F300" s="15"/>
      <c r="G300" s="138"/>
      <c r="H300" s="138"/>
      <c r="I300" s="126"/>
      <c r="J300" s="15"/>
      <c r="K300" s="15"/>
      <c r="L300" s="20"/>
      <c r="M300" s="20"/>
      <c r="N300" s="126"/>
      <c r="O300" s="126"/>
      <c r="P300" s="126"/>
      <c r="Q300" s="171"/>
      <c r="R300" s="173"/>
      <c r="S300" s="172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43"/>
      <c r="AF300" s="143"/>
      <c r="AG300" s="143"/>
      <c r="AH300" s="143"/>
      <c r="AI300" s="143"/>
      <c r="AJ300" s="143"/>
      <c r="AK300" s="143"/>
      <c r="AL300" s="151"/>
      <c r="AM300" s="145"/>
      <c r="AN300" s="143"/>
      <c r="AO300" s="147"/>
    </row>
    <row r="301" spans="3:41">
      <c r="C301" s="136"/>
      <c r="D301" s="136"/>
      <c r="E301" s="19"/>
      <c r="F301" s="15"/>
      <c r="G301" s="138"/>
      <c r="H301" s="138"/>
      <c r="I301" s="126"/>
      <c r="J301" s="15"/>
      <c r="K301" s="15"/>
      <c r="L301" s="20"/>
      <c r="M301" s="20"/>
      <c r="N301" s="126"/>
      <c r="O301" s="126"/>
      <c r="P301" s="126"/>
      <c r="Q301" s="171"/>
      <c r="R301" s="173"/>
      <c r="S301" s="172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43"/>
      <c r="AF301" s="143"/>
      <c r="AG301" s="143"/>
      <c r="AH301" s="143"/>
      <c r="AI301" s="143"/>
      <c r="AJ301" s="143"/>
      <c r="AK301" s="143"/>
      <c r="AL301" s="151"/>
      <c r="AM301" s="145"/>
      <c r="AN301" s="143"/>
      <c r="AO301" s="143"/>
    </row>
    <row r="302" spans="3:41">
      <c r="C302" s="136"/>
      <c r="D302" s="136"/>
      <c r="E302" s="19"/>
      <c r="F302" s="15"/>
      <c r="G302" s="138"/>
      <c r="H302" s="138"/>
      <c r="I302" s="126"/>
      <c r="J302" s="15"/>
      <c r="K302" s="15"/>
      <c r="L302" s="20"/>
      <c r="M302" s="20"/>
      <c r="N302" s="126"/>
      <c r="O302" s="126"/>
      <c r="P302" s="126"/>
      <c r="Q302" s="171"/>
      <c r="R302" s="173"/>
      <c r="S302" s="172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43"/>
      <c r="AF302" s="143"/>
      <c r="AG302" s="143"/>
      <c r="AH302" s="143"/>
      <c r="AI302" s="143"/>
      <c r="AJ302" s="143"/>
      <c r="AK302" s="143"/>
      <c r="AL302" s="151"/>
      <c r="AM302" s="145"/>
      <c r="AN302" s="153"/>
      <c r="AO302" s="147"/>
    </row>
    <row r="303" spans="3:41">
      <c r="C303" s="136"/>
      <c r="D303" s="136"/>
      <c r="E303" s="19"/>
      <c r="F303" s="15"/>
      <c r="G303" s="138"/>
      <c r="H303" s="138"/>
      <c r="I303" s="126"/>
      <c r="J303" s="15"/>
      <c r="K303" s="15"/>
      <c r="L303" s="20"/>
      <c r="M303" s="20"/>
      <c r="N303" s="126"/>
      <c r="O303" s="126"/>
      <c r="P303" s="126"/>
      <c r="Q303" s="171"/>
      <c r="R303" s="173"/>
      <c r="S303" s="172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43"/>
      <c r="AF303" s="143"/>
      <c r="AG303" s="143"/>
      <c r="AH303" s="143"/>
      <c r="AI303" s="143"/>
      <c r="AJ303" s="143"/>
      <c r="AK303" s="143"/>
      <c r="AL303" s="151"/>
      <c r="AM303" s="145"/>
      <c r="AN303" s="144"/>
      <c r="AO303" s="147"/>
    </row>
    <row r="304" spans="3:41">
      <c r="C304" s="136"/>
      <c r="D304" s="136"/>
      <c r="E304" s="19"/>
      <c r="F304" s="15"/>
      <c r="G304" s="138"/>
      <c r="H304" s="138"/>
      <c r="I304" s="126"/>
      <c r="J304" s="15"/>
      <c r="K304" s="15"/>
      <c r="L304" s="20"/>
      <c r="M304" s="20"/>
      <c r="N304" s="126"/>
      <c r="O304" s="126"/>
      <c r="P304" s="126"/>
      <c r="Q304" s="171"/>
      <c r="R304" s="173"/>
      <c r="S304" s="172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43"/>
      <c r="AF304" s="143"/>
      <c r="AG304" s="143"/>
      <c r="AH304" s="143"/>
      <c r="AI304" s="143"/>
      <c r="AJ304" s="143"/>
      <c r="AK304" s="143"/>
      <c r="AL304" s="151"/>
      <c r="AM304" s="145"/>
      <c r="AN304" s="144"/>
      <c r="AO304" s="151"/>
    </row>
    <row r="305" spans="3:41">
      <c r="C305" s="136"/>
      <c r="D305" s="136"/>
      <c r="E305" s="19"/>
      <c r="F305" s="15"/>
      <c r="G305" s="138"/>
      <c r="H305" s="138"/>
      <c r="I305" s="126"/>
      <c r="J305" s="15"/>
      <c r="K305" s="15"/>
      <c r="L305" s="20"/>
      <c r="M305" s="20"/>
      <c r="N305" s="126"/>
      <c r="O305" s="126"/>
      <c r="P305" s="126"/>
      <c r="Q305" s="171"/>
      <c r="R305" s="173"/>
      <c r="S305" s="172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43"/>
      <c r="AF305" s="143"/>
      <c r="AG305" s="143"/>
      <c r="AH305" s="143"/>
      <c r="AI305" s="143"/>
      <c r="AJ305" s="143"/>
      <c r="AK305" s="143"/>
      <c r="AL305" s="151"/>
      <c r="AM305" s="145"/>
      <c r="AN305" s="144"/>
      <c r="AO305" s="151"/>
    </row>
    <row r="306" spans="3:41">
      <c r="C306" s="136"/>
      <c r="D306" s="136"/>
      <c r="E306" s="19"/>
      <c r="F306" s="15"/>
      <c r="G306" s="138"/>
      <c r="H306" s="138"/>
      <c r="I306" s="126"/>
      <c r="J306" s="15"/>
      <c r="K306" s="15"/>
      <c r="L306" s="20"/>
      <c r="M306" s="20"/>
      <c r="N306" s="126"/>
      <c r="O306" s="126"/>
      <c r="P306" s="126"/>
      <c r="Q306" s="171"/>
      <c r="R306" s="173"/>
      <c r="S306" s="172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43"/>
      <c r="AF306" s="143"/>
      <c r="AG306" s="143"/>
      <c r="AH306" s="143"/>
      <c r="AI306" s="143"/>
      <c r="AJ306" s="143"/>
      <c r="AK306" s="143"/>
      <c r="AL306" s="151"/>
      <c r="AM306" s="145"/>
      <c r="AN306" s="144"/>
      <c r="AO306" s="151"/>
    </row>
    <row r="307" spans="3:41">
      <c r="C307" s="136"/>
      <c r="D307" s="136"/>
      <c r="E307" s="19"/>
      <c r="F307" s="15"/>
      <c r="G307" s="138"/>
      <c r="H307" s="138"/>
      <c r="I307" s="126"/>
      <c r="J307" s="15"/>
      <c r="K307" s="15"/>
      <c r="L307" s="20"/>
      <c r="M307" s="20"/>
      <c r="N307" s="126"/>
      <c r="O307" s="126"/>
      <c r="P307" s="126"/>
      <c r="Q307" s="171"/>
      <c r="R307" s="173"/>
      <c r="S307" s="172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43"/>
      <c r="AF307" s="143"/>
      <c r="AG307" s="143"/>
      <c r="AH307" s="143"/>
      <c r="AI307" s="143"/>
      <c r="AJ307" s="143"/>
      <c r="AK307" s="143"/>
      <c r="AL307" s="151"/>
      <c r="AM307" s="145"/>
      <c r="AN307" s="158"/>
      <c r="AO307" s="157"/>
    </row>
    <row r="308" spans="3:41">
      <c r="C308" s="136"/>
      <c r="D308" s="136"/>
      <c r="E308" s="19"/>
      <c r="F308" s="15"/>
      <c r="G308" s="138"/>
      <c r="H308" s="138"/>
      <c r="I308" s="126"/>
      <c r="J308" s="15"/>
      <c r="K308" s="15"/>
      <c r="L308" s="20"/>
      <c r="M308" s="20"/>
      <c r="N308" s="126"/>
      <c r="O308" s="126"/>
      <c r="P308" s="126"/>
      <c r="Q308" s="171"/>
      <c r="R308" s="173"/>
      <c r="S308" s="172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43"/>
      <c r="AF308" s="143"/>
      <c r="AG308" s="143"/>
      <c r="AH308" s="143"/>
      <c r="AI308" s="143"/>
      <c r="AJ308" s="143"/>
      <c r="AK308" s="143"/>
      <c r="AL308" s="151"/>
      <c r="AM308" s="145"/>
      <c r="AN308" s="158"/>
      <c r="AO308" s="144"/>
    </row>
    <row r="309" spans="3:41">
      <c r="C309" s="136"/>
      <c r="D309" s="136"/>
      <c r="E309" s="19"/>
      <c r="F309" s="15"/>
      <c r="G309" s="138"/>
      <c r="H309" s="138"/>
      <c r="I309" s="126"/>
      <c r="J309" s="15"/>
      <c r="K309" s="15"/>
      <c r="L309" s="20"/>
      <c r="M309" s="20"/>
      <c r="N309" s="126"/>
      <c r="O309" s="126"/>
      <c r="P309" s="126"/>
      <c r="Q309" s="171"/>
      <c r="R309" s="173"/>
      <c r="S309" s="172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43"/>
      <c r="AF309" s="143"/>
      <c r="AG309" s="143"/>
      <c r="AH309" s="143"/>
      <c r="AI309" s="143"/>
      <c r="AJ309" s="143"/>
      <c r="AK309" s="143"/>
      <c r="AL309" s="151"/>
      <c r="AM309" s="145"/>
      <c r="AN309" s="153"/>
      <c r="AO309" s="144"/>
    </row>
    <row r="310" spans="3:41">
      <c r="C310" s="136"/>
      <c r="D310" s="136"/>
      <c r="E310" s="19"/>
      <c r="F310" s="15"/>
      <c r="G310" s="138"/>
      <c r="H310" s="138"/>
      <c r="I310" s="126"/>
      <c r="J310" s="15"/>
      <c r="K310" s="15"/>
      <c r="L310" s="20"/>
      <c r="M310" s="20"/>
      <c r="N310" s="126"/>
      <c r="O310" s="126"/>
      <c r="P310" s="126"/>
      <c r="Q310" s="171"/>
      <c r="R310" s="173"/>
      <c r="S310" s="172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43"/>
      <c r="AF310" s="143"/>
      <c r="AG310" s="143"/>
      <c r="AH310" s="143"/>
      <c r="AI310" s="143"/>
      <c r="AJ310" s="143"/>
      <c r="AK310" s="143"/>
      <c r="AL310" s="151"/>
      <c r="AM310" s="145"/>
      <c r="AN310" s="158"/>
      <c r="AO310" s="144"/>
    </row>
    <row r="311" spans="3:41">
      <c r="C311" s="136"/>
      <c r="D311" s="136"/>
      <c r="E311" s="19"/>
      <c r="F311" s="15"/>
      <c r="G311" s="138"/>
      <c r="H311" s="138"/>
      <c r="I311" s="126"/>
      <c r="J311" s="15"/>
      <c r="K311" s="15"/>
      <c r="L311" s="20"/>
      <c r="M311" s="20"/>
      <c r="N311" s="126"/>
      <c r="O311" s="126"/>
      <c r="P311" s="126"/>
      <c r="Q311" s="171"/>
      <c r="R311" s="173"/>
      <c r="S311" s="172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43"/>
      <c r="AF311" s="143"/>
      <c r="AG311" s="143"/>
      <c r="AH311" s="143"/>
      <c r="AI311" s="143"/>
      <c r="AJ311" s="143"/>
      <c r="AK311" s="143"/>
      <c r="AL311" s="151"/>
      <c r="AM311" s="145"/>
      <c r="AN311" s="158"/>
      <c r="AO311" s="151"/>
    </row>
    <row r="312" spans="3:41">
      <c r="C312" s="136"/>
      <c r="D312" s="136"/>
      <c r="E312" s="19"/>
      <c r="F312" s="15"/>
      <c r="G312" s="138"/>
      <c r="H312" s="138"/>
      <c r="I312" s="126"/>
      <c r="J312" s="15"/>
      <c r="K312" s="15"/>
      <c r="L312" s="20"/>
      <c r="M312" s="20"/>
      <c r="N312" s="126"/>
      <c r="O312" s="126"/>
      <c r="P312" s="126"/>
      <c r="Q312" s="171"/>
      <c r="R312" s="173"/>
      <c r="S312" s="172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43"/>
      <c r="AF312" s="143"/>
      <c r="AG312" s="143"/>
      <c r="AH312" s="143"/>
      <c r="AI312" s="143"/>
      <c r="AJ312" s="143"/>
      <c r="AK312" s="143"/>
      <c r="AL312" s="151"/>
      <c r="AM312" s="145"/>
      <c r="AN312" s="158"/>
      <c r="AO312" s="151"/>
    </row>
    <row r="313" spans="3:41">
      <c r="C313" s="136"/>
      <c r="D313" s="136"/>
      <c r="E313" s="19"/>
      <c r="F313" s="15"/>
      <c r="G313" s="138"/>
      <c r="H313" s="138"/>
      <c r="I313" s="126"/>
      <c r="J313" s="15"/>
      <c r="K313" s="15"/>
      <c r="L313" s="20"/>
      <c r="M313" s="20"/>
      <c r="N313" s="126"/>
      <c r="O313" s="126"/>
      <c r="P313" s="126"/>
      <c r="Q313" s="171"/>
      <c r="R313" s="173"/>
      <c r="S313" s="172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43"/>
      <c r="AF313" s="143"/>
      <c r="AG313" s="143"/>
      <c r="AH313" s="143"/>
      <c r="AI313" s="143"/>
      <c r="AJ313" s="143"/>
      <c r="AK313" s="143"/>
      <c r="AL313" s="151"/>
      <c r="AM313" s="145"/>
      <c r="AN313" s="158"/>
      <c r="AO313" s="146"/>
    </row>
    <row r="314" spans="3:41">
      <c r="C314" s="136"/>
      <c r="D314" s="136"/>
      <c r="E314" s="19"/>
      <c r="F314" s="15"/>
      <c r="G314" s="138"/>
      <c r="H314" s="138"/>
      <c r="I314" s="126"/>
      <c r="J314" s="15"/>
      <c r="K314" s="15"/>
      <c r="L314" s="20"/>
      <c r="M314" s="20"/>
      <c r="N314" s="126"/>
      <c r="O314" s="126"/>
      <c r="P314" s="126"/>
      <c r="Q314" s="171"/>
      <c r="R314" s="173"/>
      <c r="S314" s="172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43"/>
      <c r="AF314" s="143"/>
      <c r="AG314" s="143"/>
      <c r="AH314" s="143"/>
      <c r="AI314" s="143"/>
      <c r="AJ314" s="143"/>
      <c r="AK314" s="143"/>
      <c r="AL314" s="151"/>
      <c r="AM314" s="145"/>
      <c r="AN314" s="144"/>
      <c r="AO314" s="153"/>
    </row>
    <row r="315" spans="3:41">
      <c r="C315" s="136"/>
      <c r="D315" s="136"/>
      <c r="E315" s="19"/>
      <c r="F315" s="15"/>
      <c r="G315" s="138"/>
      <c r="H315" s="138"/>
      <c r="I315" s="126"/>
      <c r="J315" s="15"/>
      <c r="K315" s="15"/>
      <c r="L315" s="20"/>
      <c r="M315" s="20"/>
      <c r="N315" s="126"/>
      <c r="O315" s="126"/>
      <c r="P315" s="126"/>
      <c r="Q315" s="171"/>
      <c r="R315" s="173"/>
      <c r="S315" s="172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43"/>
      <c r="AF315" s="143"/>
      <c r="AG315" s="143"/>
      <c r="AH315" s="143"/>
      <c r="AI315" s="143"/>
      <c r="AJ315" s="143"/>
      <c r="AK315" s="143"/>
      <c r="AL315" s="151"/>
      <c r="AM315" s="145"/>
      <c r="AN315" s="144"/>
      <c r="AO315" s="153"/>
    </row>
    <row r="316" spans="3:41">
      <c r="C316" s="136"/>
      <c r="D316" s="136"/>
      <c r="E316" s="19"/>
      <c r="F316" s="15"/>
      <c r="G316" s="138"/>
      <c r="H316" s="138"/>
      <c r="I316" s="126"/>
      <c r="J316" s="15"/>
      <c r="K316" s="15"/>
      <c r="L316" s="20"/>
      <c r="M316" s="20"/>
      <c r="N316" s="126"/>
      <c r="O316" s="126"/>
      <c r="P316" s="126"/>
      <c r="Q316" s="171"/>
      <c r="R316" s="173"/>
      <c r="S316" s="172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43"/>
      <c r="AF316" s="143"/>
      <c r="AG316" s="143"/>
      <c r="AH316" s="143"/>
      <c r="AI316" s="143"/>
      <c r="AJ316" s="143"/>
      <c r="AK316" s="143"/>
      <c r="AL316" s="151"/>
      <c r="AM316" s="145"/>
      <c r="AN316" s="153"/>
      <c r="AO316" s="153"/>
    </row>
    <row r="317" spans="3:41">
      <c r="C317" s="136"/>
      <c r="D317" s="136"/>
      <c r="E317" s="19"/>
      <c r="F317" s="15"/>
      <c r="G317" s="138"/>
      <c r="H317" s="138"/>
      <c r="I317" s="126"/>
      <c r="J317" s="15"/>
      <c r="K317" s="15"/>
      <c r="L317" s="20"/>
      <c r="M317" s="20"/>
      <c r="N317" s="126"/>
      <c r="O317" s="126"/>
      <c r="P317" s="126"/>
      <c r="Q317" s="171"/>
      <c r="R317" s="173"/>
      <c r="S317" s="172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43"/>
      <c r="AF317" s="143"/>
      <c r="AG317" s="143"/>
      <c r="AH317" s="143"/>
      <c r="AI317" s="143"/>
      <c r="AJ317" s="143"/>
      <c r="AK317" s="143"/>
      <c r="AL317" s="151"/>
      <c r="AM317" s="145"/>
      <c r="AN317" s="153"/>
      <c r="AO317" s="153"/>
    </row>
    <row r="318" spans="3:41">
      <c r="C318" s="136"/>
      <c r="D318" s="136"/>
      <c r="E318" s="19"/>
      <c r="F318" s="15"/>
      <c r="G318" s="138"/>
      <c r="H318" s="138"/>
      <c r="I318" s="126"/>
      <c r="J318" s="15"/>
      <c r="K318" s="15"/>
      <c r="L318" s="20"/>
      <c r="M318" s="20"/>
      <c r="N318" s="126"/>
      <c r="O318" s="126"/>
      <c r="P318" s="126"/>
      <c r="Q318" s="171"/>
      <c r="R318" s="173"/>
      <c r="S318" s="172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43"/>
      <c r="AF318" s="143"/>
      <c r="AG318" s="143"/>
      <c r="AH318" s="143"/>
      <c r="AI318" s="143"/>
      <c r="AJ318" s="143"/>
      <c r="AK318" s="143"/>
      <c r="AL318" s="151"/>
      <c r="AM318" s="145"/>
      <c r="AN318" s="153"/>
      <c r="AO318" s="153"/>
    </row>
    <row r="319" spans="3:41">
      <c r="C319" s="136"/>
      <c r="D319" s="136"/>
      <c r="E319" s="19"/>
      <c r="F319" s="15"/>
      <c r="G319" s="138"/>
      <c r="H319" s="138"/>
      <c r="I319" s="126"/>
      <c r="J319" s="15"/>
      <c r="K319" s="15"/>
      <c r="L319" s="20"/>
      <c r="M319" s="20"/>
      <c r="N319" s="126"/>
      <c r="O319" s="126"/>
      <c r="P319" s="126"/>
      <c r="Q319" s="171"/>
      <c r="R319" s="173"/>
      <c r="S319" s="172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43"/>
      <c r="AF319" s="143"/>
      <c r="AG319" s="143"/>
      <c r="AH319" s="143"/>
      <c r="AI319" s="143"/>
      <c r="AJ319" s="143"/>
      <c r="AK319" s="143"/>
      <c r="AL319" s="151"/>
      <c r="AM319" s="145"/>
      <c r="AN319" s="158"/>
      <c r="AO319" s="153"/>
    </row>
    <row r="320" spans="3:41">
      <c r="C320" s="136"/>
      <c r="D320" s="136"/>
      <c r="E320" s="19"/>
      <c r="F320" s="15"/>
      <c r="G320" s="138"/>
      <c r="H320" s="138"/>
      <c r="I320" s="126"/>
      <c r="J320" s="15"/>
      <c r="K320" s="15"/>
      <c r="L320" s="20"/>
      <c r="M320" s="20"/>
      <c r="N320" s="126"/>
      <c r="O320" s="126"/>
      <c r="P320" s="126"/>
      <c r="Q320" s="171"/>
      <c r="R320" s="173"/>
      <c r="S320" s="172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43"/>
      <c r="AF320" s="143"/>
      <c r="AG320" s="143"/>
      <c r="AH320" s="143"/>
      <c r="AI320" s="143"/>
      <c r="AJ320" s="143"/>
      <c r="AK320" s="143"/>
      <c r="AL320" s="151"/>
      <c r="AM320" s="145"/>
      <c r="AN320" s="144"/>
      <c r="AO320" s="153"/>
    </row>
    <row r="321" spans="3:41">
      <c r="C321" s="136"/>
      <c r="D321" s="136"/>
      <c r="E321" s="19"/>
      <c r="F321" s="15"/>
      <c r="G321" s="138"/>
      <c r="H321" s="138"/>
      <c r="I321" s="126"/>
      <c r="J321" s="15"/>
      <c r="K321" s="15"/>
      <c r="L321" s="20"/>
      <c r="M321" s="20"/>
      <c r="N321" s="126"/>
      <c r="O321" s="126"/>
      <c r="P321" s="126"/>
      <c r="Q321" s="171"/>
      <c r="R321" s="173"/>
      <c r="S321" s="172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43"/>
      <c r="AF321" s="143"/>
      <c r="AG321" s="143"/>
      <c r="AH321" s="143"/>
      <c r="AI321" s="143"/>
      <c r="AJ321" s="143"/>
      <c r="AK321" s="143"/>
      <c r="AL321" s="151"/>
      <c r="AM321" s="145"/>
      <c r="AN321" s="144"/>
      <c r="AO321" s="155"/>
    </row>
    <row r="322" spans="3:41">
      <c r="C322" s="136"/>
      <c r="D322" s="136"/>
      <c r="E322" s="19"/>
      <c r="F322" s="15"/>
      <c r="G322" s="138"/>
      <c r="H322" s="138"/>
      <c r="I322" s="126"/>
      <c r="J322" s="15"/>
      <c r="K322" s="15"/>
      <c r="L322" s="20"/>
      <c r="M322" s="20"/>
      <c r="N322" s="126"/>
      <c r="O322" s="126"/>
      <c r="P322" s="126"/>
      <c r="Q322" s="171"/>
      <c r="R322" s="173"/>
      <c r="S322" s="172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43"/>
      <c r="AF322" s="143"/>
      <c r="AG322" s="143"/>
      <c r="AH322" s="143"/>
      <c r="AI322" s="143"/>
      <c r="AJ322" s="143"/>
      <c r="AK322" s="143"/>
      <c r="AL322" s="151"/>
      <c r="AM322" s="145"/>
      <c r="AN322" s="144"/>
      <c r="AO322" s="153"/>
    </row>
    <row r="323" spans="3:41">
      <c r="C323" s="136"/>
      <c r="D323" s="136"/>
      <c r="E323" s="19"/>
      <c r="F323" s="15"/>
      <c r="G323" s="138"/>
      <c r="H323" s="138"/>
      <c r="I323" s="126"/>
      <c r="J323" s="15"/>
      <c r="K323" s="15"/>
      <c r="L323" s="20"/>
      <c r="M323" s="20"/>
      <c r="N323" s="126"/>
      <c r="O323" s="126"/>
      <c r="P323" s="126"/>
      <c r="Q323" s="171"/>
      <c r="R323" s="173"/>
      <c r="S323" s="172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43"/>
      <c r="AF323" s="143"/>
      <c r="AG323" s="143"/>
      <c r="AH323" s="143"/>
      <c r="AI323" s="143"/>
      <c r="AJ323" s="143"/>
      <c r="AK323" s="143"/>
      <c r="AL323" s="151"/>
      <c r="AM323" s="145"/>
      <c r="AN323" s="144"/>
      <c r="AO323" s="155"/>
    </row>
    <row r="324" spans="3:41">
      <c r="C324" s="136"/>
      <c r="D324" s="136"/>
      <c r="E324" s="19"/>
      <c r="F324" s="15"/>
      <c r="G324" s="138"/>
      <c r="H324" s="138"/>
      <c r="I324" s="126"/>
      <c r="J324" s="15"/>
      <c r="K324" s="15"/>
      <c r="L324" s="20"/>
      <c r="M324" s="20"/>
      <c r="N324" s="126"/>
      <c r="O324" s="126"/>
      <c r="P324" s="126"/>
      <c r="Q324" s="171"/>
      <c r="R324" s="172"/>
      <c r="S324" s="172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43"/>
      <c r="AF324" s="143"/>
      <c r="AG324" s="143"/>
      <c r="AH324" s="143"/>
      <c r="AI324" s="143"/>
      <c r="AJ324" s="143"/>
      <c r="AK324" s="143"/>
      <c r="AL324" s="151"/>
      <c r="AM324" s="145"/>
      <c r="AN324" s="144"/>
      <c r="AO324" s="152"/>
    </row>
    <row r="325" spans="3:41">
      <c r="C325" s="136"/>
      <c r="D325" s="136"/>
      <c r="E325" s="19"/>
      <c r="F325" s="15"/>
      <c r="G325" s="138"/>
      <c r="H325" s="138"/>
      <c r="I325" s="126"/>
      <c r="J325" s="15"/>
      <c r="K325" s="15"/>
      <c r="L325" s="20"/>
      <c r="M325" s="20"/>
      <c r="N325" s="126"/>
      <c r="O325" s="126"/>
      <c r="P325" s="126"/>
      <c r="Q325" s="171"/>
      <c r="R325" s="172"/>
      <c r="S325" s="172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43"/>
      <c r="AF325" s="143"/>
      <c r="AG325" s="143"/>
      <c r="AH325" s="143"/>
      <c r="AI325" s="143"/>
      <c r="AJ325" s="143"/>
      <c r="AK325" s="143"/>
      <c r="AL325" s="151"/>
      <c r="AM325" s="145"/>
      <c r="AN325" s="153"/>
      <c r="AO325" s="153"/>
    </row>
    <row r="326" spans="3:41">
      <c r="C326" s="136"/>
      <c r="D326" s="136"/>
      <c r="E326" s="19"/>
      <c r="F326" s="15"/>
      <c r="G326" s="138"/>
      <c r="H326" s="138"/>
      <c r="I326" s="126"/>
      <c r="J326" s="15"/>
      <c r="K326" s="15"/>
      <c r="L326" s="20"/>
      <c r="M326" s="20"/>
      <c r="N326" s="126"/>
      <c r="O326" s="126"/>
      <c r="P326" s="126"/>
      <c r="Q326" s="171"/>
      <c r="R326" s="172"/>
      <c r="S326" s="172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43"/>
      <c r="AF326" s="143"/>
      <c r="AG326" s="143"/>
      <c r="AH326" s="143"/>
      <c r="AI326" s="143"/>
      <c r="AJ326" s="143"/>
      <c r="AK326" s="143"/>
      <c r="AL326" s="151"/>
      <c r="AM326" s="145"/>
      <c r="AN326" s="144"/>
      <c r="AO326" s="153"/>
    </row>
    <row r="327" spans="3:41">
      <c r="C327" s="136"/>
      <c r="D327" s="136"/>
      <c r="E327" s="19"/>
      <c r="F327" s="15"/>
      <c r="G327" s="138"/>
      <c r="H327" s="138"/>
      <c r="I327" s="126"/>
      <c r="J327" s="15"/>
      <c r="K327" s="15"/>
      <c r="L327" s="20"/>
      <c r="M327" s="20"/>
      <c r="N327" s="126"/>
      <c r="O327" s="126"/>
      <c r="P327" s="126"/>
      <c r="Q327" s="171"/>
      <c r="R327" s="172"/>
      <c r="S327" s="172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43"/>
      <c r="AF327" s="143"/>
      <c r="AG327" s="143"/>
      <c r="AH327" s="143"/>
      <c r="AI327" s="143"/>
      <c r="AJ327" s="143"/>
      <c r="AK327" s="143"/>
      <c r="AL327" s="151"/>
      <c r="AM327" s="145"/>
      <c r="AN327" s="144"/>
      <c r="AO327" s="155"/>
    </row>
    <row r="328" spans="3:41">
      <c r="C328" s="136"/>
      <c r="D328" s="136"/>
      <c r="E328" s="19"/>
      <c r="F328" s="15"/>
      <c r="G328" s="138"/>
      <c r="H328" s="138"/>
      <c r="I328" s="126"/>
      <c r="J328" s="15"/>
      <c r="K328" s="15"/>
      <c r="L328" s="20"/>
      <c r="M328" s="20"/>
      <c r="N328" s="126"/>
      <c r="O328" s="126"/>
      <c r="P328" s="126"/>
      <c r="Q328" s="171"/>
      <c r="R328" s="172"/>
      <c r="S328" s="172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43"/>
      <c r="AF328" s="143"/>
      <c r="AG328" s="143"/>
      <c r="AH328" s="143"/>
      <c r="AI328" s="143"/>
      <c r="AJ328" s="143"/>
      <c r="AK328" s="143"/>
      <c r="AL328" s="151"/>
      <c r="AM328" s="145"/>
      <c r="AN328" s="144"/>
      <c r="AO328" s="153"/>
    </row>
    <row r="329" spans="3:41">
      <c r="C329" s="136"/>
      <c r="D329" s="136"/>
      <c r="E329" s="19"/>
      <c r="F329" s="15"/>
      <c r="G329" s="138"/>
      <c r="H329" s="138"/>
      <c r="I329" s="126"/>
      <c r="J329" s="15"/>
      <c r="K329" s="15"/>
      <c r="L329" s="20"/>
      <c r="M329" s="20"/>
      <c r="N329" s="126"/>
      <c r="O329" s="126"/>
      <c r="P329" s="126"/>
      <c r="Q329" s="171"/>
      <c r="R329" s="172"/>
      <c r="S329" s="172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43"/>
      <c r="AF329" s="143"/>
      <c r="AG329" s="143"/>
      <c r="AH329" s="143"/>
      <c r="AI329" s="186"/>
      <c r="AJ329" s="143"/>
      <c r="AK329" s="143"/>
      <c r="AL329" s="151"/>
      <c r="AM329" s="145"/>
      <c r="AN329" s="144"/>
      <c r="AO329" s="153"/>
    </row>
    <row r="330" spans="3:41">
      <c r="C330" s="136"/>
      <c r="D330" s="136"/>
      <c r="E330" s="19"/>
      <c r="F330" s="15"/>
      <c r="G330" s="138"/>
      <c r="H330" s="138"/>
      <c r="I330" s="126"/>
      <c r="J330" s="15"/>
      <c r="K330" s="15"/>
      <c r="L330" s="20"/>
      <c r="M330" s="20"/>
      <c r="N330" s="126"/>
      <c r="O330" s="126"/>
      <c r="P330" s="126"/>
      <c r="Q330" s="171"/>
      <c r="R330" s="172"/>
      <c r="S330" s="172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43"/>
      <c r="AF330" s="143"/>
      <c r="AG330" s="143"/>
      <c r="AH330" s="143"/>
      <c r="AI330" s="143"/>
      <c r="AJ330" s="143"/>
      <c r="AK330" s="143"/>
      <c r="AL330" s="151"/>
      <c r="AM330" s="145"/>
      <c r="AN330" s="153"/>
      <c r="AO330" s="153"/>
    </row>
    <row r="331" spans="3:41">
      <c r="C331" s="136"/>
      <c r="D331" s="136"/>
      <c r="E331" s="19"/>
      <c r="F331" s="15"/>
      <c r="G331" s="138"/>
      <c r="H331" s="138"/>
      <c r="I331" s="126"/>
      <c r="J331" s="15"/>
      <c r="K331" s="15"/>
      <c r="L331" s="20"/>
      <c r="M331" s="20"/>
      <c r="N331" s="126"/>
      <c r="O331" s="126"/>
      <c r="P331" s="126"/>
      <c r="Q331" s="171"/>
      <c r="R331" s="172"/>
      <c r="S331" s="172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43"/>
      <c r="AF331" s="143"/>
      <c r="AG331" s="143"/>
      <c r="AH331" s="143"/>
      <c r="AI331" s="143"/>
      <c r="AJ331" s="143"/>
      <c r="AK331" s="143"/>
      <c r="AL331" s="151"/>
      <c r="AM331" s="145"/>
      <c r="AN331" s="144"/>
      <c r="AO331" s="153"/>
    </row>
    <row r="332" spans="3:41">
      <c r="C332" s="136"/>
      <c r="D332" s="136"/>
      <c r="E332" s="19"/>
      <c r="F332" s="15"/>
      <c r="G332" s="138"/>
      <c r="H332" s="138"/>
      <c r="I332" s="126"/>
      <c r="J332" s="15"/>
      <c r="K332" s="15"/>
      <c r="L332" s="20"/>
      <c r="M332" s="20"/>
      <c r="N332" s="126"/>
      <c r="O332" s="126"/>
      <c r="P332" s="126"/>
      <c r="Q332" s="171"/>
      <c r="R332" s="172"/>
      <c r="S332" s="172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43"/>
      <c r="AF332" s="143"/>
      <c r="AG332" s="143"/>
      <c r="AH332" s="143"/>
      <c r="AI332" s="143"/>
      <c r="AJ332" s="143"/>
      <c r="AK332" s="143"/>
      <c r="AL332" s="151"/>
      <c r="AM332" s="145"/>
      <c r="AN332" s="144"/>
      <c r="AO332" s="153"/>
    </row>
    <row r="333" spans="3:41">
      <c r="C333" s="136"/>
      <c r="D333" s="136"/>
      <c r="E333" s="19"/>
      <c r="F333" s="15"/>
      <c r="G333" s="138"/>
      <c r="H333" s="138"/>
      <c r="I333" s="126"/>
      <c r="J333" s="15"/>
      <c r="K333" s="15"/>
      <c r="L333" s="20"/>
      <c r="M333" s="20"/>
      <c r="N333" s="126"/>
      <c r="O333" s="126"/>
      <c r="P333" s="126"/>
      <c r="Q333" s="171"/>
      <c r="R333" s="172"/>
      <c r="S333" s="172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43"/>
      <c r="AF333" s="143"/>
      <c r="AG333" s="143"/>
      <c r="AH333" s="143"/>
      <c r="AI333" s="143"/>
      <c r="AJ333" s="143"/>
      <c r="AK333" s="143"/>
      <c r="AL333" s="158"/>
      <c r="AM333" s="145"/>
      <c r="AN333" s="144"/>
      <c r="AO333" s="153"/>
    </row>
    <row r="334" spans="3:41">
      <c r="C334" s="136"/>
      <c r="D334" s="136"/>
      <c r="E334" s="19"/>
      <c r="F334" s="15"/>
      <c r="G334" s="138"/>
      <c r="H334" s="138"/>
      <c r="I334" s="126"/>
      <c r="J334" s="15"/>
      <c r="K334" s="15"/>
      <c r="L334" s="20"/>
      <c r="M334" s="20"/>
      <c r="N334" s="126"/>
      <c r="O334" s="126"/>
      <c r="P334" s="126"/>
      <c r="Q334" s="171"/>
      <c r="R334" s="172"/>
      <c r="S334" s="172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43"/>
      <c r="AF334" s="143"/>
      <c r="AG334" s="143"/>
      <c r="AH334" s="143"/>
      <c r="AI334" s="143"/>
      <c r="AJ334" s="143"/>
      <c r="AK334" s="143"/>
      <c r="AL334" s="151"/>
      <c r="AM334" s="145"/>
      <c r="AN334" s="144"/>
      <c r="AO334" s="153"/>
    </row>
    <row r="335" spans="3:41">
      <c r="C335" s="136"/>
      <c r="D335" s="136"/>
      <c r="E335" s="19"/>
      <c r="F335" s="15"/>
      <c r="G335" s="138"/>
      <c r="H335" s="138"/>
      <c r="I335" s="126"/>
      <c r="J335" s="15"/>
      <c r="K335" s="15"/>
      <c r="L335" s="20"/>
      <c r="M335" s="20"/>
      <c r="N335" s="126"/>
      <c r="O335" s="126"/>
      <c r="P335" s="126"/>
      <c r="Q335" s="171"/>
      <c r="R335" s="172"/>
      <c r="S335" s="172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43"/>
      <c r="AF335" s="143"/>
      <c r="AG335" s="143"/>
      <c r="AH335" s="143"/>
      <c r="AI335" s="143"/>
      <c r="AJ335" s="143"/>
      <c r="AK335" s="143"/>
      <c r="AL335" s="158"/>
      <c r="AM335" s="145"/>
      <c r="AN335" s="157"/>
      <c r="AO335" s="155"/>
    </row>
    <row r="336" spans="3:41">
      <c r="C336" s="136"/>
      <c r="D336" s="136"/>
      <c r="E336" s="19"/>
      <c r="F336" s="15"/>
      <c r="G336" s="138"/>
      <c r="H336" s="138"/>
      <c r="I336" s="126"/>
      <c r="J336" s="15"/>
      <c r="K336" s="15"/>
      <c r="L336" s="20"/>
      <c r="M336" s="20"/>
      <c r="N336" s="126"/>
      <c r="O336" s="126"/>
      <c r="P336" s="126"/>
      <c r="Q336" s="171"/>
      <c r="R336" s="172"/>
      <c r="S336" s="172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43"/>
      <c r="AF336" s="143"/>
      <c r="AG336" s="143"/>
      <c r="AH336" s="143"/>
      <c r="AI336" s="143"/>
      <c r="AJ336" s="143"/>
      <c r="AK336" s="143"/>
      <c r="AL336" s="151"/>
      <c r="AM336" s="145"/>
      <c r="AN336" s="157"/>
      <c r="AO336" s="153"/>
    </row>
    <row r="337" spans="3:41">
      <c r="C337" s="136"/>
      <c r="D337" s="136"/>
      <c r="E337" s="19"/>
      <c r="F337" s="15"/>
      <c r="G337" s="138"/>
      <c r="H337" s="138"/>
      <c r="I337" s="126"/>
      <c r="J337" s="15"/>
      <c r="K337" s="15"/>
      <c r="L337" s="20"/>
      <c r="M337" s="20"/>
      <c r="N337" s="126"/>
      <c r="O337" s="126"/>
      <c r="P337" s="126"/>
      <c r="Q337" s="171"/>
      <c r="R337" s="172"/>
      <c r="S337" s="172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43"/>
      <c r="AF337" s="143"/>
      <c r="AG337" s="143"/>
      <c r="AH337" s="143"/>
      <c r="AI337" s="143"/>
      <c r="AJ337" s="143"/>
      <c r="AK337" s="143"/>
      <c r="AL337" s="158"/>
      <c r="AM337" s="145"/>
      <c r="AN337" s="144"/>
      <c r="AO337" s="146"/>
    </row>
    <row r="338" spans="3:41">
      <c r="C338" s="136"/>
      <c r="D338" s="136"/>
      <c r="E338" s="19"/>
      <c r="F338" s="15"/>
      <c r="G338" s="138"/>
      <c r="H338" s="138"/>
      <c r="I338" s="126"/>
      <c r="J338" s="15"/>
      <c r="K338" s="15"/>
      <c r="L338" s="20"/>
      <c r="M338" s="20"/>
      <c r="N338" s="126"/>
      <c r="O338" s="126"/>
      <c r="P338" s="126"/>
      <c r="Q338" s="171"/>
      <c r="R338" s="172"/>
      <c r="S338" s="172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43"/>
      <c r="AF338" s="143"/>
      <c r="AG338" s="143"/>
      <c r="AH338" s="143"/>
      <c r="AI338" s="143"/>
      <c r="AJ338" s="143"/>
      <c r="AK338" s="143"/>
      <c r="AL338" s="151"/>
      <c r="AM338" s="145"/>
      <c r="AN338" s="144"/>
      <c r="AO338" s="146"/>
    </row>
    <row r="339" spans="3:41">
      <c r="C339" s="136"/>
      <c r="D339" s="136"/>
      <c r="E339" s="19"/>
      <c r="F339" s="15"/>
      <c r="G339" s="138"/>
      <c r="H339" s="138"/>
      <c r="I339" s="126"/>
      <c r="J339" s="15"/>
      <c r="K339" s="15"/>
      <c r="L339" s="20"/>
      <c r="M339" s="20"/>
      <c r="N339" s="126"/>
      <c r="O339" s="126"/>
      <c r="P339" s="126"/>
      <c r="Q339" s="171"/>
      <c r="R339" s="172"/>
      <c r="S339" s="172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43"/>
      <c r="AF339" s="143"/>
      <c r="AG339" s="143"/>
      <c r="AH339" s="143"/>
      <c r="AI339" s="143"/>
      <c r="AJ339" s="143"/>
      <c r="AK339" s="143"/>
      <c r="AL339" s="151"/>
      <c r="AM339" s="145"/>
      <c r="AN339" s="144"/>
      <c r="AO339" s="146"/>
    </row>
    <row r="340" spans="3:41">
      <c r="C340" s="136"/>
      <c r="D340" s="136"/>
      <c r="E340" s="19"/>
      <c r="F340" s="15"/>
      <c r="G340" s="138"/>
      <c r="H340" s="138"/>
      <c r="I340" s="126"/>
      <c r="J340" s="15"/>
      <c r="K340" s="15"/>
      <c r="L340" s="20"/>
      <c r="M340" s="20"/>
      <c r="N340" s="126"/>
      <c r="O340" s="126"/>
      <c r="P340" s="126"/>
      <c r="Q340" s="171"/>
      <c r="R340" s="172"/>
      <c r="S340" s="172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43"/>
      <c r="AF340" s="143"/>
      <c r="AG340" s="143"/>
      <c r="AH340" s="143"/>
      <c r="AI340" s="143"/>
      <c r="AJ340" s="143"/>
      <c r="AK340" s="143"/>
      <c r="AL340" s="151"/>
      <c r="AM340" s="145"/>
      <c r="AN340" s="157"/>
      <c r="AO340" s="146"/>
    </row>
    <row r="341" spans="3:41">
      <c r="C341" s="136"/>
      <c r="D341" s="136"/>
      <c r="E341" s="19"/>
      <c r="F341" s="15"/>
      <c r="G341" s="138"/>
      <c r="H341" s="138"/>
      <c r="I341" s="126"/>
      <c r="J341" s="15"/>
      <c r="K341" s="15"/>
      <c r="L341" s="20"/>
      <c r="M341" s="20"/>
      <c r="N341" s="126"/>
      <c r="O341" s="126"/>
      <c r="P341" s="126"/>
      <c r="Q341" s="171"/>
      <c r="R341" s="172"/>
      <c r="S341" s="172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43"/>
      <c r="AF341" s="143"/>
      <c r="AG341" s="143"/>
      <c r="AH341" s="143"/>
      <c r="AI341" s="143"/>
      <c r="AJ341" s="143"/>
      <c r="AK341" s="143"/>
      <c r="AL341" s="151"/>
      <c r="AM341" s="145"/>
      <c r="AN341" s="144"/>
      <c r="AO341" s="146"/>
    </row>
    <row r="342" spans="3:41">
      <c r="C342" s="136"/>
      <c r="D342" s="136"/>
      <c r="E342" s="19"/>
      <c r="F342" s="15"/>
      <c r="G342" s="138"/>
      <c r="H342" s="138"/>
      <c r="I342" s="126"/>
      <c r="J342" s="15"/>
      <c r="K342" s="15"/>
      <c r="L342" s="20"/>
      <c r="M342" s="20"/>
      <c r="N342" s="126"/>
      <c r="O342" s="126"/>
      <c r="P342" s="126"/>
      <c r="Q342" s="171"/>
      <c r="R342" s="172"/>
      <c r="S342" s="172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43"/>
      <c r="AF342" s="143"/>
      <c r="AG342" s="143"/>
      <c r="AH342" s="143"/>
      <c r="AI342" s="143"/>
      <c r="AJ342" s="143"/>
      <c r="AK342" s="143"/>
      <c r="AL342" s="151"/>
      <c r="AM342" s="145"/>
      <c r="AN342" s="144"/>
      <c r="AO342" s="146"/>
    </row>
    <row r="343" spans="3:41">
      <c r="C343" s="136"/>
      <c r="D343" s="136"/>
      <c r="E343" s="19"/>
      <c r="F343" s="15"/>
      <c r="G343" s="138"/>
      <c r="H343" s="138"/>
      <c r="I343" s="126"/>
      <c r="J343" s="15"/>
      <c r="K343" s="15"/>
      <c r="L343" s="20"/>
      <c r="M343" s="20"/>
      <c r="N343" s="126"/>
      <c r="O343" s="126"/>
      <c r="P343" s="126"/>
      <c r="Q343" s="171"/>
      <c r="R343" s="172"/>
      <c r="S343" s="172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43"/>
      <c r="AF343" s="143"/>
      <c r="AG343" s="143"/>
      <c r="AH343" s="143"/>
      <c r="AI343" s="143"/>
      <c r="AJ343" s="143"/>
      <c r="AK343" s="143"/>
      <c r="AL343" s="151"/>
      <c r="AM343" s="145"/>
      <c r="AN343" s="157"/>
      <c r="AO343" s="147"/>
    </row>
    <row r="344" spans="3:41">
      <c r="C344" s="136"/>
      <c r="D344" s="136"/>
      <c r="E344" s="19"/>
      <c r="F344" s="15"/>
      <c r="G344" s="138"/>
      <c r="H344" s="138"/>
      <c r="I344" s="126"/>
      <c r="J344" s="15"/>
      <c r="K344" s="15"/>
      <c r="L344" s="20"/>
      <c r="M344" s="20"/>
      <c r="N344" s="126"/>
      <c r="O344" s="126"/>
      <c r="P344" s="126"/>
      <c r="Q344" s="171"/>
      <c r="R344" s="172"/>
      <c r="S344" s="172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43"/>
      <c r="AF344" s="143"/>
      <c r="AG344" s="143"/>
      <c r="AH344" s="143"/>
      <c r="AI344" s="143"/>
      <c r="AJ344" s="143"/>
      <c r="AK344" s="143"/>
      <c r="AL344" s="158"/>
      <c r="AM344" s="145"/>
      <c r="AN344" s="144"/>
      <c r="AO344" s="146"/>
    </row>
    <row r="345" spans="3:41">
      <c r="C345" s="136"/>
      <c r="D345" s="136"/>
      <c r="E345" s="19"/>
      <c r="F345" s="15"/>
      <c r="G345" s="138"/>
      <c r="H345" s="138"/>
      <c r="I345" s="126"/>
      <c r="J345" s="15"/>
      <c r="K345" s="15"/>
      <c r="L345" s="20"/>
      <c r="M345" s="20"/>
      <c r="N345" s="126"/>
      <c r="O345" s="126"/>
      <c r="P345" s="126"/>
      <c r="Q345" s="171"/>
      <c r="R345" s="172"/>
      <c r="S345" s="172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43"/>
      <c r="AF345" s="143"/>
      <c r="AG345" s="143"/>
      <c r="AH345" s="143"/>
      <c r="AI345" s="143"/>
      <c r="AJ345" s="143"/>
      <c r="AK345" s="143"/>
      <c r="AL345" s="151"/>
      <c r="AM345" s="145"/>
      <c r="AN345" s="144"/>
      <c r="AO345" s="146"/>
    </row>
    <row r="346" spans="3:41">
      <c r="C346" s="136"/>
      <c r="D346" s="136"/>
      <c r="E346" s="19"/>
      <c r="F346" s="15"/>
      <c r="G346" s="138"/>
      <c r="H346" s="138"/>
      <c r="I346" s="126"/>
      <c r="J346" s="15"/>
      <c r="K346" s="15"/>
      <c r="L346" s="20"/>
      <c r="M346" s="20"/>
      <c r="N346" s="126"/>
      <c r="O346" s="126"/>
      <c r="P346" s="126"/>
      <c r="Q346" s="171"/>
      <c r="R346" s="172"/>
      <c r="S346" s="172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43"/>
      <c r="AF346" s="143"/>
      <c r="AG346" s="143"/>
      <c r="AH346" s="143"/>
      <c r="AI346" s="143"/>
      <c r="AJ346" s="143"/>
      <c r="AK346" s="143"/>
      <c r="AL346" s="151"/>
      <c r="AM346" s="145"/>
      <c r="AN346" s="157"/>
      <c r="AO346" s="146"/>
    </row>
    <row r="347" spans="3:41">
      <c r="C347" s="136"/>
      <c r="D347" s="136"/>
      <c r="E347" s="19"/>
      <c r="F347" s="15"/>
      <c r="G347" s="138"/>
      <c r="H347" s="138"/>
      <c r="I347" s="126"/>
      <c r="J347" s="15"/>
      <c r="K347" s="15"/>
      <c r="L347" s="20"/>
      <c r="M347" s="20"/>
      <c r="N347" s="126"/>
      <c r="O347" s="126"/>
      <c r="P347" s="126"/>
      <c r="Q347" s="171"/>
      <c r="R347" s="172"/>
      <c r="S347" s="172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43"/>
      <c r="AF347" s="143"/>
      <c r="AG347" s="143"/>
      <c r="AH347" s="143"/>
      <c r="AI347" s="143"/>
      <c r="AJ347" s="143"/>
      <c r="AK347" s="143"/>
      <c r="AL347" s="151"/>
      <c r="AM347" s="145"/>
      <c r="AN347" s="157"/>
      <c r="AO347" s="147"/>
    </row>
    <row r="348" spans="3:41">
      <c r="C348" s="136"/>
      <c r="D348" s="136"/>
      <c r="E348" s="19"/>
      <c r="F348" s="15"/>
      <c r="G348" s="138"/>
      <c r="H348" s="138"/>
      <c r="I348" s="126"/>
      <c r="J348" s="15"/>
      <c r="K348" s="15"/>
      <c r="L348" s="20"/>
      <c r="M348" s="20"/>
      <c r="N348" s="126"/>
      <c r="O348" s="126"/>
      <c r="P348" s="126"/>
      <c r="Q348" s="171"/>
      <c r="R348" s="172"/>
      <c r="S348" s="172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43"/>
      <c r="AF348" s="143"/>
      <c r="AG348" s="143"/>
      <c r="AH348" s="143"/>
      <c r="AI348" s="143"/>
      <c r="AJ348" s="143"/>
      <c r="AK348" s="143"/>
      <c r="AL348" s="151"/>
      <c r="AM348" s="145"/>
      <c r="AN348" s="157"/>
      <c r="AO348" s="146"/>
    </row>
    <row r="349" spans="3:41">
      <c r="C349" s="136"/>
      <c r="D349" s="136"/>
      <c r="E349" s="19"/>
      <c r="F349" s="15"/>
      <c r="G349" s="138"/>
      <c r="H349" s="138"/>
      <c r="I349" s="126"/>
      <c r="J349" s="15"/>
      <c r="K349" s="15"/>
      <c r="L349" s="20"/>
      <c r="M349" s="20"/>
      <c r="N349" s="126"/>
      <c r="O349" s="126"/>
      <c r="P349" s="126"/>
      <c r="Q349" s="171"/>
      <c r="R349" s="172"/>
      <c r="S349" s="172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43"/>
      <c r="AF349" s="143"/>
      <c r="AG349" s="143"/>
      <c r="AH349" s="143"/>
      <c r="AI349" s="143"/>
      <c r="AJ349" s="143"/>
      <c r="AK349" s="143"/>
      <c r="AL349" s="158"/>
      <c r="AM349" s="145"/>
      <c r="AN349" s="157"/>
      <c r="AO349" s="146"/>
    </row>
    <row r="350" spans="3:41">
      <c r="C350" s="136"/>
      <c r="D350" s="136"/>
      <c r="E350" s="19"/>
      <c r="F350" s="15"/>
      <c r="G350" s="138"/>
      <c r="H350" s="138"/>
      <c r="I350" s="126"/>
      <c r="J350" s="15"/>
      <c r="K350" s="15"/>
      <c r="L350" s="20"/>
      <c r="M350" s="20"/>
      <c r="N350" s="126"/>
      <c r="O350" s="126"/>
      <c r="P350" s="126"/>
      <c r="Q350" s="171"/>
      <c r="R350" s="172"/>
      <c r="S350" s="172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43"/>
      <c r="AF350" s="143"/>
      <c r="AG350" s="143"/>
      <c r="AH350" s="143"/>
      <c r="AI350" s="143"/>
      <c r="AJ350" s="143"/>
      <c r="AK350" s="143"/>
      <c r="AL350" s="151"/>
      <c r="AM350" s="145"/>
      <c r="AN350" s="157"/>
      <c r="AO350" s="146"/>
    </row>
    <row r="351" spans="3:41">
      <c r="C351" s="136"/>
      <c r="D351" s="136"/>
      <c r="E351" s="19"/>
      <c r="F351" s="15"/>
      <c r="G351" s="138"/>
      <c r="H351" s="138"/>
      <c r="I351" s="126"/>
      <c r="J351" s="15"/>
      <c r="K351" s="15"/>
      <c r="L351" s="20"/>
      <c r="M351" s="20"/>
      <c r="N351" s="126"/>
      <c r="O351" s="126"/>
      <c r="P351" s="126"/>
      <c r="Q351" s="171"/>
      <c r="R351" s="172"/>
      <c r="S351" s="172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43"/>
      <c r="AF351" s="143"/>
      <c r="AG351" s="143"/>
      <c r="AH351" s="143"/>
      <c r="AI351" s="143"/>
      <c r="AJ351" s="143"/>
      <c r="AK351" s="143"/>
      <c r="AL351" s="158"/>
      <c r="AM351" s="145"/>
      <c r="AN351" s="144"/>
      <c r="AO351" s="146"/>
    </row>
    <row r="352" spans="3:41">
      <c r="C352" s="136"/>
      <c r="D352" s="136"/>
      <c r="E352" s="19"/>
      <c r="F352" s="15"/>
      <c r="G352" s="138"/>
      <c r="H352" s="138"/>
      <c r="I352" s="126"/>
      <c r="J352" s="15"/>
      <c r="K352" s="15"/>
      <c r="L352" s="20"/>
      <c r="M352" s="20"/>
      <c r="N352" s="126"/>
      <c r="O352" s="126"/>
      <c r="P352" s="126"/>
      <c r="Q352" s="171"/>
      <c r="R352" s="172"/>
      <c r="S352" s="172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43"/>
      <c r="AF352" s="143"/>
      <c r="AG352" s="143"/>
      <c r="AH352" s="143"/>
      <c r="AI352" s="143"/>
      <c r="AJ352" s="143"/>
      <c r="AK352" s="143"/>
      <c r="AL352" s="157"/>
      <c r="AM352" s="145"/>
      <c r="AN352" s="157"/>
      <c r="AO352" s="146"/>
    </row>
    <row r="353" spans="3:41">
      <c r="C353" s="136"/>
      <c r="D353" s="136"/>
      <c r="E353" s="19"/>
      <c r="F353" s="15"/>
      <c r="G353" s="138"/>
      <c r="H353" s="138"/>
      <c r="I353" s="126"/>
      <c r="J353" s="15"/>
      <c r="K353" s="15"/>
      <c r="L353" s="20"/>
      <c r="M353" s="20"/>
      <c r="N353" s="126"/>
      <c r="O353" s="126"/>
      <c r="P353" s="126"/>
      <c r="Q353" s="171"/>
      <c r="R353" s="172"/>
      <c r="S353" s="172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43"/>
      <c r="AF353" s="143"/>
      <c r="AG353" s="143"/>
      <c r="AH353" s="143"/>
      <c r="AI353" s="143"/>
      <c r="AJ353" s="143"/>
      <c r="AK353" s="143"/>
      <c r="AL353" s="157"/>
      <c r="AM353" s="145"/>
      <c r="AN353" s="157"/>
      <c r="AO353" s="146"/>
    </row>
    <row r="354" spans="3:41">
      <c r="C354" s="136"/>
      <c r="D354" s="136"/>
      <c r="E354" s="19"/>
      <c r="F354" s="15"/>
      <c r="G354" s="138"/>
      <c r="H354" s="138"/>
      <c r="I354" s="126"/>
      <c r="J354" s="15"/>
      <c r="K354" s="15"/>
      <c r="L354" s="20"/>
      <c r="M354" s="20"/>
      <c r="N354" s="126"/>
      <c r="O354" s="126"/>
      <c r="P354" s="126"/>
      <c r="Q354" s="171"/>
      <c r="R354" s="172"/>
      <c r="S354" s="172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43"/>
      <c r="AF354" s="143"/>
      <c r="AG354" s="143"/>
      <c r="AH354" s="143"/>
      <c r="AI354" s="143"/>
      <c r="AJ354" s="143"/>
      <c r="AK354" s="143"/>
      <c r="AL354" s="151"/>
      <c r="AM354" s="145"/>
      <c r="AN354" s="157"/>
      <c r="AO354" s="146"/>
    </row>
    <row r="355" spans="3:41">
      <c r="C355" s="136"/>
      <c r="D355" s="136"/>
      <c r="E355" s="19"/>
      <c r="F355" s="15"/>
      <c r="G355" s="138"/>
      <c r="H355" s="138"/>
      <c r="I355" s="126"/>
      <c r="J355" s="15"/>
      <c r="K355" s="15"/>
      <c r="L355" s="20"/>
      <c r="M355" s="20"/>
      <c r="N355" s="126"/>
      <c r="O355" s="126"/>
      <c r="P355" s="126"/>
      <c r="Q355" s="171"/>
      <c r="R355" s="172"/>
      <c r="S355" s="172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43"/>
      <c r="AF355" s="143"/>
      <c r="AG355" s="143"/>
      <c r="AH355" s="143"/>
      <c r="AI355" s="143"/>
      <c r="AJ355" s="143"/>
      <c r="AK355" s="143"/>
      <c r="AL355" s="151"/>
      <c r="AM355" s="145"/>
      <c r="AN355" s="157"/>
      <c r="AO355" s="146"/>
    </row>
    <row r="356" spans="3:41">
      <c r="C356" s="136"/>
      <c r="D356" s="136"/>
      <c r="E356" s="19"/>
      <c r="F356" s="15"/>
      <c r="G356" s="138"/>
      <c r="H356" s="138"/>
      <c r="I356" s="126"/>
      <c r="J356" s="15"/>
      <c r="K356" s="15"/>
      <c r="L356" s="20"/>
      <c r="M356" s="20"/>
      <c r="N356" s="126"/>
      <c r="O356" s="126"/>
      <c r="P356" s="126"/>
      <c r="Q356" s="171"/>
      <c r="R356" s="172"/>
      <c r="S356" s="172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43"/>
      <c r="AF356" s="143"/>
      <c r="AG356" s="143"/>
      <c r="AH356" s="143"/>
      <c r="AI356" s="143"/>
      <c r="AJ356" s="143"/>
      <c r="AK356" s="143"/>
      <c r="AL356" s="151"/>
      <c r="AM356" s="145"/>
      <c r="AN356" s="157"/>
      <c r="AO356" s="146"/>
    </row>
    <row r="357" spans="3:41">
      <c r="C357" s="136"/>
      <c r="D357" s="136"/>
      <c r="E357" s="19"/>
      <c r="F357" s="15"/>
      <c r="G357" s="138"/>
      <c r="H357" s="138"/>
      <c r="I357" s="126"/>
      <c r="J357" s="15"/>
      <c r="K357" s="15"/>
      <c r="L357" s="20"/>
      <c r="M357" s="20"/>
      <c r="N357" s="126"/>
      <c r="O357" s="126"/>
      <c r="P357" s="126"/>
      <c r="Q357" s="171"/>
      <c r="R357" s="172"/>
      <c r="S357" s="172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43"/>
      <c r="AF357" s="143"/>
      <c r="AG357" s="143"/>
      <c r="AH357" s="143"/>
      <c r="AI357" s="143"/>
      <c r="AJ357" s="143"/>
      <c r="AK357" s="143"/>
      <c r="AL357" s="151"/>
      <c r="AM357" s="145"/>
      <c r="AN357" s="157"/>
      <c r="AO357" s="146"/>
    </row>
    <row r="358" spans="3:41">
      <c r="C358" s="136"/>
      <c r="D358" s="136"/>
      <c r="E358" s="19"/>
      <c r="F358" s="15"/>
      <c r="G358" s="138"/>
      <c r="H358" s="138"/>
      <c r="I358" s="126"/>
      <c r="J358" s="15"/>
      <c r="K358" s="15"/>
      <c r="L358" s="20"/>
      <c r="M358" s="20"/>
      <c r="N358" s="126"/>
      <c r="O358" s="126"/>
      <c r="P358" s="126"/>
      <c r="Q358" s="171"/>
      <c r="R358" s="172"/>
      <c r="S358" s="172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43"/>
      <c r="AF358" s="143"/>
      <c r="AG358" s="143"/>
      <c r="AH358" s="143"/>
      <c r="AI358" s="143"/>
      <c r="AJ358" s="143"/>
      <c r="AK358" s="143"/>
      <c r="AL358" s="151"/>
      <c r="AM358" s="145"/>
      <c r="AN358" s="151"/>
      <c r="AO358" s="146"/>
    </row>
    <row r="359" spans="3:41">
      <c r="C359" s="136"/>
      <c r="D359" s="136"/>
      <c r="E359" s="19"/>
      <c r="F359" s="15"/>
      <c r="G359" s="138"/>
      <c r="H359" s="138"/>
      <c r="I359" s="126"/>
      <c r="J359" s="15"/>
      <c r="K359" s="15"/>
      <c r="L359" s="20"/>
      <c r="M359" s="20"/>
      <c r="N359" s="126"/>
      <c r="O359" s="126"/>
      <c r="P359" s="126"/>
      <c r="Q359" s="171"/>
      <c r="R359" s="172"/>
      <c r="S359" s="172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43"/>
      <c r="AF359" s="143"/>
      <c r="AG359" s="143"/>
      <c r="AH359" s="143"/>
      <c r="AI359" s="143"/>
      <c r="AJ359" s="143"/>
      <c r="AK359" s="143"/>
      <c r="AL359" s="143"/>
      <c r="AM359" s="145"/>
      <c r="AN359" s="151"/>
      <c r="AO359" s="153"/>
    </row>
    <row r="360" spans="3:41">
      <c r="C360" s="136"/>
      <c r="D360" s="136"/>
      <c r="E360" s="19"/>
      <c r="F360" s="15"/>
      <c r="G360" s="138"/>
      <c r="H360" s="138"/>
      <c r="I360" s="126"/>
      <c r="J360" s="15"/>
      <c r="K360" s="15"/>
      <c r="L360" s="20"/>
      <c r="M360" s="20"/>
      <c r="N360" s="126"/>
      <c r="O360" s="126"/>
      <c r="P360" s="126"/>
      <c r="Q360" s="171"/>
      <c r="R360" s="173"/>
      <c r="S360" s="172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43"/>
      <c r="AF360" s="143"/>
      <c r="AG360" s="143"/>
      <c r="AH360" s="143"/>
      <c r="AI360" s="143"/>
      <c r="AJ360" s="143"/>
      <c r="AK360" s="143"/>
      <c r="AL360" s="143"/>
      <c r="AM360" s="145"/>
      <c r="AN360" s="143"/>
      <c r="AO360" s="153"/>
    </row>
    <row r="361" spans="3:41">
      <c r="C361" s="136"/>
      <c r="D361" s="136"/>
      <c r="E361" s="19"/>
      <c r="F361" s="15"/>
      <c r="G361" s="138"/>
      <c r="H361" s="138"/>
      <c r="I361" s="126"/>
      <c r="J361" s="15"/>
      <c r="K361" s="15"/>
      <c r="L361" s="20"/>
      <c r="M361" s="20"/>
      <c r="N361" s="126"/>
      <c r="O361" s="126"/>
      <c r="P361" s="126"/>
      <c r="Q361" s="171"/>
      <c r="R361" s="173"/>
      <c r="S361" s="172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43"/>
      <c r="AF361" s="143"/>
      <c r="AG361" s="143"/>
      <c r="AH361" s="143"/>
      <c r="AI361" s="143"/>
      <c r="AJ361" s="143"/>
      <c r="AK361" s="143"/>
      <c r="AL361" s="143"/>
      <c r="AM361" s="145"/>
      <c r="AN361" s="151"/>
      <c r="AO361" s="153"/>
    </row>
    <row r="362" spans="3:41">
      <c r="C362" s="136"/>
      <c r="D362" s="136"/>
      <c r="E362" s="19"/>
      <c r="F362" s="15"/>
      <c r="G362" s="138"/>
      <c r="H362" s="138"/>
      <c r="I362" s="126"/>
      <c r="J362" s="15"/>
      <c r="K362" s="15"/>
      <c r="L362" s="20"/>
      <c r="M362" s="20"/>
      <c r="N362" s="126"/>
      <c r="O362" s="126"/>
      <c r="P362" s="126"/>
      <c r="Q362" s="171"/>
      <c r="R362" s="173"/>
      <c r="S362" s="172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43"/>
      <c r="AF362" s="143"/>
      <c r="AG362" s="143"/>
      <c r="AH362" s="143"/>
      <c r="AI362" s="143"/>
      <c r="AJ362" s="143"/>
      <c r="AK362" s="143"/>
      <c r="AL362" s="143"/>
      <c r="AM362" s="145"/>
      <c r="AN362" s="158"/>
      <c r="AO362" s="146"/>
    </row>
    <row r="363" spans="3:41">
      <c r="C363" s="136"/>
      <c r="D363" s="136"/>
      <c r="E363" s="19"/>
      <c r="F363" s="15"/>
      <c r="G363" s="138"/>
      <c r="H363" s="138"/>
      <c r="I363" s="126"/>
      <c r="J363" s="15"/>
      <c r="K363" s="15"/>
      <c r="L363" s="20"/>
      <c r="M363" s="20"/>
      <c r="N363" s="126"/>
      <c r="O363" s="126"/>
      <c r="P363" s="126"/>
      <c r="Q363" s="171"/>
      <c r="R363" s="173"/>
      <c r="S363" s="172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43"/>
      <c r="AF363" s="143"/>
      <c r="AG363" s="143"/>
      <c r="AH363" s="143"/>
      <c r="AI363" s="143"/>
      <c r="AJ363" s="143"/>
      <c r="AK363" s="143"/>
      <c r="AL363" s="143"/>
      <c r="AM363" s="145"/>
      <c r="AN363" s="151"/>
      <c r="AO363" s="153"/>
    </row>
    <row r="364" spans="3:41">
      <c r="C364" s="136"/>
      <c r="D364" s="136"/>
      <c r="E364" s="19"/>
      <c r="F364" s="15"/>
      <c r="G364" s="138"/>
      <c r="H364" s="138"/>
      <c r="I364" s="126"/>
      <c r="J364" s="15"/>
      <c r="K364" s="15"/>
      <c r="L364" s="20"/>
      <c r="M364" s="20"/>
      <c r="N364" s="126"/>
      <c r="O364" s="126"/>
      <c r="P364" s="126"/>
      <c r="Q364" s="171"/>
      <c r="R364" s="173"/>
      <c r="S364" s="172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43"/>
      <c r="AF364" s="143"/>
      <c r="AG364" s="143"/>
      <c r="AH364" s="143"/>
      <c r="AI364" s="143"/>
      <c r="AJ364" s="143"/>
      <c r="AK364" s="143"/>
      <c r="AL364" s="143"/>
      <c r="AM364" s="145"/>
      <c r="AN364" s="143"/>
      <c r="AO364" s="153"/>
    </row>
    <row r="365" spans="3:41">
      <c r="C365" s="136"/>
      <c r="D365" s="136"/>
      <c r="E365" s="19"/>
      <c r="F365" s="15"/>
      <c r="G365" s="138"/>
      <c r="H365" s="138"/>
      <c r="I365" s="126"/>
      <c r="J365" s="15"/>
      <c r="K365" s="15"/>
      <c r="L365" s="20"/>
      <c r="M365" s="20"/>
      <c r="N365" s="126"/>
      <c r="O365" s="126"/>
      <c r="P365" s="126"/>
      <c r="Q365" s="171"/>
      <c r="R365" s="172"/>
      <c r="S365" s="172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43"/>
      <c r="AF365" s="143"/>
      <c r="AG365" s="143"/>
      <c r="AH365" s="143"/>
      <c r="AI365" s="143"/>
      <c r="AJ365" s="143"/>
      <c r="AK365" s="143"/>
      <c r="AL365" s="143"/>
      <c r="AM365" s="145"/>
      <c r="AN365" s="158"/>
      <c r="AO365" s="153"/>
    </row>
    <row r="366" spans="3:41">
      <c r="C366" s="136"/>
      <c r="D366" s="136"/>
      <c r="E366" s="19"/>
      <c r="F366" s="15"/>
      <c r="G366" s="138"/>
      <c r="H366" s="138"/>
      <c r="I366" s="126"/>
      <c r="J366" s="15"/>
      <c r="K366" s="15"/>
      <c r="L366" s="20"/>
      <c r="M366" s="20"/>
      <c r="N366" s="126"/>
      <c r="O366" s="126"/>
      <c r="P366" s="126"/>
      <c r="Q366" s="171"/>
      <c r="R366" s="173"/>
      <c r="S366" s="172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43"/>
      <c r="AF366" s="143"/>
      <c r="AG366" s="143"/>
      <c r="AH366" s="143"/>
      <c r="AI366" s="143"/>
      <c r="AJ366" s="143"/>
      <c r="AK366" s="143"/>
      <c r="AL366" s="143"/>
      <c r="AM366" s="145"/>
      <c r="AN366" s="148"/>
      <c r="AO366" s="146"/>
    </row>
    <row r="367" spans="3:41">
      <c r="C367" s="136"/>
      <c r="D367" s="136"/>
      <c r="E367" s="19"/>
      <c r="F367" s="15"/>
      <c r="G367" s="138"/>
      <c r="H367" s="138"/>
      <c r="I367" s="126"/>
      <c r="J367" s="15"/>
      <c r="K367" s="15"/>
      <c r="L367" s="20"/>
      <c r="M367" s="20"/>
      <c r="N367" s="126"/>
      <c r="O367" s="126"/>
      <c r="P367" s="126"/>
      <c r="Q367" s="171"/>
      <c r="R367" s="172"/>
      <c r="S367" s="172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43"/>
      <c r="AF367" s="143"/>
      <c r="AG367" s="143"/>
      <c r="AH367" s="143"/>
      <c r="AI367" s="143"/>
      <c r="AJ367" s="143"/>
      <c r="AK367" s="143"/>
      <c r="AL367" s="143"/>
      <c r="AM367" s="145"/>
      <c r="AN367" s="148"/>
      <c r="AO367" s="155"/>
    </row>
    <row r="368" spans="3:41">
      <c r="C368" s="136"/>
      <c r="D368" s="136"/>
      <c r="E368" s="19"/>
      <c r="F368" s="15"/>
      <c r="G368" s="138"/>
      <c r="H368" s="138"/>
      <c r="I368" s="126"/>
      <c r="J368" s="15"/>
      <c r="K368" s="15"/>
      <c r="L368" s="20"/>
      <c r="M368" s="20"/>
      <c r="N368" s="126"/>
      <c r="O368" s="126"/>
      <c r="P368" s="126"/>
      <c r="Q368" s="171"/>
      <c r="R368" s="172"/>
      <c r="S368" s="172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43"/>
      <c r="AF368" s="143"/>
      <c r="AG368" s="143"/>
      <c r="AH368" s="143"/>
      <c r="AI368" s="143"/>
      <c r="AJ368" s="143"/>
      <c r="AK368" s="143"/>
      <c r="AL368" s="143"/>
      <c r="AM368" s="145"/>
      <c r="AN368" s="148"/>
      <c r="AO368" s="155"/>
    </row>
    <row r="369" spans="3:41">
      <c r="C369" s="136"/>
      <c r="D369" s="136"/>
      <c r="E369" s="19"/>
      <c r="F369" s="15"/>
      <c r="G369" s="138"/>
      <c r="H369" s="138"/>
      <c r="I369" s="126"/>
      <c r="J369" s="15"/>
      <c r="K369" s="15"/>
      <c r="L369" s="20"/>
      <c r="M369" s="20"/>
      <c r="N369" s="126"/>
      <c r="O369" s="126"/>
      <c r="P369" s="126"/>
      <c r="Q369" s="171"/>
      <c r="R369" s="172"/>
      <c r="S369" s="172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43"/>
      <c r="AF369" s="143"/>
      <c r="AG369" s="143"/>
      <c r="AH369" s="143"/>
      <c r="AI369" s="143"/>
      <c r="AJ369" s="143"/>
      <c r="AK369" s="143"/>
      <c r="AL369" s="143"/>
      <c r="AM369" s="145"/>
      <c r="AN369" s="153"/>
      <c r="AO369" s="147"/>
    </row>
    <row r="370" spans="3:41">
      <c r="C370" s="136"/>
      <c r="D370" s="136"/>
      <c r="E370" s="19"/>
      <c r="F370" s="15"/>
      <c r="G370" s="138"/>
      <c r="H370" s="138"/>
      <c r="I370" s="126"/>
      <c r="J370" s="15"/>
      <c r="K370" s="15"/>
      <c r="L370" s="20"/>
      <c r="M370" s="20"/>
      <c r="N370" s="126"/>
      <c r="O370" s="126"/>
      <c r="P370" s="126"/>
      <c r="Q370" s="171"/>
      <c r="R370" s="172"/>
      <c r="S370" s="172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43"/>
      <c r="AF370" s="143"/>
      <c r="AG370" s="143"/>
      <c r="AH370" s="143"/>
      <c r="AI370" s="143"/>
      <c r="AJ370" s="143"/>
      <c r="AK370" s="143"/>
      <c r="AL370" s="143"/>
      <c r="AM370" s="145"/>
      <c r="AN370" s="153"/>
      <c r="AO370" s="147"/>
    </row>
    <row r="371" spans="3:41">
      <c r="C371" s="136"/>
      <c r="D371" s="136"/>
      <c r="E371" s="19"/>
      <c r="F371" s="15"/>
      <c r="G371" s="138"/>
      <c r="H371" s="138"/>
      <c r="I371" s="126"/>
      <c r="J371" s="15"/>
      <c r="K371" s="15"/>
      <c r="L371" s="20"/>
      <c r="M371" s="20"/>
      <c r="N371" s="126"/>
      <c r="O371" s="126"/>
      <c r="P371" s="126"/>
      <c r="Q371" s="171"/>
      <c r="R371" s="172"/>
      <c r="S371" s="172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43"/>
      <c r="AF371" s="143"/>
      <c r="AG371" s="143"/>
      <c r="AH371" s="143"/>
      <c r="AI371" s="143"/>
      <c r="AJ371" s="143"/>
      <c r="AK371" s="143"/>
      <c r="AL371" s="143"/>
      <c r="AM371" s="145"/>
      <c r="AN371" s="153"/>
      <c r="AO371" s="147"/>
    </row>
    <row r="372" spans="3:41">
      <c r="C372" s="136"/>
      <c r="D372" s="136"/>
      <c r="E372" s="19"/>
      <c r="F372" s="15"/>
      <c r="G372" s="138"/>
      <c r="H372" s="138"/>
      <c r="I372" s="126"/>
      <c r="J372" s="15"/>
      <c r="K372" s="15"/>
      <c r="L372" s="20"/>
      <c r="M372" s="20"/>
      <c r="N372" s="126"/>
      <c r="O372" s="126"/>
      <c r="P372" s="126"/>
      <c r="Q372" s="171"/>
      <c r="R372" s="172"/>
      <c r="S372" s="172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43"/>
      <c r="AF372" s="143"/>
      <c r="AG372" s="143"/>
      <c r="AH372" s="143"/>
      <c r="AI372" s="143"/>
      <c r="AJ372" s="143"/>
      <c r="AK372" s="143"/>
      <c r="AL372" s="143"/>
      <c r="AM372" s="145"/>
      <c r="AN372" s="153"/>
      <c r="AO372" s="153"/>
    </row>
    <row r="373" spans="3:41">
      <c r="C373" s="136"/>
      <c r="D373" s="136"/>
      <c r="E373" s="19"/>
      <c r="F373" s="15"/>
      <c r="G373" s="138"/>
      <c r="H373" s="138"/>
      <c r="I373" s="126"/>
      <c r="J373" s="15"/>
      <c r="K373" s="15"/>
      <c r="L373" s="20"/>
      <c r="M373" s="20"/>
      <c r="N373" s="126"/>
      <c r="O373" s="126"/>
      <c r="P373" s="126"/>
      <c r="Q373" s="171"/>
      <c r="R373" s="172"/>
      <c r="S373" s="172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43"/>
      <c r="AF373" s="143"/>
      <c r="AG373" s="143"/>
      <c r="AH373" s="143"/>
      <c r="AI373" s="143"/>
      <c r="AJ373" s="143"/>
      <c r="AK373" s="143"/>
      <c r="AL373" s="143"/>
      <c r="AM373" s="145"/>
      <c r="AN373" s="153"/>
      <c r="AO373" s="153"/>
    </row>
    <row r="374" spans="3:41">
      <c r="C374" s="136"/>
      <c r="D374" s="136"/>
      <c r="E374" s="19"/>
      <c r="F374" s="15"/>
      <c r="G374" s="138"/>
      <c r="H374" s="138"/>
      <c r="I374" s="126"/>
      <c r="J374" s="15"/>
      <c r="K374" s="15"/>
      <c r="L374" s="20"/>
      <c r="M374" s="20"/>
      <c r="N374" s="126"/>
      <c r="O374" s="126"/>
      <c r="P374" s="126"/>
      <c r="Q374" s="171"/>
      <c r="R374" s="172"/>
      <c r="S374" s="172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43"/>
      <c r="AF374" s="143"/>
      <c r="AG374" s="143"/>
      <c r="AH374" s="143"/>
      <c r="AI374" s="143"/>
      <c r="AJ374" s="143"/>
      <c r="AK374" s="143"/>
      <c r="AL374" s="143"/>
      <c r="AM374" s="145"/>
      <c r="AN374" s="153"/>
      <c r="AO374" s="147"/>
    </row>
    <row r="375" spans="3:41">
      <c r="C375" s="136"/>
      <c r="D375" s="136"/>
      <c r="E375" s="19"/>
      <c r="F375" s="15"/>
      <c r="G375" s="138"/>
      <c r="H375" s="138"/>
      <c r="I375" s="126"/>
      <c r="J375" s="15"/>
      <c r="K375" s="15"/>
      <c r="L375" s="20"/>
      <c r="M375" s="20"/>
      <c r="N375" s="126"/>
      <c r="O375" s="126"/>
      <c r="P375" s="126"/>
      <c r="Q375" s="171"/>
      <c r="R375" s="172"/>
      <c r="S375" s="172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43"/>
      <c r="AF375" s="143"/>
      <c r="AG375" s="143"/>
      <c r="AH375" s="143"/>
      <c r="AI375" s="143"/>
      <c r="AJ375" s="143"/>
      <c r="AK375" s="143"/>
      <c r="AL375" s="143"/>
      <c r="AM375" s="145"/>
      <c r="AN375" s="153"/>
      <c r="AO375" s="147"/>
    </row>
    <row r="376" spans="3:41">
      <c r="C376" s="136"/>
      <c r="D376" s="136"/>
      <c r="E376" s="19"/>
      <c r="F376" s="15"/>
      <c r="G376" s="138"/>
      <c r="H376" s="138"/>
      <c r="I376" s="126"/>
      <c r="J376" s="15"/>
      <c r="K376" s="15"/>
      <c r="L376" s="20"/>
      <c r="M376" s="20"/>
      <c r="N376" s="126"/>
      <c r="O376" s="126"/>
      <c r="P376" s="126"/>
      <c r="Q376" s="171"/>
      <c r="R376" s="172"/>
      <c r="S376" s="172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43"/>
      <c r="AF376" s="143"/>
      <c r="AG376" s="143"/>
      <c r="AH376" s="143"/>
      <c r="AI376" s="143"/>
      <c r="AJ376" s="143"/>
      <c r="AK376" s="143"/>
      <c r="AL376" s="143"/>
      <c r="AM376" s="145"/>
      <c r="AN376" s="148"/>
      <c r="AO376" s="147"/>
    </row>
    <row r="377" spans="3:41">
      <c r="C377" s="136"/>
      <c r="D377" s="136"/>
      <c r="E377" s="19"/>
      <c r="F377" s="15"/>
      <c r="G377" s="138"/>
      <c r="H377" s="138"/>
      <c r="I377" s="126"/>
      <c r="J377" s="15"/>
      <c r="K377" s="15"/>
      <c r="L377" s="20"/>
      <c r="M377" s="20"/>
      <c r="N377" s="126"/>
      <c r="O377" s="126"/>
      <c r="P377" s="126"/>
      <c r="Q377" s="171"/>
      <c r="R377" s="172"/>
      <c r="S377" s="172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43"/>
      <c r="AF377" s="143"/>
      <c r="AG377" s="143"/>
      <c r="AH377" s="143"/>
      <c r="AI377" s="143"/>
      <c r="AJ377" s="143"/>
      <c r="AK377" s="143"/>
      <c r="AL377" s="143"/>
      <c r="AM377" s="145"/>
      <c r="AN377" s="156"/>
      <c r="AO377" s="147"/>
    </row>
    <row r="378" spans="3:41">
      <c r="C378" s="136"/>
      <c r="D378" s="136"/>
      <c r="E378" s="19"/>
      <c r="F378" s="15"/>
      <c r="G378" s="138"/>
      <c r="H378" s="138"/>
      <c r="I378" s="126"/>
      <c r="J378" s="15"/>
      <c r="K378" s="15"/>
      <c r="L378" s="20"/>
      <c r="M378" s="20"/>
      <c r="N378" s="126"/>
      <c r="O378" s="126"/>
      <c r="P378" s="126"/>
      <c r="Q378" s="171"/>
      <c r="R378" s="172"/>
      <c r="S378" s="172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43"/>
      <c r="AF378" s="143"/>
      <c r="AG378" s="143"/>
      <c r="AH378" s="143"/>
      <c r="AI378" s="143"/>
      <c r="AJ378" s="143"/>
      <c r="AK378" s="143"/>
      <c r="AL378" s="143"/>
      <c r="AM378" s="145"/>
      <c r="AN378" s="153"/>
      <c r="AO378" s="147"/>
    </row>
    <row r="379" spans="3:41">
      <c r="C379" s="136"/>
      <c r="D379" s="136"/>
      <c r="E379" s="19"/>
      <c r="F379" s="15"/>
      <c r="G379" s="138"/>
      <c r="H379" s="138"/>
      <c r="I379" s="126"/>
      <c r="J379" s="15"/>
      <c r="K379" s="15"/>
      <c r="L379" s="20"/>
      <c r="M379" s="20"/>
      <c r="N379" s="126"/>
      <c r="O379" s="126"/>
      <c r="P379" s="126"/>
      <c r="Q379" s="171"/>
      <c r="R379" s="172"/>
      <c r="S379" s="172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43"/>
      <c r="AF379" s="143"/>
      <c r="AG379" s="143"/>
      <c r="AH379" s="143"/>
      <c r="AI379" s="143"/>
      <c r="AJ379" s="143"/>
      <c r="AK379" s="143"/>
      <c r="AL379" s="143"/>
      <c r="AM379" s="145"/>
      <c r="AN379" s="148"/>
      <c r="AO379" s="153"/>
    </row>
    <row r="380" spans="3:41">
      <c r="C380" s="136"/>
      <c r="D380" s="136"/>
      <c r="E380" s="19"/>
      <c r="F380" s="15"/>
      <c r="G380" s="138"/>
      <c r="H380" s="138"/>
      <c r="I380" s="126"/>
      <c r="J380" s="15"/>
      <c r="K380" s="15"/>
      <c r="L380" s="20"/>
      <c r="M380" s="20"/>
      <c r="N380" s="126"/>
      <c r="O380" s="126"/>
      <c r="P380" s="126"/>
      <c r="Q380" s="171"/>
      <c r="R380" s="172"/>
      <c r="S380" s="172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43"/>
      <c r="AF380" s="143"/>
      <c r="AG380" s="143"/>
      <c r="AH380" s="143"/>
      <c r="AI380" s="143"/>
      <c r="AJ380" s="143"/>
      <c r="AK380" s="143"/>
      <c r="AL380" s="143"/>
      <c r="AM380" s="145"/>
      <c r="AN380" s="153"/>
      <c r="AO380" s="147"/>
    </row>
    <row r="381" spans="3:41">
      <c r="C381" s="136"/>
      <c r="D381" s="136"/>
      <c r="E381" s="19"/>
      <c r="F381" s="15"/>
      <c r="G381" s="138"/>
      <c r="H381" s="138"/>
      <c r="I381" s="126"/>
      <c r="J381" s="15"/>
      <c r="K381" s="15"/>
      <c r="L381" s="20"/>
      <c r="M381" s="20"/>
      <c r="N381" s="126"/>
      <c r="O381" s="126"/>
      <c r="P381" s="126"/>
      <c r="Q381" s="171"/>
      <c r="R381" s="172"/>
      <c r="S381" s="172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43"/>
      <c r="AF381" s="143"/>
      <c r="AG381" s="143"/>
      <c r="AH381" s="143"/>
      <c r="AI381" s="143"/>
      <c r="AJ381" s="143"/>
      <c r="AK381" s="143"/>
      <c r="AL381" s="156"/>
      <c r="AM381" s="145"/>
      <c r="AN381" s="191"/>
      <c r="AO381" s="155"/>
    </row>
    <row r="382" spans="3:41">
      <c r="C382" s="136"/>
      <c r="D382" s="136"/>
      <c r="E382" s="19"/>
      <c r="F382" s="15"/>
      <c r="G382" s="138"/>
      <c r="H382" s="138"/>
      <c r="I382" s="126"/>
      <c r="J382" s="15"/>
      <c r="K382" s="15"/>
      <c r="L382" s="20"/>
      <c r="M382" s="20"/>
      <c r="N382" s="126"/>
      <c r="O382" s="126"/>
      <c r="P382" s="126"/>
      <c r="Q382" s="171"/>
      <c r="R382" s="172"/>
      <c r="S382" s="172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43"/>
      <c r="AF382" s="143"/>
      <c r="AG382" s="143"/>
      <c r="AH382" s="143"/>
      <c r="AI382" s="143"/>
      <c r="AJ382" s="143"/>
      <c r="AK382" s="143"/>
      <c r="AL382" s="156"/>
      <c r="AM382" s="145"/>
      <c r="AN382" s="148"/>
      <c r="AO382" s="153"/>
    </row>
    <row r="383" spans="3:41">
      <c r="C383" s="136"/>
      <c r="D383" s="136"/>
      <c r="E383" s="19"/>
      <c r="F383" s="15"/>
      <c r="G383" s="138"/>
      <c r="H383" s="138"/>
      <c r="I383" s="126"/>
      <c r="J383" s="15"/>
      <c r="K383" s="15"/>
      <c r="L383" s="20"/>
      <c r="M383" s="20"/>
      <c r="N383" s="126"/>
      <c r="O383" s="126"/>
      <c r="P383" s="126"/>
      <c r="Q383" s="171"/>
      <c r="R383" s="172"/>
      <c r="S383" s="172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43"/>
      <c r="AF383" s="143"/>
      <c r="AG383" s="143"/>
      <c r="AH383" s="143"/>
      <c r="AI383" s="143"/>
      <c r="AJ383" s="143"/>
      <c r="AK383" s="143"/>
      <c r="AL383" s="144"/>
      <c r="AM383" s="145"/>
      <c r="AN383" s="143"/>
      <c r="AO383" s="155"/>
    </row>
    <row r="384" spans="3:41">
      <c r="C384" s="136"/>
      <c r="D384" s="136"/>
      <c r="E384" s="19"/>
      <c r="F384" s="15"/>
      <c r="G384" s="138"/>
      <c r="H384" s="138"/>
      <c r="I384" s="126"/>
      <c r="J384" s="15"/>
      <c r="K384" s="15"/>
      <c r="L384" s="20"/>
      <c r="M384" s="20"/>
      <c r="N384" s="126"/>
      <c r="O384" s="126"/>
      <c r="P384" s="126"/>
      <c r="Q384" s="171"/>
      <c r="R384" s="172"/>
      <c r="S384" s="172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43"/>
      <c r="AF384" s="143"/>
      <c r="AG384" s="143"/>
      <c r="AH384" s="143"/>
      <c r="AI384" s="143"/>
      <c r="AJ384" s="143"/>
      <c r="AK384" s="143"/>
      <c r="AL384" s="144"/>
      <c r="AM384" s="145"/>
      <c r="AN384" s="143"/>
      <c r="AO384" s="153"/>
    </row>
    <row r="385" spans="3:41">
      <c r="C385" s="136"/>
      <c r="D385" s="136"/>
      <c r="E385" s="19"/>
      <c r="F385" s="15"/>
      <c r="G385" s="138"/>
      <c r="H385" s="138"/>
      <c r="I385" s="126"/>
      <c r="J385" s="15"/>
      <c r="K385" s="15"/>
      <c r="L385" s="20"/>
      <c r="M385" s="20"/>
      <c r="N385" s="126"/>
      <c r="O385" s="126"/>
      <c r="P385" s="126"/>
      <c r="Q385" s="171"/>
      <c r="R385" s="172"/>
      <c r="S385" s="172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43"/>
      <c r="AF385" s="143"/>
      <c r="AG385" s="143"/>
      <c r="AH385" s="143"/>
      <c r="AI385" s="143"/>
      <c r="AJ385" s="143"/>
      <c r="AK385" s="143"/>
      <c r="AL385" s="144"/>
      <c r="AM385" s="145"/>
      <c r="AN385" s="151"/>
      <c r="AO385" s="188"/>
    </row>
    <row r="386" spans="3:41">
      <c r="C386" s="136"/>
      <c r="D386" s="136"/>
      <c r="E386" s="19"/>
      <c r="F386" s="15"/>
      <c r="G386" s="138"/>
      <c r="H386" s="138"/>
      <c r="I386" s="126"/>
      <c r="J386" s="15"/>
      <c r="K386" s="15"/>
      <c r="L386" s="20"/>
      <c r="M386" s="20"/>
      <c r="N386" s="126"/>
      <c r="O386" s="126"/>
      <c r="P386" s="126"/>
      <c r="Q386" s="171"/>
      <c r="R386" s="172"/>
      <c r="S386" s="172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43"/>
      <c r="AF386" s="143"/>
      <c r="AG386" s="143"/>
      <c r="AH386" s="143"/>
      <c r="AI386" s="143"/>
      <c r="AJ386" s="143"/>
      <c r="AK386" s="143"/>
      <c r="AL386" s="144"/>
      <c r="AM386" s="145"/>
      <c r="AN386" s="144"/>
      <c r="AO386" s="153"/>
    </row>
    <row r="387" spans="3:41">
      <c r="C387" s="136"/>
      <c r="D387" s="136"/>
      <c r="E387" s="19"/>
      <c r="F387" s="15"/>
      <c r="G387" s="138"/>
      <c r="H387" s="138"/>
      <c r="I387" s="126"/>
      <c r="J387" s="15"/>
      <c r="K387" s="15"/>
      <c r="L387" s="20"/>
      <c r="M387" s="20"/>
      <c r="N387" s="126"/>
      <c r="O387" s="126"/>
      <c r="P387" s="126"/>
      <c r="Q387" s="171"/>
      <c r="R387" s="172"/>
      <c r="S387" s="172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43"/>
      <c r="AF387" s="143"/>
      <c r="AG387" s="143"/>
      <c r="AH387" s="143"/>
      <c r="AI387" s="143"/>
      <c r="AJ387" s="143"/>
      <c r="AK387" s="143"/>
      <c r="AL387" s="144"/>
      <c r="AM387" s="145"/>
      <c r="AN387" s="151"/>
      <c r="AO387" s="147"/>
    </row>
    <row r="388" spans="3:41">
      <c r="C388" s="136"/>
      <c r="D388" s="136"/>
      <c r="E388" s="19"/>
      <c r="F388" s="15"/>
      <c r="G388" s="138"/>
      <c r="H388" s="138"/>
      <c r="I388" s="126"/>
      <c r="J388" s="15"/>
      <c r="K388" s="15"/>
      <c r="L388" s="20"/>
      <c r="M388" s="20"/>
      <c r="N388" s="126"/>
      <c r="O388" s="126"/>
      <c r="P388" s="126"/>
      <c r="Q388" s="171"/>
      <c r="R388" s="172"/>
      <c r="S388" s="172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43"/>
      <c r="AF388" s="143"/>
      <c r="AG388" s="143"/>
      <c r="AH388" s="143"/>
      <c r="AI388" s="143"/>
      <c r="AJ388" s="143"/>
      <c r="AK388" s="143"/>
      <c r="AL388" s="144"/>
      <c r="AM388" s="145"/>
      <c r="AN388" s="151"/>
      <c r="AO388" s="155"/>
    </row>
    <row r="389" spans="3:41">
      <c r="C389" s="136"/>
      <c r="D389" s="136"/>
      <c r="E389" s="19"/>
      <c r="F389" s="15"/>
      <c r="G389" s="138"/>
      <c r="H389" s="138"/>
      <c r="I389" s="126"/>
      <c r="J389" s="15"/>
      <c r="K389" s="15"/>
      <c r="L389" s="20"/>
      <c r="M389" s="20"/>
      <c r="N389" s="126"/>
      <c r="O389" s="126"/>
      <c r="P389" s="126"/>
      <c r="Q389" s="171"/>
      <c r="R389" s="172"/>
      <c r="S389" s="172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43"/>
      <c r="AF389" s="143"/>
      <c r="AG389" s="143"/>
      <c r="AH389" s="143"/>
      <c r="AI389" s="143"/>
      <c r="AJ389" s="143"/>
      <c r="AK389" s="143"/>
      <c r="AL389" s="144"/>
      <c r="AM389" s="145"/>
      <c r="AN389" s="144"/>
      <c r="AO389" s="153"/>
    </row>
    <row r="390" spans="3:41">
      <c r="C390" s="136"/>
      <c r="D390" s="136"/>
      <c r="E390" s="19"/>
      <c r="F390" s="15"/>
      <c r="G390" s="138"/>
      <c r="H390" s="138"/>
      <c r="I390" s="126"/>
      <c r="J390" s="15"/>
      <c r="K390" s="15"/>
      <c r="L390" s="20"/>
      <c r="M390" s="20"/>
      <c r="N390" s="126"/>
      <c r="O390" s="126"/>
      <c r="P390" s="126"/>
      <c r="Q390" s="171"/>
      <c r="R390" s="172"/>
      <c r="S390" s="172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43"/>
      <c r="AF390" s="143"/>
      <c r="AG390" s="143"/>
      <c r="AH390" s="143"/>
      <c r="AI390" s="143"/>
      <c r="AJ390" s="143"/>
      <c r="AK390" s="143"/>
      <c r="AL390" s="144"/>
      <c r="AM390" s="145"/>
      <c r="AN390" s="144"/>
      <c r="AO390" s="147"/>
    </row>
    <row r="391" spans="3:41">
      <c r="C391" s="136"/>
      <c r="D391" s="136"/>
      <c r="E391" s="19"/>
      <c r="F391" s="15"/>
      <c r="G391" s="138"/>
      <c r="H391" s="138"/>
      <c r="I391" s="126"/>
      <c r="J391" s="15"/>
      <c r="K391" s="15"/>
      <c r="L391" s="20"/>
      <c r="M391" s="20"/>
      <c r="N391" s="126"/>
      <c r="O391" s="126"/>
      <c r="P391" s="126"/>
      <c r="Q391" s="171"/>
      <c r="R391" s="172"/>
      <c r="S391" s="172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43"/>
      <c r="AF391" s="143"/>
      <c r="AG391" s="143"/>
      <c r="AH391" s="143"/>
      <c r="AI391" s="143"/>
      <c r="AJ391" s="143"/>
      <c r="AK391" s="143"/>
      <c r="AL391" s="143"/>
      <c r="AM391" s="145"/>
      <c r="AN391" s="151"/>
      <c r="AO391" s="153"/>
    </row>
    <row r="392" spans="3:41">
      <c r="C392" s="136"/>
      <c r="D392" s="136"/>
      <c r="E392" s="19"/>
      <c r="F392" s="15"/>
      <c r="G392" s="138"/>
      <c r="H392" s="138"/>
      <c r="I392" s="126"/>
      <c r="J392" s="15"/>
      <c r="K392" s="15"/>
      <c r="L392" s="20"/>
      <c r="M392" s="20"/>
      <c r="N392" s="126"/>
      <c r="O392" s="126"/>
      <c r="P392" s="126"/>
      <c r="Q392" s="171"/>
      <c r="R392" s="172"/>
      <c r="S392" s="172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43"/>
      <c r="AF392" s="143"/>
      <c r="AG392" s="143"/>
      <c r="AH392" s="143"/>
      <c r="AI392" s="143"/>
      <c r="AJ392" s="143"/>
      <c r="AK392" s="143"/>
      <c r="AL392" s="143"/>
      <c r="AM392" s="145"/>
      <c r="AN392" s="143"/>
      <c r="AO392" s="146"/>
    </row>
    <row r="393" spans="3:41">
      <c r="C393" s="136"/>
      <c r="D393" s="136"/>
      <c r="E393" s="19"/>
      <c r="F393" s="15"/>
      <c r="G393" s="138"/>
      <c r="H393" s="138"/>
      <c r="I393" s="126"/>
      <c r="J393" s="15"/>
      <c r="K393" s="15"/>
      <c r="L393" s="20"/>
      <c r="M393" s="20"/>
      <c r="N393" s="126"/>
      <c r="O393" s="126"/>
      <c r="P393" s="126"/>
      <c r="Q393" s="171"/>
      <c r="R393" s="172"/>
      <c r="S393" s="172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43"/>
      <c r="AF393" s="143"/>
      <c r="AG393" s="143"/>
      <c r="AH393" s="143"/>
      <c r="AI393" s="143"/>
      <c r="AJ393" s="143"/>
      <c r="AK393" s="143"/>
      <c r="AL393" s="143"/>
      <c r="AM393" s="145"/>
      <c r="AN393" s="151"/>
      <c r="AO393" s="152"/>
    </row>
    <row r="394" spans="3:41">
      <c r="C394" s="136"/>
      <c r="D394" s="136"/>
      <c r="E394" s="19"/>
      <c r="F394" s="15"/>
      <c r="G394" s="138"/>
      <c r="H394" s="138"/>
      <c r="I394" s="126"/>
      <c r="J394" s="15"/>
      <c r="K394" s="15"/>
      <c r="L394" s="20"/>
      <c r="M394" s="20"/>
      <c r="N394" s="126"/>
      <c r="O394" s="126"/>
      <c r="P394" s="126"/>
      <c r="Q394" s="171"/>
      <c r="R394" s="172"/>
      <c r="S394" s="172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43"/>
      <c r="AF394" s="143"/>
      <c r="AG394" s="143"/>
      <c r="AH394" s="143"/>
      <c r="AI394" s="143"/>
      <c r="AJ394" s="143"/>
      <c r="AK394" s="143"/>
      <c r="AL394" s="143"/>
      <c r="AM394" s="145"/>
      <c r="AN394" s="143"/>
      <c r="AO394" s="155"/>
    </row>
    <row r="395" spans="3:41">
      <c r="C395" s="136"/>
      <c r="D395" s="136"/>
      <c r="E395" s="19"/>
      <c r="F395" s="15"/>
      <c r="G395" s="138"/>
      <c r="H395" s="138"/>
      <c r="I395" s="126"/>
      <c r="J395" s="15"/>
      <c r="K395" s="15"/>
      <c r="L395" s="20"/>
      <c r="M395" s="20"/>
      <c r="N395" s="126"/>
      <c r="O395" s="126"/>
      <c r="P395" s="126"/>
      <c r="Q395" s="171"/>
      <c r="R395" s="172"/>
      <c r="S395" s="172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43"/>
      <c r="AF395" s="143"/>
      <c r="AG395" s="143"/>
      <c r="AH395" s="143"/>
      <c r="AI395" s="143"/>
      <c r="AJ395" s="143"/>
      <c r="AK395" s="143"/>
      <c r="AL395" s="143"/>
      <c r="AM395" s="145"/>
      <c r="AN395" s="143"/>
      <c r="AO395" s="147"/>
    </row>
    <row r="396" spans="3:41">
      <c r="C396" s="136"/>
      <c r="D396" s="136"/>
      <c r="E396" s="19"/>
      <c r="F396" s="15"/>
      <c r="G396" s="138"/>
      <c r="H396" s="138"/>
      <c r="I396" s="126"/>
      <c r="J396" s="15"/>
      <c r="K396" s="15"/>
      <c r="L396" s="20"/>
      <c r="M396" s="20"/>
      <c r="N396" s="126"/>
      <c r="O396" s="126"/>
      <c r="P396" s="126"/>
      <c r="Q396" s="171"/>
      <c r="R396" s="172"/>
      <c r="S396" s="172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43"/>
      <c r="AF396" s="143"/>
      <c r="AG396" s="143"/>
      <c r="AH396" s="143"/>
      <c r="AI396" s="143"/>
      <c r="AJ396" s="143"/>
      <c r="AK396" s="143"/>
      <c r="AL396" s="143"/>
      <c r="AM396" s="145"/>
      <c r="AN396" s="151"/>
      <c r="AO396" s="147"/>
    </row>
    <row r="397" spans="3:41">
      <c r="C397" s="136"/>
      <c r="D397" s="136"/>
      <c r="E397" s="19"/>
      <c r="F397" s="15"/>
      <c r="G397" s="138"/>
      <c r="H397" s="138"/>
      <c r="I397" s="126"/>
      <c r="J397" s="15"/>
      <c r="K397" s="15"/>
      <c r="L397" s="20"/>
      <c r="M397" s="20"/>
      <c r="N397" s="126"/>
      <c r="O397" s="126"/>
      <c r="P397" s="126"/>
      <c r="Q397" s="171"/>
      <c r="R397" s="172"/>
      <c r="S397" s="172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43"/>
      <c r="AF397" s="143"/>
      <c r="AG397" s="143"/>
      <c r="AH397" s="143"/>
      <c r="AI397" s="143"/>
      <c r="AJ397" s="143"/>
      <c r="AK397" s="143"/>
      <c r="AL397" s="143"/>
      <c r="AM397" s="145"/>
      <c r="AN397" s="143"/>
      <c r="AO397" s="147"/>
    </row>
    <row r="398" spans="3:41">
      <c r="C398" s="136"/>
      <c r="D398" s="136"/>
      <c r="E398" s="19"/>
      <c r="F398" s="15"/>
      <c r="G398" s="138"/>
      <c r="H398" s="138"/>
      <c r="I398" s="126"/>
      <c r="J398" s="15"/>
      <c r="K398" s="15"/>
      <c r="L398" s="20"/>
      <c r="M398" s="20"/>
      <c r="N398" s="126"/>
      <c r="O398" s="126"/>
      <c r="P398" s="126"/>
      <c r="Q398" s="171"/>
      <c r="R398" s="172"/>
      <c r="S398" s="172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43"/>
      <c r="AF398" s="143"/>
      <c r="AG398" s="143"/>
      <c r="AH398" s="143"/>
      <c r="AI398" s="143"/>
      <c r="AJ398" s="143"/>
      <c r="AK398" s="143"/>
      <c r="AL398" s="143"/>
      <c r="AM398" s="145"/>
      <c r="AN398" s="143"/>
      <c r="AO398" s="146"/>
    </row>
    <row r="399" spans="3:41">
      <c r="C399" s="136"/>
      <c r="D399" s="136"/>
      <c r="E399" s="19"/>
      <c r="F399" s="15"/>
      <c r="G399" s="138"/>
      <c r="H399" s="138"/>
      <c r="I399" s="126"/>
      <c r="J399" s="15"/>
      <c r="K399" s="15"/>
      <c r="L399" s="20"/>
      <c r="M399" s="20"/>
      <c r="N399" s="126"/>
      <c r="O399" s="126"/>
      <c r="P399" s="126"/>
      <c r="Q399" s="171"/>
      <c r="R399" s="172"/>
      <c r="S399" s="172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43"/>
      <c r="AF399" s="143"/>
      <c r="AG399" s="143"/>
      <c r="AH399" s="143"/>
      <c r="AI399" s="143"/>
      <c r="AJ399" s="143"/>
      <c r="AK399" s="143"/>
      <c r="AL399" s="143"/>
      <c r="AM399" s="145"/>
      <c r="AN399" s="143"/>
      <c r="AO399" s="147"/>
    </row>
    <row r="400" spans="3:41">
      <c r="C400" s="136"/>
      <c r="D400" s="136"/>
      <c r="E400" s="19"/>
      <c r="F400" s="15"/>
      <c r="G400" s="138"/>
      <c r="H400" s="138"/>
      <c r="I400" s="126"/>
      <c r="J400" s="15"/>
      <c r="K400" s="15"/>
      <c r="L400" s="20"/>
      <c r="M400" s="20"/>
      <c r="N400" s="126"/>
      <c r="O400" s="126"/>
      <c r="P400" s="126"/>
      <c r="Q400" s="171"/>
      <c r="R400" s="172"/>
      <c r="S400" s="172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43"/>
      <c r="AF400" s="143"/>
      <c r="AG400" s="143"/>
      <c r="AH400" s="143"/>
      <c r="AI400" s="143"/>
      <c r="AJ400" s="143"/>
      <c r="AK400" s="143"/>
      <c r="AL400" s="143"/>
      <c r="AM400" s="145"/>
      <c r="AN400" s="143"/>
      <c r="AO400" s="147"/>
    </row>
    <row r="401" spans="3:41">
      <c r="C401" s="136"/>
      <c r="D401" s="136"/>
      <c r="E401" s="19"/>
      <c r="F401" s="15"/>
      <c r="G401" s="138"/>
      <c r="H401" s="138"/>
      <c r="I401" s="126"/>
      <c r="J401" s="15"/>
      <c r="K401" s="15"/>
      <c r="L401" s="20"/>
      <c r="M401" s="20"/>
      <c r="N401" s="126"/>
      <c r="O401" s="126"/>
      <c r="P401" s="126"/>
      <c r="Q401" s="171"/>
      <c r="R401" s="172"/>
      <c r="S401" s="172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43"/>
      <c r="AF401" s="143"/>
      <c r="AG401" s="143"/>
      <c r="AH401" s="143"/>
      <c r="AI401" s="143"/>
      <c r="AJ401" s="143"/>
      <c r="AK401" s="143"/>
      <c r="AL401" s="143"/>
      <c r="AM401" s="145"/>
      <c r="AN401" s="143"/>
      <c r="AO401" s="146"/>
    </row>
    <row r="402" spans="3:41">
      <c r="C402" s="136"/>
      <c r="D402" s="136"/>
      <c r="E402" s="19"/>
      <c r="F402" s="15"/>
      <c r="G402" s="138"/>
      <c r="H402" s="138"/>
      <c r="I402" s="126"/>
      <c r="J402" s="15"/>
      <c r="K402" s="15"/>
      <c r="L402" s="20"/>
      <c r="M402" s="20"/>
      <c r="N402" s="126"/>
      <c r="O402" s="126"/>
      <c r="P402" s="126"/>
      <c r="Q402" s="171"/>
      <c r="R402" s="172"/>
      <c r="S402" s="172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43"/>
      <c r="AF402" s="143"/>
      <c r="AG402" s="143"/>
      <c r="AH402" s="143"/>
      <c r="AI402" s="143"/>
      <c r="AJ402" s="143"/>
      <c r="AK402" s="143"/>
      <c r="AL402" s="143"/>
      <c r="AM402" s="145"/>
      <c r="AN402" s="143"/>
      <c r="AO402" s="147"/>
    </row>
    <row r="403" spans="3:41">
      <c r="C403" s="136"/>
      <c r="D403" s="136"/>
      <c r="E403" s="19"/>
      <c r="F403" s="15"/>
      <c r="G403" s="138"/>
      <c r="H403" s="138"/>
      <c r="I403" s="126"/>
      <c r="J403" s="15"/>
      <c r="K403" s="15"/>
      <c r="L403" s="20"/>
      <c r="M403" s="20"/>
      <c r="N403" s="126"/>
      <c r="O403" s="126"/>
      <c r="P403" s="126"/>
      <c r="Q403" s="171"/>
      <c r="R403" s="172"/>
      <c r="S403" s="172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43"/>
      <c r="AF403" s="143"/>
      <c r="AG403" s="143"/>
      <c r="AH403" s="143"/>
      <c r="AI403" s="143"/>
      <c r="AJ403" s="143"/>
      <c r="AK403" s="143"/>
      <c r="AL403" s="143"/>
      <c r="AM403" s="145"/>
      <c r="AN403" s="143"/>
      <c r="AO403" s="146"/>
    </row>
    <row r="404" spans="3:41">
      <c r="C404" s="136"/>
      <c r="D404" s="136"/>
      <c r="E404" s="19"/>
      <c r="F404" s="15"/>
      <c r="G404" s="138"/>
      <c r="H404" s="138"/>
      <c r="I404" s="126"/>
      <c r="J404" s="15"/>
      <c r="K404" s="15"/>
      <c r="L404" s="20"/>
      <c r="M404" s="20"/>
      <c r="N404" s="126"/>
      <c r="O404" s="126"/>
      <c r="P404" s="126"/>
      <c r="Q404" s="171"/>
      <c r="R404" s="172"/>
      <c r="S404" s="172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43"/>
      <c r="AF404" s="143"/>
      <c r="AG404" s="143"/>
      <c r="AH404" s="143"/>
      <c r="AI404" s="143"/>
      <c r="AJ404" s="143"/>
      <c r="AK404" s="143"/>
      <c r="AL404" s="143"/>
      <c r="AM404" s="145"/>
      <c r="AN404" s="143"/>
      <c r="AO404" s="147"/>
    </row>
    <row r="405" spans="3:41">
      <c r="C405" s="136"/>
      <c r="D405" s="136"/>
      <c r="E405" s="19"/>
      <c r="F405" s="15"/>
      <c r="G405" s="138"/>
      <c r="H405" s="138"/>
      <c r="I405" s="126"/>
      <c r="J405" s="15"/>
      <c r="K405" s="15"/>
      <c r="L405" s="20"/>
      <c r="M405" s="20"/>
      <c r="N405" s="126"/>
      <c r="O405" s="126"/>
      <c r="P405" s="126"/>
      <c r="Q405" s="171"/>
      <c r="R405" s="173"/>
      <c r="S405" s="172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43"/>
      <c r="AF405" s="143"/>
      <c r="AG405" s="143"/>
      <c r="AH405" s="143"/>
      <c r="AI405" s="143"/>
      <c r="AJ405" s="143"/>
      <c r="AK405" s="143"/>
      <c r="AL405" s="143"/>
      <c r="AM405" s="145"/>
      <c r="AN405" s="143"/>
      <c r="AO405" s="147"/>
    </row>
    <row r="406" spans="3:41">
      <c r="C406" s="136"/>
      <c r="D406" s="136"/>
      <c r="E406" s="19"/>
      <c r="F406" s="15"/>
      <c r="G406" s="138"/>
      <c r="H406" s="138"/>
      <c r="I406" s="126"/>
      <c r="J406" s="15"/>
      <c r="K406" s="15"/>
      <c r="L406" s="20"/>
      <c r="M406" s="20"/>
      <c r="N406" s="126"/>
      <c r="O406" s="126"/>
      <c r="P406" s="126"/>
      <c r="Q406" s="171"/>
      <c r="R406" s="173"/>
      <c r="S406" s="172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43"/>
      <c r="AF406" s="143"/>
      <c r="AG406" s="143"/>
      <c r="AH406" s="143"/>
      <c r="AI406" s="143"/>
      <c r="AJ406" s="143"/>
      <c r="AK406" s="143"/>
      <c r="AL406" s="143"/>
      <c r="AM406" s="145"/>
      <c r="AN406" s="143"/>
      <c r="AO406" s="147"/>
    </row>
    <row r="407" spans="3:41">
      <c r="C407" s="136"/>
      <c r="D407" s="136"/>
      <c r="E407" s="19"/>
      <c r="F407" s="15"/>
      <c r="G407" s="138"/>
      <c r="H407" s="138"/>
      <c r="I407" s="126"/>
      <c r="J407" s="15"/>
      <c r="K407" s="15"/>
      <c r="L407" s="20"/>
      <c r="M407" s="20"/>
      <c r="N407" s="126"/>
      <c r="O407" s="126"/>
      <c r="P407" s="126"/>
      <c r="Q407" s="171"/>
      <c r="R407" s="173"/>
      <c r="S407" s="172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43"/>
      <c r="AF407" s="143"/>
      <c r="AG407" s="143"/>
      <c r="AH407" s="143"/>
      <c r="AI407" s="143"/>
      <c r="AJ407" s="143"/>
      <c r="AK407" s="143"/>
      <c r="AL407" s="143"/>
      <c r="AM407" s="145"/>
      <c r="AN407" s="143"/>
      <c r="AO407" s="146"/>
    </row>
    <row r="408" spans="3:41">
      <c r="C408" s="136"/>
      <c r="D408" s="136"/>
      <c r="E408" s="19"/>
      <c r="F408" s="15"/>
      <c r="G408" s="138"/>
      <c r="H408" s="138"/>
      <c r="I408" s="126"/>
      <c r="J408" s="15"/>
      <c r="K408" s="15"/>
      <c r="L408" s="20"/>
      <c r="M408" s="20"/>
      <c r="N408" s="126"/>
      <c r="O408" s="126"/>
      <c r="P408" s="126"/>
      <c r="Q408" s="171"/>
      <c r="R408" s="173"/>
      <c r="S408" s="172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43"/>
      <c r="AF408" s="143"/>
      <c r="AG408" s="143"/>
      <c r="AH408" s="143"/>
      <c r="AI408" s="143"/>
      <c r="AJ408" s="143"/>
      <c r="AK408" s="143"/>
      <c r="AL408" s="143"/>
      <c r="AM408" s="145"/>
      <c r="AN408" s="143"/>
      <c r="AO408" s="147"/>
    </row>
    <row r="409" spans="3:41">
      <c r="C409" s="136"/>
      <c r="D409" s="136"/>
      <c r="E409" s="19"/>
      <c r="F409" s="15"/>
      <c r="G409" s="138"/>
      <c r="H409" s="138"/>
      <c r="I409" s="126"/>
      <c r="J409" s="15"/>
      <c r="K409" s="15"/>
      <c r="L409" s="20"/>
      <c r="M409" s="20"/>
      <c r="N409" s="126"/>
      <c r="O409" s="126"/>
      <c r="P409" s="126"/>
      <c r="Q409" s="171"/>
      <c r="R409" s="173"/>
      <c r="S409" s="172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43"/>
      <c r="AF409" s="143"/>
      <c r="AG409" s="143"/>
      <c r="AH409" s="143"/>
      <c r="AI409" s="143"/>
      <c r="AJ409" s="143"/>
      <c r="AK409" s="143"/>
      <c r="AL409" s="143"/>
      <c r="AM409" s="145"/>
      <c r="AN409" s="143"/>
      <c r="AO409" s="147"/>
    </row>
    <row r="410" spans="3:41">
      <c r="C410" s="136"/>
      <c r="D410" s="136"/>
      <c r="E410" s="19"/>
      <c r="F410" s="15"/>
      <c r="G410" s="138"/>
      <c r="H410" s="138"/>
      <c r="I410" s="126"/>
      <c r="J410" s="15"/>
      <c r="K410" s="15"/>
      <c r="L410" s="20"/>
      <c r="M410" s="20"/>
      <c r="N410" s="126"/>
      <c r="O410" s="126"/>
      <c r="P410" s="126"/>
      <c r="Q410" s="171"/>
      <c r="R410" s="173"/>
      <c r="S410" s="172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43"/>
      <c r="AF410" s="143"/>
      <c r="AG410" s="143"/>
      <c r="AH410" s="143"/>
      <c r="AI410" s="143"/>
      <c r="AJ410" s="143"/>
      <c r="AK410" s="143"/>
      <c r="AL410" s="143"/>
      <c r="AM410" s="145"/>
      <c r="AN410" s="143"/>
      <c r="AO410" s="147"/>
    </row>
    <row r="411" spans="3:41">
      <c r="C411" s="136"/>
      <c r="D411" s="136"/>
      <c r="E411" s="19"/>
      <c r="F411" s="15"/>
      <c r="G411" s="138"/>
      <c r="H411" s="138"/>
      <c r="I411" s="126"/>
      <c r="J411" s="15"/>
      <c r="K411" s="15"/>
      <c r="L411" s="20"/>
      <c r="M411" s="20"/>
      <c r="N411" s="126"/>
      <c r="O411" s="126"/>
      <c r="P411" s="126"/>
      <c r="Q411" s="171"/>
      <c r="R411" s="173"/>
      <c r="S411" s="172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43"/>
      <c r="AF411" s="143"/>
      <c r="AG411" s="143"/>
      <c r="AH411" s="143"/>
      <c r="AI411" s="143"/>
      <c r="AJ411" s="143"/>
      <c r="AK411" s="143"/>
      <c r="AL411" s="143"/>
      <c r="AM411" s="143"/>
      <c r="AN411" s="147"/>
      <c r="AO411" s="143"/>
    </row>
    <row r="412" spans="3:41">
      <c r="C412" s="136"/>
      <c r="D412" s="136"/>
      <c r="E412" s="19"/>
      <c r="F412" s="15"/>
      <c r="G412" s="138"/>
      <c r="H412" s="138"/>
      <c r="I412" s="126"/>
      <c r="J412" s="15"/>
      <c r="K412" s="15"/>
      <c r="L412" s="20"/>
      <c r="M412" s="20"/>
      <c r="N412" s="126"/>
      <c r="O412" s="126"/>
      <c r="P412" s="126"/>
      <c r="Q412" s="171"/>
      <c r="R412" s="173"/>
      <c r="S412" s="172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43"/>
      <c r="AF412" s="143"/>
      <c r="AG412" s="143"/>
      <c r="AH412" s="143"/>
      <c r="AI412" s="143"/>
      <c r="AJ412" s="143"/>
      <c r="AK412" s="143"/>
      <c r="AL412" s="143"/>
      <c r="AM412" s="143"/>
      <c r="AN412" s="147"/>
      <c r="AO412" s="147"/>
    </row>
    <row r="413" spans="3:41">
      <c r="C413" s="136"/>
      <c r="D413" s="136"/>
      <c r="E413" s="19"/>
      <c r="F413" s="15"/>
      <c r="G413" s="138"/>
      <c r="H413" s="138"/>
      <c r="I413" s="126"/>
      <c r="J413" s="15"/>
      <c r="K413" s="15"/>
      <c r="L413" s="20"/>
      <c r="M413" s="20"/>
      <c r="N413" s="126"/>
      <c r="O413" s="126"/>
      <c r="P413" s="126"/>
      <c r="Q413" s="171"/>
      <c r="R413" s="173"/>
      <c r="S413" s="172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43"/>
      <c r="AF413" s="143"/>
      <c r="AG413" s="143"/>
      <c r="AH413" s="143"/>
      <c r="AI413" s="143"/>
      <c r="AJ413" s="143"/>
      <c r="AK413" s="143"/>
      <c r="AL413" s="143"/>
      <c r="AM413" s="143"/>
      <c r="AN413" s="147"/>
      <c r="AO413" s="147"/>
    </row>
    <row r="414" spans="3:41">
      <c r="C414" s="136"/>
      <c r="D414" s="136"/>
      <c r="E414" s="19"/>
      <c r="F414" s="15"/>
      <c r="G414" s="138"/>
      <c r="H414" s="138"/>
      <c r="I414" s="126"/>
      <c r="J414" s="15"/>
      <c r="K414" s="15"/>
      <c r="L414" s="20"/>
      <c r="M414" s="20"/>
      <c r="N414" s="126"/>
      <c r="O414" s="126"/>
      <c r="P414" s="126"/>
      <c r="Q414" s="171"/>
      <c r="R414" s="173"/>
      <c r="S414" s="172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43"/>
      <c r="AF414" s="143"/>
      <c r="AG414" s="143"/>
      <c r="AH414" s="143"/>
      <c r="AI414" s="143"/>
      <c r="AJ414" s="143"/>
      <c r="AK414" s="143"/>
      <c r="AL414" s="143"/>
      <c r="AM414" s="143"/>
      <c r="AN414" s="147"/>
      <c r="AO414" s="151"/>
    </row>
    <row r="415" spans="3:41">
      <c r="C415" s="136"/>
      <c r="D415" s="136"/>
      <c r="E415" s="19"/>
      <c r="F415" s="15"/>
      <c r="G415" s="138"/>
      <c r="H415" s="138"/>
      <c r="I415" s="126"/>
      <c r="J415" s="15"/>
      <c r="K415" s="15"/>
      <c r="L415" s="20"/>
      <c r="M415" s="20"/>
      <c r="N415" s="126"/>
      <c r="O415" s="126"/>
      <c r="P415" s="126"/>
      <c r="Q415" s="171"/>
      <c r="R415" s="173"/>
      <c r="S415" s="172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43"/>
      <c r="AF415" s="143"/>
      <c r="AG415" s="143"/>
      <c r="AH415" s="143"/>
      <c r="AI415" s="143"/>
      <c r="AJ415" s="143"/>
      <c r="AK415" s="143"/>
      <c r="AL415" s="143"/>
      <c r="AM415" s="143"/>
      <c r="AN415" s="147"/>
      <c r="AO415" s="151"/>
    </row>
    <row r="416" spans="3:41">
      <c r="C416" s="136"/>
      <c r="D416" s="136"/>
      <c r="E416" s="19"/>
      <c r="F416" s="15"/>
      <c r="G416" s="138"/>
      <c r="H416" s="138"/>
      <c r="I416" s="126"/>
      <c r="J416" s="15"/>
      <c r="K416" s="15"/>
      <c r="L416" s="20"/>
      <c r="M416" s="20"/>
      <c r="N416" s="126"/>
      <c r="O416" s="126"/>
      <c r="P416" s="126"/>
      <c r="Q416" s="171"/>
      <c r="R416" s="173"/>
      <c r="S416" s="172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43"/>
      <c r="AF416" s="143"/>
      <c r="AG416" s="143"/>
      <c r="AH416" s="143"/>
      <c r="AI416" s="143"/>
      <c r="AJ416" s="143"/>
      <c r="AK416" s="143"/>
      <c r="AL416" s="143"/>
      <c r="AM416" s="143"/>
      <c r="AN416" s="147"/>
      <c r="AO416" s="147"/>
    </row>
    <row r="417" spans="3:41">
      <c r="C417" s="136"/>
      <c r="D417" s="136"/>
      <c r="E417" s="19"/>
      <c r="F417" s="15"/>
      <c r="G417" s="138"/>
      <c r="H417" s="138"/>
      <c r="I417" s="126"/>
      <c r="J417" s="15"/>
      <c r="K417" s="15"/>
      <c r="L417" s="20"/>
      <c r="M417" s="20"/>
      <c r="N417" s="126"/>
      <c r="O417" s="126"/>
      <c r="P417" s="126"/>
      <c r="Q417" s="171"/>
      <c r="R417" s="173"/>
      <c r="S417" s="172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43"/>
      <c r="AF417" s="143"/>
      <c r="AG417" s="143"/>
      <c r="AH417" s="143"/>
      <c r="AI417" s="143"/>
      <c r="AJ417" s="143"/>
      <c r="AK417" s="143"/>
      <c r="AL417" s="143"/>
      <c r="AM417" s="145"/>
      <c r="AN417" s="143"/>
      <c r="AO417" s="144"/>
    </row>
    <row r="418" spans="3:41">
      <c r="C418" s="136"/>
      <c r="D418" s="136"/>
      <c r="E418" s="19"/>
      <c r="F418" s="15"/>
      <c r="G418" s="138"/>
      <c r="H418" s="138"/>
      <c r="I418" s="126"/>
      <c r="J418" s="15"/>
      <c r="K418" s="15"/>
      <c r="L418" s="20"/>
      <c r="M418" s="20"/>
      <c r="N418" s="126"/>
      <c r="O418" s="126"/>
      <c r="P418" s="126"/>
      <c r="Q418" s="171"/>
      <c r="R418" s="173"/>
      <c r="S418" s="172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43"/>
      <c r="AF418" s="143"/>
      <c r="AG418" s="143"/>
      <c r="AH418" s="143"/>
      <c r="AI418" s="143"/>
      <c r="AJ418" s="143"/>
      <c r="AK418" s="143"/>
      <c r="AL418" s="143"/>
      <c r="AM418" s="143"/>
      <c r="AN418" s="143"/>
      <c r="AO418" s="147"/>
    </row>
    <row r="419" spans="3:41">
      <c r="C419" s="136"/>
      <c r="D419" s="136"/>
      <c r="E419" s="19"/>
      <c r="F419" s="15"/>
      <c r="G419" s="138"/>
      <c r="H419" s="138"/>
      <c r="I419" s="126"/>
      <c r="J419" s="15"/>
      <c r="K419" s="15"/>
      <c r="L419" s="20"/>
      <c r="M419" s="20"/>
      <c r="N419" s="126"/>
      <c r="O419" s="126"/>
      <c r="P419" s="126"/>
      <c r="Q419" s="171"/>
      <c r="R419" s="172"/>
      <c r="S419" s="172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43"/>
      <c r="AF419" s="143"/>
      <c r="AG419" s="143"/>
      <c r="AH419" s="143"/>
      <c r="AI419" s="143"/>
      <c r="AJ419" s="143"/>
      <c r="AK419" s="143"/>
      <c r="AL419" s="143"/>
      <c r="AM419" s="145"/>
      <c r="AN419" s="143"/>
      <c r="AO419" s="147"/>
    </row>
    <row r="420" spans="3:41">
      <c r="C420" s="136"/>
      <c r="D420" s="136"/>
      <c r="E420" s="19"/>
      <c r="F420" s="15"/>
      <c r="G420" s="138"/>
      <c r="H420" s="138"/>
      <c r="I420" s="126"/>
      <c r="J420" s="15"/>
      <c r="K420" s="15"/>
      <c r="L420" s="20"/>
      <c r="M420" s="20"/>
      <c r="N420" s="126"/>
      <c r="O420" s="126"/>
      <c r="P420" s="126"/>
      <c r="Q420" s="171"/>
      <c r="R420" s="172"/>
      <c r="S420" s="172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43"/>
      <c r="AF420" s="143"/>
      <c r="AG420" s="143"/>
      <c r="AH420" s="143"/>
      <c r="AI420" s="143"/>
      <c r="AJ420" s="143"/>
      <c r="AK420" s="143"/>
      <c r="AL420" s="143"/>
      <c r="AM420" s="145"/>
      <c r="AN420" s="143"/>
      <c r="AO420" s="151"/>
    </row>
    <row r="421" spans="3:41">
      <c r="C421" s="136"/>
      <c r="D421" s="136"/>
      <c r="E421" s="19"/>
      <c r="F421" s="15"/>
      <c r="G421" s="138"/>
      <c r="H421" s="138"/>
      <c r="I421" s="126"/>
      <c r="J421" s="15"/>
      <c r="K421" s="15"/>
      <c r="L421" s="20"/>
      <c r="M421" s="20"/>
      <c r="N421" s="126"/>
      <c r="O421" s="126"/>
      <c r="P421" s="126"/>
      <c r="Q421" s="171"/>
      <c r="R421" s="172"/>
      <c r="S421" s="172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43"/>
      <c r="AF421" s="143"/>
      <c r="AG421" s="143"/>
      <c r="AH421" s="143"/>
      <c r="AI421" s="143"/>
      <c r="AJ421" s="143"/>
      <c r="AK421" s="143"/>
      <c r="AL421" s="143"/>
      <c r="AM421" s="145"/>
      <c r="AN421" s="143"/>
      <c r="AO421" s="151"/>
    </row>
    <row r="422" spans="3:41">
      <c r="C422" s="136"/>
      <c r="D422" s="136"/>
      <c r="E422" s="19"/>
      <c r="F422" s="15"/>
      <c r="G422" s="138"/>
      <c r="H422" s="138"/>
      <c r="I422" s="126"/>
      <c r="J422" s="15"/>
      <c r="K422" s="15"/>
      <c r="L422" s="20"/>
      <c r="M422" s="20"/>
      <c r="N422" s="126"/>
      <c r="O422" s="126"/>
      <c r="P422" s="126"/>
      <c r="Q422" s="171"/>
      <c r="R422" s="172"/>
      <c r="S422" s="172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43"/>
      <c r="AF422" s="143"/>
      <c r="AG422" s="143"/>
      <c r="AH422" s="143"/>
      <c r="AI422" s="143"/>
      <c r="AJ422" s="143"/>
      <c r="AK422" s="143"/>
      <c r="AL422" s="143"/>
      <c r="AM422" s="145"/>
      <c r="AN422" s="143"/>
      <c r="AO422" s="147"/>
    </row>
    <row r="423" spans="3:41">
      <c r="C423" s="136"/>
      <c r="D423" s="136"/>
      <c r="E423" s="19"/>
      <c r="F423" s="15"/>
      <c r="G423" s="138"/>
      <c r="H423" s="138"/>
      <c r="I423" s="126"/>
      <c r="J423" s="15"/>
      <c r="K423" s="15"/>
      <c r="L423" s="20"/>
      <c r="M423" s="20"/>
      <c r="N423" s="126"/>
      <c r="O423" s="126"/>
      <c r="P423" s="126"/>
      <c r="Q423" s="171"/>
      <c r="R423" s="172"/>
      <c r="S423" s="172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43"/>
      <c r="AF423" s="143"/>
      <c r="AG423" s="143"/>
      <c r="AH423" s="143"/>
      <c r="AI423" s="143"/>
      <c r="AJ423" s="143"/>
      <c r="AK423" s="143"/>
      <c r="AL423" s="143"/>
      <c r="AM423" s="145"/>
      <c r="AN423" s="143"/>
      <c r="AO423" s="143"/>
    </row>
    <row r="424" spans="3:41">
      <c r="C424" s="136"/>
      <c r="D424" s="136"/>
      <c r="E424" s="19"/>
      <c r="F424" s="15"/>
      <c r="G424" s="138"/>
      <c r="H424" s="138"/>
      <c r="I424" s="126"/>
      <c r="J424" s="15"/>
      <c r="K424" s="15"/>
      <c r="L424" s="20"/>
      <c r="M424" s="20"/>
      <c r="N424" s="126"/>
      <c r="O424" s="126"/>
      <c r="P424" s="126"/>
      <c r="Q424" s="171"/>
      <c r="R424" s="172"/>
      <c r="S424" s="172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43"/>
      <c r="AF424" s="143"/>
      <c r="AG424" s="143"/>
      <c r="AH424" s="143"/>
      <c r="AI424" s="143"/>
      <c r="AJ424" s="143"/>
      <c r="AK424" s="143"/>
      <c r="AL424" s="143"/>
      <c r="AM424" s="143"/>
      <c r="AN424" s="143"/>
      <c r="AO424" s="147"/>
    </row>
    <row r="425" spans="3:41">
      <c r="C425" s="136"/>
      <c r="D425" s="136"/>
      <c r="E425" s="19"/>
      <c r="F425" s="15"/>
      <c r="G425" s="138"/>
      <c r="H425" s="138"/>
      <c r="I425" s="126"/>
      <c r="J425" s="15"/>
      <c r="K425" s="15"/>
      <c r="L425" s="20"/>
      <c r="M425" s="20"/>
      <c r="N425" s="126"/>
      <c r="O425" s="126"/>
      <c r="P425" s="126"/>
      <c r="Q425" s="171"/>
      <c r="R425" s="172"/>
      <c r="S425" s="172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43"/>
      <c r="AF425" s="143"/>
      <c r="AG425" s="143"/>
      <c r="AH425" s="143"/>
      <c r="AI425" s="143"/>
      <c r="AJ425" s="143"/>
      <c r="AK425" s="143"/>
      <c r="AL425" s="143"/>
      <c r="AM425" s="143"/>
      <c r="AN425" s="143"/>
      <c r="AO425" s="151"/>
    </row>
    <row r="426" spans="3:41">
      <c r="C426" s="136"/>
      <c r="D426" s="136"/>
      <c r="E426" s="19"/>
      <c r="F426" s="15"/>
      <c r="G426" s="138"/>
      <c r="H426" s="138"/>
      <c r="I426" s="126"/>
      <c r="J426" s="15"/>
      <c r="K426" s="15"/>
      <c r="L426" s="20"/>
      <c r="M426" s="20"/>
      <c r="N426" s="126"/>
      <c r="O426" s="126"/>
      <c r="P426" s="126"/>
      <c r="Q426" s="171"/>
      <c r="R426" s="172"/>
      <c r="S426" s="172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43"/>
      <c r="AF426" s="143"/>
      <c r="AG426" s="143"/>
      <c r="AH426" s="143"/>
      <c r="AI426" s="143"/>
      <c r="AJ426" s="143"/>
      <c r="AK426" s="143"/>
      <c r="AL426" s="143"/>
      <c r="AM426" s="145"/>
      <c r="AN426" s="143"/>
      <c r="AO426" s="147"/>
    </row>
    <row r="427" spans="3:41">
      <c r="C427" s="136"/>
      <c r="D427" s="136"/>
      <c r="E427" s="19"/>
      <c r="F427" s="15"/>
      <c r="G427" s="138"/>
      <c r="H427" s="138"/>
      <c r="I427" s="126"/>
      <c r="J427" s="15"/>
      <c r="K427" s="15"/>
      <c r="L427" s="20"/>
      <c r="M427" s="20"/>
      <c r="N427" s="126"/>
      <c r="O427" s="126"/>
      <c r="P427" s="126"/>
      <c r="Q427" s="171"/>
      <c r="R427" s="172"/>
      <c r="S427" s="172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43"/>
      <c r="AF427" s="143"/>
      <c r="AG427" s="143"/>
      <c r="AH427" s="143"/>
      <c r="AI427" s="186"/>
      <c r="AJ427" s="143"/>
      <c r="AK427" s="143"/>
      <c r="AL427" s="143"/>
      <c r="AM427" s="145"/>
      <c r="AN427" s="143"/>
      <c r="AO427" s="147"/>
    </row>
    <row r="428" spans="3:41">
      <c r="C428" s="136"/>
      <c r="D428" s="136"/>
      <c r="E428" s="19"/>
      <c r="F428" s="15"/>
      <c r="G428" s="138"/>
      <c r="H428" s="138"/>
      <c r="I428" s="126"/>
      <c r="J428" s="15"/>
      <c r="K428" s="15"/>
      <c r="L428" s="20"/>
      <c r="M428" s="20"/>
      <c r="N428" s="126"/>
      <c r="O428" s="126"/>
      <c r="P428" s="126"/>
      <c r="Q428" s="171"/>
      <c r="R428" s="172"/>
      <c r="S428" s="172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43"/>
      <c r="AF428" s="143"/>
      <c r="AG428" s="143"/>
      <c r="AH428" s="143"/>
      <c r="AI428" s="143"/>
      <c r="AJ428" s="143"/>
      <c r="AK428" s="143"/>
      <c r="AL428" s="143"/>
      <c r="AM428" s="145"/>
      <c r="AN428" s="143"/>
      <c r="AO428" s="147"/>
    </row>
    <row r="429" spans="3:41">
      <c r="C429" s="136"/>
      <c r="D429" s="136"/>
      <c r="E429" s="19"/>
      <c r="F429" s="15"/>
      <c r="G429" s="138"/>
      <c r="H429" s="138"/>
      <c r="I429" s="126"/>
      <c r="J429" s="15"/>
      <c r="K429" s="15"/>
      <c r="L429" s="20"/>
      <c r="M429" s="20"/>
      <c r="N429" s="126"/>
      <c r="O429" s="126"/>
      <c r="P429" s="126"/>
      <c r="Q429" s="171"/>
      <c r="R429" s="172"/>
      <c r="S429" s="172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43"/>
      <c r="AF429" s="143"/>
      <c r="AG429" s="143"/>
      <c r="AH429" s="143"/>
      <c r="AI429" s="143"/>
      <c r="AJ429" s="143"/>
      <c r="AK429" s="143"/>
      <c r="AL429" s="143"/>
      <c r="AM429" s="145"/>
      <c r="AN429" s="143"/>
      <c r="AO429" s="147"/>
    </row>
    <row r="430" spans="3:41">
      <c r="C430" s="136"/>
      <c r="D430" s="136"/>
      <c r="E430" s="19"/>
      <c r="F430" s="15"/>
      <c r="G430" s="138"/>
      <c r="H430" s="138"/>
      <c r="I430" s="126"/>
      <c r="J430" s="15"/>
      <c r="K430" s="15"/>
      <c r="L430" s="20"/>
      <c r="M430" s="20"/>
      <c r="N430" s="126"/>
      <c r="O430" s="126"/>
      <c r="P430" s="126"/>
      <c r="Q430" s="171"/>
      <c r="R430" s="172"/>
      <c r="S430" s="172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43"/>
      <c r="AF430" s="143"/>
      <c r="AG430" s="143"/>
      <c r="AH430" s="143"/>
      <c r="AI430" s="143"/>
      <c r="AJ430" s="143"/>
      <c r="AK430" s="143"/>
      <c r="AL430" s="143"/>
      <c r="AM430" s="145"/>
      <c r="AN430" s="143"/>
      <c r="AO430" s="151"/>
    </row>
    <row r="431" spans="3:41">
      <c r="C431" s="136"/>
      <c r="D431" s="136"/>
      <c r="E431" s="19"/>
      <c r="F431" s="15"/>
      <c r="G431" s="138"/>
      <c r="H431" s="138"/>
      <c r="I431" s="126"/>
      <c r="J431" s="15"/>
      <c r="K431" s="15"/>
      <c r="L431" s="20"/>
      <c r="M431" s="20"/>
      <c r="N431" s="126"/>
      <c r="O431" s="126"/>
      <c r="P431" s="126"/>
      <c r="Q431" s="171"/>
      <c r="R431" s="172"/>
      <c r="S431" s="172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43"/>
      <c r="AF431" s="143"/>
      <c r="AG431" s="143"/>
      <c r="AH431" s="143"/>
      <c r="AI431" s="143"/>
      <c r="AJ431" s="143"/>
      <c r="AK431" s="143"/>
      <c r="AL431" s="143"/>
      <c r="AM431" s="145"/>
      <c r="AN431" s="143"/>
      <c r="AO431" s="143"/>
    </row>
    <row r="432" spans="3:41">
      <c r="C432" s="136"/>
      <c r="D432" s="136"/>
      <c r="E432" s="19"/>
      <c r="F432" s="15"/>
      <c r="G432" s="138"/>
      <c r="H432" s="138"/>
      <c r="I432" s="126"/>
      <c r="J432" s="15"/>
      <c r="K432" s="15"/>
      <c r="L432" s="20"/>
      <c r="M432" s="20"/>
      <c r="N432" s="126"/>
      <c r="O432" s="126"/>
      <c r="P432" s="126"/>
      <c r="Q432" s="171"/>
      <c r="R432" s="172"/>
      <c r="S432" s="172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43"/>
      <c r="AF432" s="143"/>
      <c r="AG432" s="143"/>
      <c r="AH432" s="143"/>
      <c r="AI432" s="143"/>
      <c r="AJ432" s="143"/>
      <c r="AK432" s="143"/>
      <c r="AL432" s="143"/>
      <c r="AM432" s="145"/>
      <c r="AN432" s="143"/>
      <c r="AO432" s="143"/>
    </row>
    <row r="433" spans="3:41">
      <c r="C433" s="136"/>
      <c r="D433" s="136"/>
      <c r="E433" s="19"/>
      <c r="F433" s="15"/>
      <c r="G433" s="138"/>
      <c r="H433" s="138"/>
      <c r="I433" s="126"/>
      <c r="J433" s="15"/>
      <c r="K433" s="15"/>
      <c r="L433" s="20"/>
      <c r="M433" s="20"/>
      <c r="N433" s="126"/>
      <c r="O433" s="126"/>
      <c r="P433" s="126"/>
      <c r="Q433" s="171"/>
      <c r="R433" s="172"/>
      <c r="S433" s="172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43"/>
      <c r="AF433" s="143"/>
      <c r="AG433" s="143"/>
      <c r="AH433" s="143"/>
      <c r="AI433" s="143"/>
      <c r="AJ433" s="143"/>
      <c r="AK433" s="143"/>
      <c r="AL433" s="143"/>
      <c r="AM433" s="145"/>
      <c r="AN433" s="143"/>
      <c r="AO433" s="151"/>
    </row>
    <row r="434" spans="3:41">
      <c r="C434" s="136"/>
      <c r="D434" s="136"/>
      <c r="E434" s="19"/>
      <c r="F434" s="15"/>
      <c r="G434" s="138"/>
      <c r="H434" s="138"/>
      <c r="I434" s="126"/>
      <c r="J434" s="15"/>
      <c r="K434" s="15"/>
      <c r="L434" s="20"/>
      <c r="M434" s="20"/>
      <c r="N434" s="126"/>
      <c r="O434" s="126"/>
      <c r="P434" s="126"/>
      <c r="Q434" s="171"/>
      <c r="R434" s="173"/>
      <c r="S434" s="172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43"/>
      <c r="AF434" s="143"/>
      <c r="AG434" s="143"/>
      <c r="AH434" s="143"/>
      <c r="AI434" s="143"/>
      <c r="AJ434" s="143"/>
      <c r="AK434" s="143"/>
      <c r="AL434" s="143"/>
      <c r="AM434" s="145"/>
      <c r="AN434" s="153"/>
      <c r="AO434" s="151"/>
    </row>
    <row r="435" spans="3:41">
      <c r="C435" s="136"/>
      <c r="D435" s="136"/>
      <c r="E435" s="19"/>
      <c r="F435" s="15"/>
      <c r="G435" s="138"/>
      <c r="H435" s="138"/>
      <c r="I435" s="126"/>
      <c r="J435" s="15"/>
      <c r="K435" s="15"/>
      <c r="L435" s="20"/>
      <c r="M435" s="20"/>
      <c r="N435" s="126"/>
      <c r="O435" s="126"/>
      <c r="P435" s="126"/>
      <c r="Q435" s="171"/>
      <c r="R435" s="173"/>
      <c r="S435" s="172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43"/>
      <c r="AF435" s="143"/>
      <c r="AG435" s="143"/>
      <c r="AH435" s="143"/>
      <c r="AI435" s="143"/>
      <c r="AJ435" s="143"/>
      <c r="AK435" s="143"/>
      <c r="AL435" s="143"/>
      <c r="AM435" s="145"/>
      <c r="AN435" s="153"/>
      <c r="AO435" s="143"/>
    </row>
    <row r="436" spans="3:41">
      <c r="C436" s="136"/>
      <c r="D436" s="136"/>
      <c r="E436" s="19"/>
      <c r="F436" s="15"/>
      <c r="G436" s="138"/>
      <c r="H436" s="138"/>
      <c r="I436" s="126"/>
      <c r="J436" s="15"/>
      <c r="K436" s="15"/>
      <c r="L436" s="20"/>
      <c r="M436" s="20"/>
      <c r="N436" s="126"/>
      <c r="O436" s="126"/>
      <c r="P436" s="126"/>
      <c r="Q436" s="171"/>
      <c r="R436" s="173"/>
      <c r="S436" s="172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43"/>
      <c r="AF436" s="143"/>
      <c r="AG436" s="143"/>
      <c r="AH436" s="143"/>
      <c r="AI436" s="143"/>
      <c r="AJ436" s="143"/>
      <c r="AK436" s="143"/>
      <c r="AL436" s="144"/>
      <c r="AM436" s="145"/>
      <c r="AN436" s="153"/>
      <c r="AO436" s="143"/>
    </row>
    <row r="437" spans="3:41">
      <c r="C437" s="136"/>
      <c r="D437" s="136"/>
      <c r="E437" s="19"/>
      <c r="F437" s="15"/>
      <c r="G437" s="138"/>
      <c r="H437" s="138"/>
      <c r="I437" s="126"/>
      <c r="J437" s="15"/>
      <c r="K437" s="15"/>
      <c r="L437" s="20"/>
      <c r="M437" s="20"/>
      <c r="N437" s="126"/>
      <c r="O437" s="126"/>
      <c r="P437" s="126"/>
      <c r="Q437" s="171"/>
      <c r="R437" s="173"/>
      <c r="S437" s="172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43"/>
      <c r="AF437" s="143"/>
      <c r="AG437" s="143"/>
      <c r="AH437" s="143"/>
      <c r="AI437" s="143"/>
      <c r="AJ437" s="143"/>
      <c r="AK437" s="143"/>
      <c r="AL437" s="144"/>
      <c r="AM437" s="145"/>
      <c r="AN437" s="144"/>
      <c r="AO437" s="143"/>
    </row>
    <row r="438" spans="3:41">
      <c r="C438" s="136"/>
      <c r="D438" s="136"/>
      <c r="E438" s="19"/>
      <c r="F438" s="15"/>
      <c r="G438" s="138"/>
      <c r="H438" s="138"/>
      <c r="I438" s="126"/>
      <c r="J438" s="15"/>
      <c r="K438" s="15"/>
      <c r="L438" s="20"/>
      <c r="M438" s="20"/>
      <c r="N438" s="126"/>
      <c r="O438" s="126"/>
      <c r="P438" s="126"/>
      <c r="Q438" s="171"/>
      <c r="R438" s="172"/>
      <c r="S438" s="172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43"/>
      <c r="AF438" s="143"/>
      <c r="AG438" s="143"/>
      <c r="AH438" s="143"/>
      <c r="AI438" s="143"/>
      <c r="AJ438" s="143"/>
      <c r="AK438" s="143"/>
      <c r="AL438" s="144"/>
      <c r="AM438" s="145"/>
      <c r="AN438" s="143"/>
      <c r="AO438" s="143"/>
    </row>
    <row r="439" spans="3:41">
      <c r="C439" s="136"/>
      <c r="D439" s="136"/>
      <c r="E439" s="19"/>
      <c r="F439" s="15"/>
      <c r="G439" s="138"/>
      <c r="H439" s="138"/>
      <c r="I439" s="126"/>
      <c r="J439" s="15"/>
      <c r="K439" s="15"/>
      <c r="L439" s="20"/>
      <c r="M439" s="20"/>
      <c r="N439" s="126"/>
      <c r="O439" s="126"/>
      <c r="P439" s="126"/>
      <c r="Q439" s="171"/>
      <c r="R439" s="172"/>
      <c r="S439" s="172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43"/>
      <c r="AF439" s="143"/>
      <c r="AG439" s="143"/>
      <c r="AH439" s="143"/>
      <c r="AI439" s="143"/>
      <c r="AJ439" s="143"/>
      <c r="AK439" s="143"/>
      <c r="AL439" s="144"/>
      <c r="AM439" s="145"/>
      <c r="AN439" s="153"/>
      <c r="AO439" s="143"/>
    </row>
    <row r="440" spans="3:41">
      <c r="C440" s="136"/>
      <c r="D440" s="136"/>
      <c r="E440" s="19"/>
      <c r="F440" s="15"/>
      <c r="G440" s="138"/>
      <c r="H440" s="138"/>
      <c r="I440" s="126"/>
      <c r="J440" s="15"/>
      <c r="K440" s="15"/>
      <c r="L440" s="20"/>
      <c r="M440" s="20"/>
      <c r="N440" s="126"/>
      <c r="O440" s="126"/>
      <c r="P440" s="126"/>
      <c r="Q440" s="171"/>
      <c r="R440" s="172"/>
      <c r="S440" s="172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43"/>
      <c r="AF440" s="143"/>
      <c r="AG440" s="143"/>
      <c r="AH440" s="143"/>
      <c r="AI440" s="143"/>
      <c r="AJ440" s="143"/>
      <c r="AK440" s="143"/>
      <c r="AL440" s="144"/>
      <c r="AM440" s="145"/>
      <c r="AN440" s="153"/>
      <c r="AO440" s="143"/>
    </row>
    <row r="441" spans="3:41">
      <c r="C441" s="136"/>
      <c r="D441" s="136"/>
      <c r="E441" s="19"/>
      <c r="F441" s="15"/>
      <c r="G441" s="138"/>
      <c r="H441" s="138"/>
      <c r="I441" s="126"/>
      <c r="J441" s="15"/>
      <c r="K441" s="15"/>
      <c r="L441" s="20"/>
      <c r="M441" s="20"/>
      <c r="N441" s="126"/>
      <c r="O441" s="126"/>
      <c r="P441" s="126"/>
      <c r="Q441" s="171"/>
      <c r="R441" s="172"/>
      <c r="S441" s="172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43"/>
      <c r="AF441" s="143"/>
      <c r="AG441" s="143"/>
      <c r="AH441" s="143"/>
      <c r="AI441" s="143"/>
      <c r="AJ441" s="143"/>
      <c r="AK441" s="143"/>
      <c r="AL441" s="144"/>
      <c r="AM441" s="145"/>
      <c r="AN441" s="143"/>
      <c r="AO441" s="143"/>
    </row>
    <row r="442" spans="3:41">
      <c r="C442" s="136"/>
      <c r="D442" s="136"/>
      <c r="E442" s="19"/>
      <c r="F442" s="15"/>
      <c r="G442" s="138"/>
      <c r="H442" s="138"/>
      <c r="I442" s="126"/>
      <c r="J442" s="15"/>
      <c r="K442" s="15"/>
      <c r="L442" s="20"/>
      <c r="M442" s="20"/>
      <c r="N442" s="126"/>
      <c r="O442" s="126"/>
      <c r="P442" s="126"/>
      <c r="Q442" s="171"/>
      <c r="R442" s="172"/>
      <c r="S442" s="172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43"/>
      <c r="AF442" s="143"/>
      <c r="AG442" s="143"/>
      <c r="AH442" s="143"/>
      <c r="AI442" s="143"/>
      <c r="AJ442" s="143"/>
      <c r="AK442" s="143"/>
      <c r="AL442" s="144"/>
      <c r="AM442" s="145"/>
      <c r="AN442" s="143"/>
      <c r="AO442" s="143"/>
    </row>
    <row r="443" spans="3:41">
      <c r="C443" s="136"/>
      <c r="D443" s="136"/>
      <c r="E443" s="19"/>
      <c r="F443" s="15"/>
      <c r="G443" s="138"/>
      <c r="H443" s="138"/>
      <c r="I443" s="126"/>
      <c r="J443" s="15"/>
      <c r="K443" s="15"/>
      <c r="L443" s="20"/>
      <c r="M443" s="20"/>
      <c r="N443" s="126"/>
      <c r="O443" s="126"/>
      <c r="P443" s="126"/>
      <c r="Q443" s="171"/>
      <c r="R443" s="172"/>
      <c r="S443" s="172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43"/>
      <c r="AF443" s="143"/>
      <c r="AG443" s="143"/>
      <c r="AH443" s="143"/>
      <c r="AI443" s="143"/>
      <c r="AJ443" s="143"/>
      <c r="AK443" s="143"/>
      <c r="AL443" s="144"/>
      <c r="AM443" s="145"/>
      <c r="AN443" s="153"/>
      <c r="AO443" s="143"/>
    </row>
    <row r="444" spans="3:41">
      <c r="C444" s="136"/>
      <c r="D444" s="136"/>
      <c r="E444" s="19"/>
      <c r="F444" s="15"/>
      <c r="G444" s="138"/>
      <c r="H444" s="138"/>
      <c r="I444" s="126"/>
      <c r="J444" s="15"/>
      <c r="K444" s="15"/>
      <c r="L444" s="20"/>
      <c r="M444" s="20"/>
      <c r="N444" s="126"/>
      <c r="O444" s="126"/>
      <c r="P444" s="126"/>
      <c r="Q444" s="171"/>
      <c r="R444" s="172"/>
      <c r="S444" s="172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43"/>
      <c r="AF444" s="143"/>
      <c r="AG444" s="143"/>
      <c r="AH444" s="143"/>
      <c r="AI444" s="143"/>
      <c r="AJ444" s="143"/>
      <c r="AK444" s="143"/>
      <c r="AL444" s="144"/>
      <c r="AM444" s="145"/>
      <c r="AN444" s="143"/>
      <c r="AO444" s="143"/>
    </row>
    <row r="445" spans="3:41">
      <c r="C445" s="136"/>
      <c r="D445" s="136"/>
      <c r="E445" s="19"/>
      <c r="F445" s="15"/>
      <c r="G445" s="138"/>
      <c r="H445" s="138"/>
      <c r="I445" s="126"/>
      <c r="J445" s="15"/>
      <c r="K445" s="15"/>
      <c r="L445" s="20"/>
      <c r="M445" s="20"/>
      <c r="N445" s="126"/>
      <c r="O445" s="126"/>
      <c r="P445" s="126"/>
      <c r="Q445" s="171"/>
      <c r="R445" s="172"/>
      <c r="S445" s="172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43"/>
      <c r="AF445" s="143"/>
      <c r="AG445" s="143"/>
      <c r="AH445" s="143"/>
      <c r="AI445" s="143"/>
      <c r="AJ445" s="143"/>
      <c r="AK445" s="143"/>
      <c r="AL445" s="144"/>
      <c r="AM445" s="145"/>
      <c r="AN445" s="143"/>
      <c r="AO445" s="143"/>
    </row>
    <row r="446" spans="3:41">
      <c r="C446" s="136"/>
      <c r="D446" s="136"/>
      <c r="E446" s="19"/>
      <c r="F446" s="15"/>
      <c r="G446" s="138"/>
      <c r="H446" s="138"/>
      <c r="I446" s="126"/>
      <c r="J446" s="15"/>
      <c r="K446" s="15"/>
      <c r="L446" s="20"/>
      <c r="M446" s="20"/>
      <c r="N446" s="126"/>
      <c r="O446" s="126"/>
      <c r="P446" s="126"/>
      <c r="Q446" s="171"/>
      <c r="R446" s="172"/>
      <c r="S446" s="172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43"/>
      <c r="AF446" s="143"/>
      <c r="AG446" s="143"/>
      <c r="AH446" s="143"/>
      <c r="AI446" s="143"/>
      <c r="AJ446" s="143"/>
      <c r="AK446" s="143"/>
      <c r="AL446" s="144"/>
      <c r="AM446" s="145"/>
      <c r="AN446" s="143"/>
      <c r="AO446" s="143"/>
    </row>
    <row r="447" spans="3:41">
      <c r="C447" s="136"/>
      <c r="D447" s="136"/>
      <c r="E447" s="19"/>
      <c r="F447" s="15"/>
      <c r="G447" s="138"/>
      <c r="H447" s="138"/>
      <c r="I447" s="126"/>
      <c r="J447" s="15"/>
      <c r="K447" s="15"/>
      <c r="L447" s="20"/>
      <c r="M447" s="20"/>
      <c r="N447" s="126"/>
      <c r="O447" s="126"/>
      <c r="P447" s="126"/>
      <c r="Q447" s="171"/>
      <c r="R447" s="172"/>
      <c r="S447" s="172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43"/>
      <c r="AF447" s="143"/>
      <c r="AG447" s="143"/>
      <c r="AH447" s="143"/>
      <c r="AI447" s="143"/>
      <c r="AJ447" s="143"/>
      <c r="AK447" s="143"/>
      <c r="AL447" s="144"/>
      <c r="AM447" s="145"/>
      <c r="AN447" s="143"/>
      <c r="AO447" s="143"/>
    </row>
    <row r="448" spans="3:41">
      <c r="C448" s="136"/>
      <c r="D448" s="136"/>
      <c r="E448" s="19"/>
      <c r="F448" s="15"/>
      <c r="G448" s="138"/>
      <c r="H448" s="138"/>
      <c r="I448" s="126"/>
      <c r="J448" s="15"/>
      <c r="K448" s="15"/>
      <c r="L448" s="20"/>
      <c r="M448" s="20"/>
      <c r="N448" s="126"/>
      <c r="O448" s="126"/>
      <c r="P448" s="126"/>
      <c r="Q448" s="171"/>
      <c r="R448" s="172"/>
      <c r="S448" s="172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43"/>
      <c r="AF448" s="143"/>
      <c r="AG448" s="143"/>
      <c r="AH448" s="143"/>
      <c r="AI448" s="143"/>
      <c r="AJ448" s="143"/>
      <c r="AK448" s="143"/>
      <c r="AL448" s="144"/>
      <c r="AM448" s="145"/>
      <c r="AN448" s="153"/>
      <c r="AO448" s="143"/>
    </row>
    <row r="449" spans="3:41">
      <c r="C449" s="136"/>
      <c r="D449" s="136"/>
      <c r="E449" s="19"/>
      <c r="F449" s="15"/>
      <c r="G449" s="138"/>
      <c r="H449" s="138"/>
      <c r="I449" s="126"/>
      <c r="J449" s="15"/>
      <c r="K449" s="15"/>
      <c r="L449" s="20"/>
      <c r="M449" s="20"/>
      <c r="N449" s="126"/>
      <c r="O449" s="126"/>
      <c r="P449" s="126"/>
      <c r="Q449" s="171"/>
      <c r="R449" s="172"/>
      <c r="S449" s="172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43"/>
      <c r="AF449" s="143"/>
      <c r="AG449" s="143"/>
      <c r="AH449" s="143"/>
      <c r="AI449" s="143"/>
      <c r="AJ449" s="143"/>
      <c r="AK449" s="143"/>
      <c r="AL449" s="143"/>
      <c r="AM449" s="145"/>
      <c r="AN449" s="153"/>
      <c r="AO449" s="143"/>
    </row>
    <row r="450" spans="3:41">
      <c r="C450" s="136"/>
      <c r="D450" s="136"/>
      <c r="E450" s="19"/>
      <c r="F450" s="15"/>
      <c r="G450" s="138"/>
      <c r="H450" s="138"/>
      <c r="I450" s="126"/>
      <c r="J450" s="15"/>
      <c r="K450" s="15"/>
      <c r="L450" s="20"/>
      <c r="M450" s="20"/>
      <c r="N450" s="126"/>
      <c r="O450" s="126"/>
      <c r="P450" s="126"/>
      <c r="Q450" s="171"/>
      <c r="R450" s="172"/>
      <c r="S450" s="172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43"/>
      <c r="AF450" s="143"/>
      <c r="AG450" s="143"/>
      <c r="AH450" s="143"/>
      <c r="AI450" s="143"/>
      <c r="AJ450" s="143"/>
      <c r="AK450" s="143"/>
      <c r="AL450" s="143"/>
      <c r="AM450" s="145"/>
      <c r="AN450" s="153"/>
      <c r="AO450" s="143"/>
    </row>
    <row r="451" spans="3:41">
      <c r="C451" s="136"/>
      <c r="D451" s="136"/>
      <c r="E451" s="19"/>
      <c r="F451" s="15"/>
      <c r="G451" s="138"/>
      <c r="H451" s="138"/>
      <c r="I451" s="126"/>
      <c r="J451" s="15"/>
      <c r="K451" s="15"/>
      <c r="L451" s="20"/>
      <c r="M451" s="20"/>
      <c r="N451" s="126"/>
      <c r="O451" s="126"/>
      <c r="P451" s="126"/>
      <c r="Q451" s="171"/>
      <c r="R451" s="172"/>
      <c r="S451" s="172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43"/>
      <c r="AF451" s="143"/>
      <c r="AG451" s="143"/>
      <c r="AH451" s="143"/>
      <c r="AI451" s="143"/>
      <c r="AJ451" s="143"/>
      <c r="AK451" s="143"/>
      <c r="AL451" s="143"/>
      <c r="AM451" s="145"/>
      <c r="AN451" s="153"/>
      <c r="AO451" s="153"/>
    </row>
    <row r="452" spans="3:41">
      <c r="C452" s="136"/>
      <c r="D452" s="136"/>
      <c r="E452" s="19"/>
      <c r="F452" s="15"/>
      <c r="G452" s="138"/>
      <c r="H452" s="138"/>
      <c r="I452" s="126"/>
      <c r="J452" s="15"/>
      <c r="K452" s="15"/>
      <c r="L452" s="20"/>
      <c r="M452" s="20"/>
      <c r="N452" s="126"/>
      <c r="O452" s="126"/>
      <c r="P452" s="126"/>
      <c r="Q452" s="171"/>
      <c r="R452" s="172"/>
      <c r="S452" s="172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43"/>
      <c r="AF452" s="143"/>
      <c r="AG452" s="143"/>
      <c r="AH452" s="143"/>
      <c r="AI452" s="143"/>
      <c r="AJ452" s="143"/>
      <c r="AK452" s="143"/>
      <c r="AL452" s="143"/>
      <c r="AM452" s="145"/>
      <c r="AN452" s="147"/>
      <c r="AO452" s="143"/>
    </row>
    <row r="453" spans="3:41">
      <c r="C453" s="136"/>
      <c r="D453" s="136"/>
      <c r="E453" s="19"/>
      <c r="F453" s="15"/>
      <c r="G453" s="138"/>
      <c r="H453" s="138"/>
      <c r="I453" s="126"/>
      <c r="J453" s="15"/>
      <c r="K453" s="15"/>
      <c r="L453" s="20"/>
      <c r="M453" s="20"/>
      <c r="N453" s="126"/>
      <c r="O453" s="126"/>
      <c r="P453" s="126"/>
      <c r="Q453" s="171"/>
      <c r="R453" s="172"/>
      <c r="S453" s="172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43"/>
      <c r="AF453" s="143"/>
      <c r="AG453" s="143"/>
      <c r="AH453" s="143"/>
      <c r="AI453" s="143"/>
      <c r="AJ453" s="143"/>
      <c r="AK453" s="143"/>
      <c r="AL453" s="143"/>
      <c r="AM453" s="145"/>
      <c r="AN453" s="153"/>
      <c r="AO453" s="143"/>
    </row>
    <row r="454" spans="3:41">
      <c r="C454" s="136"/>
      <c r="D454" s="136"/>
      <c r="E454" s="19"/>
      <c r="F454" s="15"/>
      <c r="G454" s="138"/>
      <c r="H454" s="138"/>
      <c r="I454" s="126"/>
      <c r="J454" s="15"/>
      <c r="K454" s="15"/>
      <c r="L454" s="20"/>
      <c r="M454" s="20"/>
      <c r="N454" s="126"/>
      <c r="O454" s="126"/>
      <c r="P454" s="126"/>
      <c r="Q454" s="171"/>
      <c r="R454" s="172"/>
      <c r="S454" s="172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43"/>
      <c r="AF454" s="143"/>
      <c r="AG454" s="143"/>
      <c r="AH454" s="143"/>
      <c r="AI454" s="143"/>
      <c r="AJ454" s="143"/>
      <c r="AK454" s="143"/>
      <c r="AL454" s="143"/>
      <c r="AM454" s="145"/>
      <c r="AN454" s="147"/>
      <c r="AO454" s="153"/>
    </row>
    <row r="455" spans="3:41">
      <c r="C455" s="136"/>
      <c r="D455" s="136"/>
      <c r="E455" s="19"/>
      <c r="F455" s="15"/>
      <c r="G455" s="138"/>
      <c r="H455" s="138"/>
      <c r="I455" s="126"/>
      <c r="J455" s="15"/>
      <c r="K455" s="15"/>
      <c r="L455" s="20"/>
      <c r="M455" s="20"/>
      <c r="N455" s="126"/>
      <c r="O455" s="126"/>
      <c r="P455" s="126"/>
      <c r="Q455" s="171"/>
      <c r="R455" s="172"/>
      <c r="S455" s="172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43"/>
      <c r="AF455" s="143"/>
      <c r="AG455" s="143"/>
      <c r="AH455" s="143"/>
      <c r="AI455" s="143"/>
      <c r="AJ455" s="143"/>
      <c r="AK455" s="143"/>
      <c r="AL455" s="143"/>
      <c r="AM455" s="145"/>
      <c r="AN455" s="153"/>
      <c r="AO455" s="143"/>
    </row>
    <row r="456" spans="3:41">
      <c r="C456" s="136"/>
      <c r="D456" s="136"/>
      <c r="E456" s="19"/>
      <c r="F456" s="15"/>
      <c r="G456" s="138"/>
      <c r="H456" s="138"/>
      <c r="I456" s="126"/>
      <c r="J456" s="15"/>
      <c r="K456" s="15"/>
      <c r="L456" s="20"/>
      <c r="M456" s="20"/>
      <c r="N456" s="126"/>
      <c r="O456" s="126"/>
      <c r="P456" s="126"/>
      <c r="Q456" s="171"/>
      <c r="R456" s="172"/>
      <c r="S456" s="172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43"/>
      <c r="AF456" s="143"/>
      <c r="AG456" s="143"/>
      <c r="AH456" s="143"/>
      <c r="AI456" s="143"/>
      <c r="AJ456" s="143"/>
      <c r="AK456" s="143"/>
      <c r="AL456" s="143"/>
      <c r="AM456" s="145"/>
      <c r="AN456" s="143"/>
      <c r="AO456" s="153"/>
    </row>
    <row r="457" spans="3:41">
      <c r="C457" s="136"/>
      <c r="D457" s="136"/>
      <c r="E457" s="19"/>
      <c r="F457" s="15"/>
      <c r="G457" s="138"/>
      <c r="H457" s="138"/>
      <c r="I457" s="126"/>
      <c r="J457" s="15"/>
      <c r="K457" s="15"/>
      <c r="L457" s="20"/>
      <c r="M457" s="20"/>
      <c r="N457" s="126"/>
      <c r="O457" s="126"/>
      <c r="P457" s="126"/>
      <c r="Q457" s="171"/>
      <c r="R457" s="172"/>
      <c r="S457" s="172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43"/>
      <c r="AF457" s="143"/>
      <c r="AG457" s="143"/>
      <c r="AH457" s="143"/>
      <c r="AI457" s="143"/>
      <c r="AJ457" s="143"/>
      <c r="AK457" s="143"/>
      <c r="AL457" s="143"/>
      <c r="AM457" s="145"/>
      <c r="AN457" s="153"/>
      <c r="AO457" s="143"/>
    </row>
    <row r="458" spans="3:41">
      <c r="C458" s="136"/>
      <c r="D458" s="136"/>
      <c r="E458" s="19"/>
      <c r="F458" s="15"/>
      <c r="G458" s="138"/>
      <c r="H458" s="138"/>
      <c r="I458" s="126"/>
      <c r="J458" s="15"/>
      <c r="K458" s="15"/>
      <c r="L458" s="20"/>
      <c r="M458" s="20"/>
      <c r="N458" s="126"/>
      <c r="O458" s="126"/>
      <c r="P458" s="126"/>
      <c r="Q458" s="171"/>
      <c r="R458" s="172"/>
      <c r="S458" s="172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43"/>
      <c r="AF458" s="143"/>
      <c r="AG458" s="143"/>
      <c r="AH458" s="143"/>
      <c r="AI458" s="143"/>
      <c r="AJ458" s="143"/>
      <c r="AK458" s="143"/>
      <c r="AL458" s="143"/>
      <c r="AM458" s="145"/>
      <c r="AN458" s="153"/>
      <c r="AO458" s="153"/>
    </row>
    <row r="459" spans="3:41">
      <c r="C459" s="136"/>
      <c r="D459" s="136"/>
      <c r="E459" s="19"/>
      <c r="F459" s="15"/>
      <c r="G459" s="138"/>
      <c r="H459" s="138"/>
      <c r="I459" s="126"/>
      <c r="J459" s="15"/>
      <c r="K459" s="15"/>
      <c r="L459" s="20"/>
      <c r="M459" s="20"/>
      <c r="N459" s="126"/>
      <c r="O459" s="126"/>
      <c r="P459" s="126"/>
      <c r="Q459" s="171"/>
      <c r="R459" s="172"/>
      <c r="S459" s="172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43"/>
      <c r="AF459" s="143"/>
      <c r="AG459" s="143"/>
      <c r="AH459" s="143"/>
      <c r="AI459" s="143"/>
      <c r="AJ459" s="143"/>
      <c r="AK459" s="143"/>
      <c r="AL459" s="143"/>
      <c r="AM459" s="145"/>
      <c r="AN459" s="143"/>
      <c r="AO459" s="153"/>
    </row>
    <row r="460" spans="3:41">
      <c r="C460" s="136"/>
      <c r="D460" s="136"/>
      <c r="E460" s="19"/>
      <c r="F460" s="15"/>
      <c r="G460" s="138"/>
      <c r="H460" s="138"/>
      <c r="I460" s="126"/>
      <c r="J460" s="15"/>
      <c r="K460" s="15"/>
      <c r="L460" s="20"/>
      <c r="M460" s="20"/>
      <c r="N460" s="126"/>
      <c r="O460" s="126"/>
      <c r="P460" s="126"/>
      <c r="Q460" s="171"/>
      <c r="R460" s="172"/>
      <c r="S460" s="172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43"/>
      <c r="AF460" s="143"/>
      <c r="AG460" s="143"/>
      <c r="AH460" s="143"/>
      <c r="AI460" s="143"/>
      <c r="AJ460" s="143"/>
      <c r="AK460" s="143"/>
      <c r="AL460" s="143"/>
      <c r="AM460" s="145"/>
      <c r="AN460" s="153"/>
      <c r="AO460" s="143"/>
    </row>
    <row r="461" spans="3:41">
      <c r="C461" s="136"/>
      <c r="D461" s="136"/>
      <c r="E461" s="19"/>
      <c r="F461" s="15"/>
      <c r="G461" s="138"/>
      <c r="H461" s="138"/>
      <c r="I461" s="126"/>
      <c r="J461" s="15"/>
      <c r="K461" s="15"/>
      <c r="L461" s="20"/>
      <c r="M461" s="20"/>
      <c r="N461" s="126"/>
      <c r="O461" s="126"/>
      <c r="P461" s="126"/>
      <c r="Q461" s="171"/>
      <c r="R461" s="172"/>
      <c r="S461" s="172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43"/>
      <c r="AF461" s="143"/>
      <c r="AG461" s="143"/>
      <c r="AH461" s="143"/>
      <c r="AI461" s="143"/>
      <c r="AJ461" s="143"/>
      <c r="AK461" s="143"/>
      <c r="AL461" s="143"/>
      <c r="AM461" s="145"/>
      <c r="AN461" s="153"/>
      <c r="AO461" s="143"/>
    </row>
    <row r="462" spans="3:41">
      <c r="C462" s="136"/>
      <c r="D462" s="136"/>
      <c r="E462" s="19"/>
      <c r="F462" s="15"/>
      <c r="G462" s="138"/>
      <c r="H462" s="138"/>
      <c r="I462" s="126"/>
      <c r="J462" s="15"/>
      <c r="K462" s="15"/>
      <c r="L462" s="20"/>
      <c r="M462" s="20"/>
      <c r="N462" s="126"/>
      <c r="O462" s="126"/>
      <c r="P462" s="126"/>
      <c r="Q462" s="171"/>
      <c r="R462" s="172"/>
      <c r="S462" s="172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43"/>
      <c r="AF462" s="143"/>
      <c r="AG462" s="143"/>
      <c r="AH462" s="143"/>
      <c r="AI462" s="143"/>
      <c r="AJ462" s="143"/>
      <c r="AK462" s="143"/>
      <c r="AL462" s="143"/>
      <c r="AM462" s="145"/>
      <c r="AN462" s="153"/>
      <c r="AO462" s="153"/>
    </row>
    <row r="463" spans="3:41">
      <c r="C463" s="136"/>
      <c r="D463" s="136"/>
      <c r="E463" s="19"/>
      <c r="F463" s="15"/>
      <c r="G463" s="138"/>
      <c r="H463" s="138"/>
      <c r="I463" s="126"/>
      <c r="J463" s="15"/>
      <c r="K463" s="15"/>
      <c r="L463" s="20"/>
      <c r="M463" s="20"/>
      <c r="N463" s="126"/>
      <c r="O463" s="126"/>
      <c r="P463" s="126"/>
      <c r="Q463" s="171"/>
      <c r="R463" s="172"/>
      <c r="S463" s="172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43"/>
      <c r="AF463" s="143"/>
      <c r="AG463" s="143"/>
      <c r="AH463" s="143"/>
      <c r="AI463" s="143"/>
      <c r="AJ463" s="143"/>
      <c r="AK463" s="143"/>
      <c r="AL463" s="143"/>
      <c r="AM463" s="145"/>
      <c r="AN463" s="143"/>
      <c r="AO463" s="153"/>
    </row>
    <row r="464" spans="3:41">
      <c r="C464" s="136"/>
      <c r="D464" s="136"/>
      <c r="E464" s="19"/>
      <c r="F464" s="15"/>
      <c r="G464" s="138"/>
      <c r="H464" s="138"/>
      <c r="I464" s="126"/>
      <c r="J464" s="15"/>
      <c r="K464" s="15"/>
      <c r="L464" s="20"/>
      <c r="M464" s="20"/>
      <c r="N464" s="126"/>
      <c r="O464" s="126"/>
      <c r="P464" s="126"/>
      <c r="Q464" s="171"/>
      <c r="R464" s="173"/>
      <c r="S464" s="172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43"/>
      <c r="AF464" s="143"/>
      <c r="AG464" s="143"/>
      <c r="AH464" s="143"/>
      <c r="AI464" s="143"/>
      <c r="AJ464" s="143"/>
      <c r="AK464" s="143"/>
      <c r="AL464" s="143"/>
      <c r="AM464" s="145"/>
      <c r="AN464" s="153"/>
      <c r="AO464" s="143"/>
    </row>
    <row r="465" spans="3:41">
      <c r="C465" s="136"/>
      <c r="D465" s="136"/>
      <c r="E465" s="19"/>
      <c r="F465" s="15"/>
      <c r="G465" s="138"/>
      <c r="H465" s="138"/>
      <c r="I465" s="126"/>
      <c r="J465" s="15"/>
      <c r="K465" s="15"/>
      <c r="L465" s="20"/>
      <c r="M465" s="20"/>
      <c r="N465" s="126"/>
      <c r="O465" s="126"/>
      <c r="P465" s="126"/>
      <c r="Q465" s="171"/>
      <c r="R465" s="173"/>
      <c r="S465" s="172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43"/>
      <c r="AF465" s="143"/>
      <c r="AG465" s="143"/>
      <c r="AH465" s="143"/>
      <c r="AI465" s="186"/>
      <c r="AJ465" s="143"/>
      <c r="AK465" s="143"/>
      <c r="AL465" s="143"/>
      <c r="AM465" s="145"/>
      <c r="AN465" s="153"/>
      <c r="AO465" s="143"/>
    </row>
    <row r="466" spans="3:41">
      <c r="C466" s="136"/>
      <c r="D466" s="136"/>
      <c r="E466" s="19"/>
      <c r="F466" s="15"/>
      <c r="G466" s="138"/>
      <c r="H466" s="138"/>
      <c r="I466" s="126"/>
      <c r="J466" s="15"/>
      <c r="K466" s="15"/>
      <c r="L466" s="20"/>
      <c r="M466" s="20"/>
      <c r="N466" s="126"/>
      <c r="O466" s="126"/>
      <c r="P466" s="126"/>
      <c r="Q466" s="171"/>
      <c r="R466" s="173"/>
      <c r="S466" s="172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43"/>
      <c r="AF466" s="143"/>
      <c r="AG466" s="143"/>
      <c r="AH466" s="143"/>
      <c r="AI466" s="143"/>
      <c r="AJ466" s="143"/>
      <c r="AK466" s="143"/>
      <c r="AL466" s="143"/>
      <c r="AM466" s="145"/>
      <c r="AN466" s="144"/>
      <c r="AO466" s="143"/>
    </row>
    <row r="467" spans="3:41">
      <c r="C467" s="136"/>
      <c r="D467" s="136"/>
      <c r="E467" s="19"/>
      <c r="F467" s="15"/>
      <c r="G467" s="138"/>
      <c r="H467" s="138"/>
      <c r="I467" s="126"/>
      <c r="J467" s="15"/>
      <c r="K467" s="15"/>
      <c r="L467" s="20"/>
      <c r="M467" s="20"/>
      <c r="N467" s="126"/>
      <c r="O467" s="126"/>
      <c r="P467" s="126"/>
      <c r="Q467" s="171"/>
      <c r="R467" s="173"/>
      <c r="S467" s="172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43"/>
      <c r="AF467" s="143"/>
      <c r="AG467" s="143"/>
      <c r="AH467" s="143"/>
      <c r="AI467" s="143"/>
      <c r="AJ467" s="143"/>
      <c r="AK467" s="143"/>
      <c r="AL467" s="143"/>
      <c r="AM467" s="145"/>
      <c r="AN467" s="143"/>
      <c r="AO467" s="143"/>
    </row>
    <row r="468" spans="3:41">
      <c r="C468" s="136"/>
      <c r="D468" s="136"/>
      <c r="E468" s="19"/>
      <c r="F468" s="15"/>
      <c r="G468" s="138"/>
      <c r="H468" s="138"/>
      <c r="I468" s="126"/>
      <c r="J468" s="15"/>
      <c r="K468" s="15"/>
      <c r="L468" s="20"/>
      <c r="M468" s="20"/>
      <c r="N468" s="126"/>
      <c r="O468" s="126"/>
      <c r="P468" s="126"/>
      <c r="Q468" s="171"/>
      <c r="R468" s="173"/>
      <c r="S468" s="172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43"/>
      <c r="AF468" s="143"/>
      <c r="AG468" s="143"/>
      <c r="AH468" s="143"/>
      <c r="AI468" s="143"/>
      <c r="AJ468" s="143"/>
      <c r="AK468" s="143"/>
      <c r="AL468" s="143"/>
      <c r="AM468" s="145"/>
      <c r="AN468" s="147"/>
      <c r="AO468" s="143"/>
    </row>
    <row r="469" spans="3:41">
      <c r="C469" s="136"/>
      <c r="D469" s="136"/>
      <c r="E469" s="19"/>
      <c r="F469" s="15"/>
      <c r="G469" s="138"/>
      <c r="H469" s="138"/>
      <c r="I469" s="126"/>
      <c r="J469" s="15"/>
      <c r="K469" s="15"/>
      <c r="L469" s="20"/>
      <c r="M469" s="20"/>
      <c r="N469" s="126"/>
      <c r="O469" s="126"/>
      <c r="P469" s="126"/>
      <c r="Q469" s="171"/>
      <c r="R469" s="172"/>
      <c r="S469" s="172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43"/>
      <c r="AF469" s="143"/>
      <c r="AG469" s="143"/>
      <c r="AH469" s="143"/>
      <c r="AI469" s="143"/>
      <c r="AJ469" s="143"/>
      <c r="AK469" s="143"/>
      <c r="AL469" s="143"/>
      <c r="AM469" s="145"/>
      <c r="AN469" s="147"/>
      <c r="AO469" s="143"/>
    </row>
    <row r="470" spans="3:41">
      <c r="C470" s="136"/>
      <c r="D470" s="136"/>
      <c r="E470" s="19"/>
      <c r="F470" s="15"/>
      <c r="G470" s="138"/>
      <c r="H470" s="138"/>
      <c r="I470" s="126"/>
      <c r="J470" s="15"/>
      <c r="K470" s="15"/>
      <c r="L470" s="20"/>
      <c r="M470" s="20"/>
      <c r="N470" s="126"/>
      <c r="O470" s="126"/>
      <c r="P470" s="126"/>
      <c r="Q470" s="171"/>
      <c r="R470" s="172"/>
      <c r="S470" s="172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43"/>
      <c r="AF470" s="143"/>
      <c r="AG470" s="143"/>
      <c r="AH470" s="143"/>
      <c r="AI470" s="143"/>
      <c r="AJ470" s="143"/>
      <c r="AK470" s="143"/>
      <c r="AL470" s="143"/>
      <c r="AM470" s="145"/>
      <c r="AN470" s="147"/>
      <c r="AO470" s="143"/>
    </row>
    <row r="471" spans="3:41">
      <c r="C471" s="136"/>
      <c r="D471" s="136"/>
      <c r="E471" s="19"/>
      <c r="F471" s="15"/>
      <c r="G471" s="138"/>
      <c r="H471" s="138"/>
      <c r="I471" s="126"/>
      <c r="J471" s="15"/>
      <c r="K471" s="15"/>
      <c r="L471" s="20"/>
      <c r="M471" s="20"/>
      <c r="N471" s="126"/>
      <c r="O471" s="126"/>
      <c r="P471" s="126"/>
      <c r="Q471" s="171"/>
      <c r="R471" s="172"/>
      <c r="S471" s="172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43"/>
      <c r="AF471" s="143"/>
      <c r="AG471" s="143"/>
      <c r="AH471" s="143"/>
      <c r="AI471" s="143"/>
      <c r="AJ471" s="143"/>
      <c r="AK471" s="143"/>
      <c r="AL471" s="143"/>
      <c r="AM471" s="145"/>
      <c r="AN471" s="153"/>
      <c r="AO471" s="143"/>
    </row>
    <row r="472" spans="3:41">
      <c r="C472" s="136"/>
      <c r="D472" s="136"/>
      <c r="E472" s="19"/>
      <c r="F472" s="15"/>
      <c r="G472" s="138"/>
      <c r="H472" s="138"/>
      <c r="I472" s="126"/>
      <c r="J472" s="15"/>
      <c r="K472" s="15"/>
      <c r="L472" s="20"/>
      <c r="M472" s="20"/>
      <c r="N472" s="126"/>
      <c r="O472" s="126"/>
      <c r="P472" s="126"/>
      <c r="Q472" s="171"/>
      <c r="R472" s="172"/>
      <c r="S472" s="172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43"/>
      <c r="AF472" s="143"/>
      <c r="AG472" s="143"/>
      <c r="AH472" s="143"/>
      <c r="AI472" s="143"/>
      <c r="AJ472" s="143"/>
      <c r="AK472" s="143"/>
      <c r="AL472" s="143"/>
      <c r="AM472" s="145"/>
      <c r="AN472" s="153"/>
      <c r="AO472" s="143"/>
    </row>
    <row r="473" spans="3:41">
      <c r="C473" s="136"/>
      <c r="D473" s="136"/>
      <c r="E473" s="19"/>
      <c r="F473" s="15"/>
      <c r="G473" s="138"/>
      <c r="H473" s="138"/>
      <c r="I473" s="126"/>
      <c r="J473" s="15"/>
      <c r="K473" s="15"/>
      <c r="L473" s="20"/>
      <c r="M473" s="20"/>
      <c r="N473" s="126"/>
      <c r="O473" s="126"/>
      <c r="P473" s="126"/>
      <c r="Q473" s="171"/>
      <c r="R473" s="172"/>
      <c r="S473" s="172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43"/>
      <c r="AF473" s="143"/>
      <c r="AG473" s="143"/>
      <c r="AH473" s="143"/>
      <c r="AI473" s="143"/>
      <c r="AJ473" s="143"/>
      <c r="AK473" s="143"/>
      <c r="AL473" s="143"/>
      <c r="AM473" s="145"/>
      <c r="AN473" s="153"/>
      <c r="AO473" s="143"/>
    </row>
    <row r="474" spans="3:41">
      <c r="C474" s="136"/>
      <c r="D474" s="136"/>
      <c r="E474" s="19"/>
      <c r="F474" s="15"/>
      <c r="G474" s="138"/>
      <c r="H474" s="138"/>
      <c r="I474" s="126"/>
      <c r="J474" s="15"/>
      <c r="K474" s="15"/>
      <c r="L474" s="20"/>
      <c r="M474" s="20"/>
      <c r="N474" s="126"/>
      <c r="O474" s="126"/>
      <c r="P474" s="126"/>
      <c r="Q474" s="171"/>
      <c r="R474" s="172"/>
      <c r="S474" s="172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43"/>
      <c r="AF474" s="143"/>
      <c r="AG474" s="143"/>
      <c r="AH474" s="143"/>
      <c r="AI474" s="143"/>
      <c r="AJ474" s="143"/>
      <c r="AK474" s="143"/>
      <c r="AL474" s="143"/>
      <c r="AM474" s="145"/>
      <c r="AN474" s="143"/>
      <c r="AO474" s="143"/>
    </row>
    <row r="475" spans="3:41">
      <c r="C475" s="136"/>
      <c r="D475" s="136"/>
      <c r="E475" s="19"/>
      <c r="F475" s="15"/>
      <c r="G475" s="138"/>
      <c r="H475" s="138"/>
      <c r="I475" s="126"/>
      <c r="J475" s="15"/>
      <c r="K475" s="15"/>
      <c r="L475" s="20"/>
      <c r="M475" s="20"/>
      <c r="N475" s="126"/>
      <c r="O475" s="126"/>
      <c r="P475" s="126"/>
      <c r="Q475" s="171"/>
      <c r="R475" s="172"/>
      <c r="S475" s="172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43"/>
      <c r="AF475" s="143"/>
      <c r="AG475" s="143"/>
      <c r="AH475" s="143"/>
      <c r="AI475" s="143"/>
      <c r="AJ475" s="143"/>
      <c r="AK475" s="143"/>
      <c r="AL475" s="143"/>
      <c r="AM475" s="145"/>
      <c r="AN475" s="153"/>
      <c r="AO475" s="143"/>
    </row>
    <row r="476" spans="3:41">
      <c r="C476" s="136"/>
      <c r="D476" s="136"/>
      <c r="E476" s="19"/>
      <c r="F476" s="15"/>
      <c r="G476" s="138"/>
      <c r="H476" s="138"/>
      <c r="I476" s="126"/>
      <c r="J476" s="15"/>
      <c r="K476" s="15"/>
      <c r="L476" s="20"/>
      <c r="M476" s="20"/>
      <c r="N476" s="126"/>
      <c r="O476" s="126"/>
      <c r="P476" s="126"/>
      <c r="Q476" s="171"/>
      <c r="R476" s="172"/>
      <c r="S476" s="172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43"/>
      <c r="AF476" s="143"/>
      <c r="AG476" s="143"/>
      <c r="AH476" s="143"/>
      <c r="AI476" s="143"/>
      <c r="AJ476" s="143"/>
      <c r="AK476" s="143"/>
      <c r="AL476" s="143"/>
      <c r="AM476" s="145"/>
      <c r="AN476" s="153"/>
      <c r="AO476" s="153"/>
    </row>
    <row r="477" spans="3:41">
      <c r="C477" s="136"/>
      <c r="D477" s="136"/>
      <c r="E477" s="19"/>
      <c r="F477" s="15"/>
      <c r="G477" s="138"/>
      <c r="H477" s="138"/>
      <c r="I477" s="126"/>
      <c r="J477" s="15"/>
      <c r="K477" s="15"/>
      <c r="L477" s="20"/>
      <c r="M477" s="20"/>
      <c r="N477" s="126"/>
      <c r="O477" s="126"/>
      <c r="P477" s="126"/>
      <c r="Q477" s="171"/>
      <c r="R477" s="172"/>
      <c r="S477" s="172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43"/>
      <c r="AF477" s="143"/>
      <c r="AG477" s="143"/>
      <c r="AH477" s="143"/>
      <c r="AI477" s="143"/>
      <c r="AJ477" s="143"/>
      <c r="AK477" s="143"/>
      <c r="AL477" s="143"/>
      <c r="AM477" s="145"/>
      <c r="AN477" s="153"/>
      <c r="AO477" s="143"/>
    </row>
    <row r="478" spans="3:41">
      <c r="C478" s="136"/>
      <c r="D478" s="136"/>
      <c r="E478" s="19"/>
      <c r="F478" s="15"/>
      <c r="G478" s="138"/>
      <c r="H478" s="138"/>
      <c r="I478" s="126"/>
      <c r="J478" s="15"/>
      <c r="K478" s="15"/>
      <c r="L478" s="20"/>
      <c r="M478" s="20"/>
      <c r="N478" s="126"/>
      <c r="O478" s="126"/>
      <c r="P478" s="126"/>
      <c r="Q478" s="171"/>
      <c r="R478" s="172"/>
      <c r="S478" s="172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43"/>
      <c r="AF478" s="143"/>
      <c r="AG478" s="143"/>
      <c r="AH478" s="143"/>
      <c r="AI478" s="143"/>
      <c r="AJ478" s="143"/>
      <c r="AK478" s="143"/>
      <c r="AL478" s="143"/>
      <c r="AM478" s="145"/>
      <c r="AN478" s="153"/>
      <c r="AO478" s="143"/>
    </row>
    <row r="479" spans="3:41">
      <c r="C479" s="136"/>
      <c r="D479" s="136"/>
      <c r="E479" s="19"/>
      <c r="F479" s="15"/>
      <c r="G479" s="138"/>
      <c r="H479" s="138"/>
      <c r="I479" s="126"/>
      <c r="J479" s="15"/>
      <c r="K479" s="15"/>
      <c r="L479" s="20"/>
      <c r="M479" s="20"/>
      <c r="N479" s="126"/>
      <c r="O479" s="126"/>
      <c r="P479" s="126"/>
      <c r="Q479" s="171"/>
      <c r="R479" s="172"/>
      <c r="S479" s="172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43"/>
      <c r="AF479" s="143"/>
      <c r="AG479" s="143"/>
      <c r="AH479" s="143"/>
      <c r="AI479" s="143"/>
      <c r="AJ479" s="143"/>
      <c r="AK479" s="143"/>
      <c r="AL479" s="143"/>
      <c r="AM479" s="145"/>
      <c r="AN479" s="153"/>
      <c r="AO479" s="143"/>
    </row>
    <row r="480" spans="3:41">
      <c r="C480" s="136"/>
      <c r="D480" s="136"/>
      <c r="E480" s="19"/>
      <c r="F480" s="15"/>
      <c r="G480" s="138"/>
      <c r="H480" s="138"/>
      <c r="I480" s="126"/>
      <c r="J480" s="15"/>
      <c r="K480" s="15"/>
      <c r="L480" s="20"/>
      <c r="M480" s="20"/>
      <c r="N480" s="126"/>
      <c r="O480" s="126"/>
      <c r="P480" s="126"/>
      <c r="Q480" s="171"/>
      <c r="R480" s="172"/>
      <c r="S480" s="172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43"/>
      <c r="AF480" s="143"/>
      <c r="AG480" s="143"/>
      <c r="AH480" s="143"/>
      <c r="AI480" s="143"/>
      <c r="AJ480" s="143"/>
      <c r="AK480" s="143"/>
      <c r="AL480" s="143"/>
      <c r="AM480" s="145"/>
      <c r="AN480" s="143"/>
      <c r="AO480" s="143"/>
    </row>
    <row r="481" spans="3:41">
      <c r="C481" s="136"/>
      <c r="D481" s="136"/>
      <c r="E481" s="19"/>
      <c r="F481" s="15"/>
      <c r="G481" s="138"/>
      <c r="H481" s="138"/>
      <c r="I481" s="126"/>
      <c r="J481" s="15"/>
      <c r="K481" s="15"/>
      <c r="L481" s="20"/>
      <c r="M481" s="20"/>
      <c r="N481" s="126"/>
      <c r="O481" s="126"/>
      <c r="P481" s="126"/>
      <c r="Q481" s="171"/>
      <c r="R481" s="172"/>
      <c r="S481" s="172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43"/>
      <c r="AF481" s="143"/>
      <c r="AG481" s="143"/>
      <c r="AH481" s="143"/>
      <c r="AI481" s="143"/>
      <c r="AJ481" s="143"/>
      <c r="AK481" s="143"/>
      <c r="AL481" s="143"/>
      <c r="AM481" s="145"/>
      <c r="AN481" s="153"/>
      <c r="AO481" s="143"/>
    </row>
    <row r="482" spans="3:41">
      <c r="C482" s="136"/>
      <c r="D482" s="136"/>
      <c r="E482" s="19"/>
      <c r="F482" s="15"/>
      <c r="G482" s="138"/>
      <c r="H482" s="138"/>
      <c r="I482" s="126"/>
      <c r="J482" s="15"/>
      <c r="K482" s="15"/>
      <c r="L482" s="20"/>
      <c r="M482" s="20"/>
      <c r="N482" s="126"/>
      <c r="O482" s="126"/>
      <c r="P482" s="126"/>
      <c r="Q482" s="171"/>
      <c r="R482" s="172"/>
      <c r="S482" s="172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43"/>
      <c r="AF482" s="143"/>
      <c r="AG482" s="143"/>
      <c r="AH482" s="143"/>
      <c r="AI482" s="143"/>
      <c r="AJ482" s="143"/>
      <c r="AK482" s="143"/>
      <c r="AL482" s="143"/>
      <c r="AM482" s="145"/>
      <c r="AN482" s="143"/>
      <c r="AO482" s="143"/>
    </row>
    <row r="483" spans="3:41">
      <c r="C483" s="136"/>
      <c r="D483" s="136"/>
      <c r="E483" s="19"/>
      <c r="F483" s="15"/>
      <c r="G483" s="138"/>
      <c r="H483" s="138"/>
      <c r="I483" s="126"/>
      <c r="J483" s="15"/>
      <c r="K483" s="15"/>
      <c r="L483" s="20"/>
      <c r="M483" s="20"/>
      <c r="N483" s="126"/>
      <c r="O483" s="126"/>
      <c r="P483" s="126"/>
      <c r="Q483" s="171"/>
      <c r="R483" s="172"/>
      <c r="S483" s="172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43"/>
      <c r="AF483" s="143"/>
      <c r="AG483" s="143"/>
      <c r="AH483" s="143"/>
      <c r="AI483" s="143"/>
      <c r="AJ483" s="143"/>
      <c r="AK483" s="143"/>
      <c r="AL483" s="143"/>
      <c r="AM483" s="145"/>
      <c r="AN483" s="153"/>
      <c r="AO483" s="143"/>
    </row>
    <row r="484" spans="3:41">
      <c r="C484" s="136"/>
      <c r="D484" s="136"/>
      <c r="E484" s="19"/>
      <c r="F484" s="15"/>
      <c r="G484" s="138"/>
      <c r="H484" s="138"/>
      <c r="I484" s="126"/>
      <c r="J484" s="15"/>
      <c r="K484" s="15"/>
      <c r="L484" s="20"/>
      <c r="M484" s="20"/>
      <c r="N484" s="126"/>
      <c r="O484" s="126"/>
      <c r="P484" s="126"/>
      <c r="Q484" s="171"/>
      <c r="R484" s="172"/>
      <c r="S484" s="172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43"/>
      <c r="AF484" s="143"/>
      <c r="AG484" s="143"/>
      <c r="AH484" s="143"/>
      <c r="AI484" s="143"/>
      <c r="AJ484" s="143"/>
      <c r="AK484" s="143"/>
      <c r="AL484" s="143"/>
      <c r="AM484" s="145"/>
      <c r="AN484" s="153"/>
      <c r="AO484" s="143"/>
    </row>
    <row r="485" spans="3:41">
      <c r="C485" s="136"/>
      <c r="D485" s="136"/>
      <c r="E485" s="19"/>
      <c r="F485" s="15"/>
      <c r="G485" s="138"/>
      <c r="H485" s="138"/>
      <c r="I485" s="126"/>
      <c r="J485" s="15"/>
      <c r="K485" s="15"/>
      <c r="L485" s="20"/>
      <c r="M485" s="20"/>
      <c r="N485" s="126"/>
      <c r="O485" s="126"/>
      <c r="P485" s="126"/>
      <c r="Q485" s="171"/>
      <c r="R485" s="172"/>
      <c r="S485" s="172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43"/>
      <c r="AF485" s="143"/>
      <c r="AG485" s="143"/>
      <c r="AH485" s="143"/>
      <c r="AI485" s="143"/>
      <c r="AJ485" s="143"/>
      <c r="AK485" s="143"/>
      <c r="AL485" s="143"/>
      <c r="AM485" s="145"/>
      <c r="AN485" s="143"/>
      <c r="AO485" s="143"/>
    </row>
    <row r="486" spans="3:41">
      <c r="C486" s="136"/>
      <c r="D486" s="136"/>
      <c r="E486" s="19"/>
      <c r="F486" s="15"/>
      <c r="G486" s="138"/>
      <c r="H486" s="138"/>
      <c r="I486" s="126"/>
      <c r="J486" s="15"/>
      <c r="K486" s="15"/>
      <c r="L486" s="20"/>
      <c r="M486" s="20"/>
      <c r="N486" s="126"/>
      <c r="O486" s="126"/>
      <c r="P486" s="126"/>
      <c r="Q486" s="171"/>
      <c r="R486" s="172"/>
      <c r="S486" s="172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43"/>
      <c r="AF486" s="143"/>
      <c r="AG486" s="143"/>
      <c r="AH486" s="143"/>
      <c r="AI486" s="143"/>
      <c r="AJ486" s="143"/>
      <c r="AK486" s="143"/>
      <c r="AL486" s="143"/>
      <c r="AM486" s="145"/>
      <c r="AN486" s="143"/>
      <c r="AO486" s="143"/>
    </row>
    <row r="487" spans="3:41">
      <c r="C487" s="136"/>
      <c r="D487" s="136"/>
      <c r="E487" s="19"/>
      <c r="F487" s="15"/>
      <c r="G487" s="138"/>
      <c r="H487" s="138"/>
      <c r="I487" s="126"/>
      <c r="J487" s="15"/>
      <c r="K487" s="15"/>
      <c r="L487" s="20"/>
      <c r="M487" s="20"/>
      <c r="N487" s="126"/>
      <c r="O487" s="126"/>
      <c r="P487" s="126"/>
      <c r="Q487" s="171"/>
      <c r="R487" s="172"/>
      <c r="S487" s="172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43"/>
      <c r="AF487" s="143"/>
      <c r="AG487" s="143"/>
      <c r="AH487" s="143"/>
      <c r="AI487" s="143"/>
      <c r="AJ487" s="143"/>
      <c r="AK487" s="143"/>
      <c r="AL487" s="143"/>
      <c r="AM487" s="145"/>
      <c r="AN487" s="143"/>
      <c r="AO487" s="143"/>
    </row>
    <row r="488" spans="3:41">
      <c r="C488" s="136"/>
      <c r="D488" s="136"/>
      <c r="E488" s="19"/>
      <c r="F488" s="15"/>
      <c r="G488" s="138"/>
      <c r="H488" s="138"/>
      <c r="I488" s="126"/>
      <c r="J488" s="15"/>
      <c r="K488" s="15"/>
      <c r="L488" s="20"/>
      <c r="M488" s="20"/>
      <c r="N488" s="126"/>
      <c r="O488" s="126"/>
      <c r="P488" s="126"/>
      <c r="Q488" s="171"/>
      <c r="R488" s="172"/>
      <c r="S488" s="172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43"/>
      <c r="AF488" s="143"/>
      <c r="AG488" s="143"/>
      <c r="AH488" s="143"/>
      <c r="AI488" s="143"/>
      <c r="AJ488" s="143"/>
      <c r="AK488" s="143"/>
      <c r="AL488" s="143"/>
      <c r="AM488" s="145"/>
      <c r="AN488" s="143"/>
      <c r="AO488" s="143"/>
    </row>
    <row r="489" spans="3:41">
      <c r="C489" s="136"/>
      <c r="D489" s="136"/>
      <c r="E489" s="19"/>
      <c r="F489" s="15"/>
      <c r="G489" s="138"/>
      <c r="H489" s="138"/>
      <c r="I489" s="126"/>
      <c r="J489" s="15"/>
      <c r="K489" s="15"/>
      <c r="L489" s="20"/>
      <c r="M489" s="20"/>
      <c r="N489" s="126"/>
      <c r="O489" s="126"/>
      <c r="P489" s="126"/>
      <c r="Q489" s="171"/>
      <c r="R489" s="172"/>
      <c r="S489" s="172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43"/>
      <c r="AF489" s="143"/>
      <c r="AG489" s="143"/>
      <c r="AH489" s="143"/>
      <c r="AI489" s="143"/>
      <c r="AJ489" s="143"/>
      <c r="AK489" s="143"/>
      <c r="AL489" s="143"/>
      <c r="AM489" s="145"/>
      <c r="AN489" s="143"/>
      <c r="AO489" s="153"/>
    </row>
    <row r="490" spans="3:41">
      <c r="C490" s="136"/>
      <c r="D490" s="136"/>
      <c r="E490" s="19"/>
      <c r="F490" s="15"/>
      <c r="G490" s="138"/>
      <c r="H490" s="138"/>
      <c r="I490" s="126"/>
      <c r="J490" s="15"/>
      <c r="K490" s="15"/>
      <c r="L490" s="20"/>
      <c r="M490" s="20"/>
      <c r="N490" s="126"/>
      <c r="O490" s="126"/>
      <c r="P490" s="126"/>
      <c r="Q490" s="171"/>
      <c r="R490" s="172"/>
      <c r="S490" s="172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43"/>
      <c r="AF490" s="143"/>
      <c r="AG490" s="143"/>
      <c r="AH490" s="143"/>
      <c r="AI490" s="143"/>
      <c r="AJ490" s="143"/>
      <c r="AK490" s="143"/>
      <c r="AL490" s="143"/>
      <c r="AM490" s="145"/>
      <c r="AN490" s="143"/>
      <c r="AO490" s="143"/>
    </row>
    <row r="491" spans="3:41">
      <c r="C491" s="136"/>
      <c r="D491" s="136"/>
      <c r="E491" s="19"/>
      <c r="F491" s="15"/>
      <c r="G491" s="138"/>
      <c r="H491" s="138"/>
      <c r="I491" s="126"/>
      <c r="J491" s="15"/>
      <c r="K491" s="15"/>
      <c r="L491" s="20"/>
      <c r="M491" s="20"/>
      <c r="N491" s="126"/>
      <c r="O491" s="126"/>
      <c r="P491" s="126"/>
      <c r="Q491" s="171"/>
      <c r="R491" s="172"/>
      <c r="S491" s="172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43"/>
      <c r="AF491" s="143"/>
      <c r="AG491" s="143"/>
      <c r="AH491" s="143"/>
      <c r="AI491" s="143"/>
      <c r="AJ491" s="143"/>
      <c r="AK491" s="143"/>
      <c r="AL491" s="143"/>
      <c r="AM491" s="145"/>
      <c r="AN491" s="147"/>
      <c r="AO491" s="153"/>
    </row>
    <row r="492" spans="3:41">
      <c r="C492" s="136"/>
      <c r="D492" s="136"/>
      <c r="E492" s="19"/>
      <c r="F492" s="15"/>
      <c r="G492" s="138"/>
      <c r="H492" s="138"/>
      <c r="I492" s="126"/>
      <c r="J492" s="15"/>
      <c r="K492" s="15"/>
      <c r="L492" s="20"/>
      <c r="M492" s="20"/>
      <c r="N492" s="126"/>
      <c r="O492" s="126"/>
      <c r="P492" s="126"/>
      <c r="Q492" s="171"/>
      <c r="R492" s="172"/>
      <c r="S492" s="172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43"/>
      <c r="AF492" s="143"/>
      <c r="AG492" s="143"/>
      <c r="AH492" s="143"/>
      <c r="AI492" s="143"/>
      <c r="AJ492" s="143"/>
      <c r="AK492" s="143"/>
      <c r="AL492" s="143"/>
      <c r="AM492" s="145"/>
      <c r="AN492" s="143"/>
      <c r="AO492" s="153"/>
    </row>
    <row r="493" spans="3:41">
      <c r="C493" s="136"/>
      <c r="D493" s="136"/>
      <c r="E493" s="19"/>
      <c r="F493" s="15"/>
      <c r="G493" s="138"/>
      <c r="H493" s="138"/>
      <c r="I493" s="126"/>
      <c r="J493" s="15"/>
      <c r="K493" s="15"/>
      <c r="L493" s="20"/>
      <c r="M493" s="20"/>
      <c r="N493" s="126"/>
      <c r="O493" s="126"/>
      <c r="P493" s="126"/>
      <c r="Q493" s="171"/>
      <c r="R493" s="172"/>
      <c r="S493" s="172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43"/>
      <c r="AF493" s="143"/>
      <c r="AG493" s="143"/>
      <c r="AH493" s="143"/>
      <c r="AI493" s="143"/>
      <c r="AJ493" s="143"/>
      <c r="AK493" s="143"/>
      <c r="AL493" s="143"/>
      <c r="AM493" s="145"/>
      <c r="AN493" s="147"/>
      <c r="AO493" s="143"/>
    </row>
    <row r="494" spans="3:41">
      <c r="C494" s="136"/>
      <c r="D494" s="136"/>
      <c r="E494" s="19"/>
      <c r="F494" s="15"/>
      <c r="G494" s="138"/>
      <c r="H494" s="138"/>
      <c r="I494" s="126"/>
      <c r="J494" s="15"/>
      <c r="K494" s="15"/>
      <c r="L494" s="20"/>
      <c r="M494" s="20"/>
      <c r="N494" s="126"/>
      <c r="O494" s="126"/>
      <c r="P494" s="126"/>
      <c r="Q494" s="171"/>
      <c r="R494" s="172"/>
      <c r="S494" s="172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43"/>
      <c r="AF494" s="143"/>
      <c r="AG494" s="143"/>
      <c r="AH494" s="143"/>
      <c r="AI494" s="143"/>
      <c r="AJ494" s="143"/>
      <c r="AK494" s="143"/>
      <c r="AL494" s="143"/>
      <c r="AM494" s="145"/>
      <c r="AN494" s="147"/>
      <c r="AO494" s="143"/>
    </row>
    <row r="495" spans="3:41">
      <c r="C495" s="136"/>
      <c r="D495" s="136"/>
      <c r="E495" s="19"/>
      <c r="F495" s="15"/>
      <c r="G495" s="138"/>
      <c r="H495" s="138"/>
      <c r="I495" s="126"/>
      <c r="J495" s="15"/>
      <c r="K495" s="15"/>
      <c r="L495" s="20"/>
      <c r="M495" s="20"/>
      <c r="N495" s="126"/>
      <c r="O495" s="126"/>
      <c r="P495" s="126"/>
      <c r="Q495" s="171"/>
      <c r="R495" s="172"/>
      <c r="S495" s="172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43"/>
      <c r="AF495" s="143"/>
      <c r="AG495" s="143"/>
      <c r="AH495" s="143"/>
      <c r="AI495" s="143"/>
      <c r="AJ495" s="143"/>
      <c r="AK495" s="143"/>
      <c r="AL495" s="143"/>
      <c r="AM495" s="145"/>
      <c r="AN495" s="147"/>
      <c r="AO495" s="143"/>
    </row>
    <row r="496" spans="3:41">
      <c r="C496" s="136"/>
      <c r="D496" s="136"/>
      <c r="E496" s="19"/>
      <c r="F496" s="15"/>
      <c r="G496" s="138"/>
      <c r="H496" s="138"/>
      <c r="I496" s="126"/>
      <c r="J496" s="15"/>
      <c r="K496" s="15"/>
      <c r="L496" s="20"/>
      <c r="M496" s="20"/>
      <c r="N496" s="126"/>
      <c r="O496" s="126"/>
      <c r="P496" s="126"/>
      <c r="Q496" s="171"/>
      <c r="R496" s="172"/>
      <c r="S496" s="172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43"/>
      <c r="AF496" s="143"/>
      <c r="AG496" s="143"/>
      <c r="AH496" s="143"/>
      <c r="AI496" s="143"/>
      <c r="AJ496" s="143"/>
      <c r="AK496" s="143"/>
      <c r="AL496" s="143"/>
      <c r="AM496" s="145"/>
      <c r="AN496" s="153"/>
      <c r="AO496" s="143"/>
    </row>
    <row r="497" spans="3:41">
      <c r="C497" s="136"/>
      <c r="D497" s="136"/>
      <c r="E497" s="19"/>
      <c r="F497" s="15"/>
      <c r="G497" s="138"/>
      <c r="H497" s="138"/>
      <c r="I497" s="126"/>
      <c r="J497" s="15"/>
      <c r="K497" s="15"/>
      <c r="L497" s="20"/>
      <c r="M497" s="20"/>
      <c r="N497" s="126"/>
      <c r="O497" s="126"/>
      <c r="P497" s="126"/>
      <c r="Q497" s="171"/>
      <c r="R497" s="172"/>
      <c r="S497" s="172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43"/>
      <c r="AF497" s="143"/>
      <c r="AG497" s="143"/>
      <c r="AH497" s="143"/>
      <c r="AI497" s="143"/>
      <c r="AJ497" s="143"/>
      <c r="AK497" s="143"/>
      <c r="AL497" s="143"/>
      <c r="AM497" s="145"/>
      <c r="AN497" s="143"/>
      <c r="AO497" s="153"/>
    </row>
    <row r="498" spans="3:41">
      <c r="C498" s="136"/>
      <c r="D498" s="136"/>
      <c r="E498" s="19"/>
      <c r="F498" s="15"/>
      <c r="G498" s="138"/>
      <c r="H498" s="138"/>
      <c r="I498" s="126"/>
      <c r="J498" s="15"/>
      <c r="K498" s="15"/>
      <c r="L498" s="20"/>
      <c r="M498" s="20"/>
      <c r="N498" s="126"/>
      <c r="O498" s="126"/>
      <c r="P498" s="126"/>
      <c r="Q498" s="171"/>
      <c r="R498" s="172"/>
      <c r="S498" s="172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43"/>
      <c r="AF498" s="143"/>
      <c r="AG498" s="143"/>
      <c r="AH498" s="143"/>
      <c r="AI498" s="143"/>
      <c r="AJ498" s="143"/>
      <c r="AK498" s="143"/>
      <c r="AL498" s="143"/>
      <c r="AM498" s="145"/>
      <c r="AN498" s="147"/>
      <c r="AO498" s="143"/>
    </row>
    <row r="499" spans="3:41">
      <c r="C499" s="136"/>
      <c r="D499" s="136"/>
      <c r="E499" s="19"/>
      <c r="F499" s="15"/>
      <c r="G499" s="138"/>
      <c r="H499" s="138"/>
      <c r="I499" s="126"/>
      <c r="J499" s="15"/>
      <c r="K499" s="15"/>
      <c r="L499" s="20"/>
      <c r="M499" s="20"/>
      <c r="N499" s="126"/>
      <c r="O499" s="126"/>
      <c r="P499" s="126"/>
      <c r="Q499" s="171"/>
      <c r="R499" s="172"/>
      <c r="S499" s="172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43"/>
      <c r="AF499" s="143"/>
      <c r="AG499" s="143"/>
      <c r="AH499" s="143"/>
      <c r="AI499" s="143"/>
      <c r="AJ499" s="143"/>
      <c r="AK499" s="143"/>
      <c r="AL499" s="143"/>
      <c r="AM499" s="145"/>
      <c r="AN499" s="147"/>
      <c r="AO499" s="143"/>
    </row>
    <row r="500" spans="3:41">
      <c r="C500" s="136"/>
      <c r="D500" s="136"/>
      <c r="E500" s="19"/>
      <c r="F500" s="15"/>
      <c r="G500" s="138"/>
      <c r="H500" s="138"/>
      <c r="I500" s="126"/>
      <c r="J500" s="15"/>
      <c r="K500" s="15"/>
      <c r="L500" s="20"/>
      <c r="M500" s="20"/>
      <c r="N500" s="126"/>
      <c r="O500" s="126"/>
      <c r="P500" s="126"/>
      <c r="Q500" s="171"/>
      <c r="R500" s="172"/>
      <c r="S500" s="172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43"/>
      <c r="AF500" s="143"/>
      <c r="AG500" s="143"/>
      <c r="AH500" s="143"/>
      <c r="AI500" s="143"/>
      <c r="AJ500" s="143"/>
      <c r="AK500" s="143"/>
      <c r="AL500" s="143"/>
      <c r="AM500" s="145"/>
      <c r="AN500" s="153"/>
      <c r="AO500" s="143"/>
    </row>
    <row r="501" spans="3:41">
      <c r="C501" s="136"/>
      <c r="D501" s="136"/>
      <c r="E501" s="19"/>
      <c r="F501" s="15"/>
      <c r="G501" s="138"/>
      <c r="H501" s="138"/>
      <c r="I501" s="126"/>
      <c r="J501" s="15"/>
      <c r="K501" s="15"/>
      <c r="L501" s="20"/>
      <c r="M501" s="20"/>
      <c r="N501" s="126"/>
      <c r="O501" s="126"/>
      <c r="P501" s="126"/>
      <c r="Q501" s="171"/>
      <c r="R501" s="172"/>
      <c r="S501" s="172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43"/>
      <c r="AF501" s="143"/>
      <c r="AG501" s="143"/>
      <c r="AH501" s="143"/>
      <c r="AI501" s="143"/>
      <c r="AJ501" s="143"/>
      <c r="AK501" s="143"/>
      <c r="AL501" s="143"/>
      <c r="AM501" s="145"/>
      <c r="AN501" s="147"/>
      <c r="AO501" s="143"/>
    </row>
    <row r="502" spans="3:41">
      <c r="C502" s="136"/>
      <c r="D502" s="136"/>
      <c r="E502" s="19"/>
      <c r="F502" s="15"/>
      <c r="G502" s="138"/>
      <c r="H502" s="138"/>
      <c r="I502" s="126"/>
      <c r="J502" s="15"/>
      <c r="K502" s="15"/>
      <c r="L502" s="20"/>
      <c r="M502" s="20"/>
      <c r="N502" s="126"/>
      <c r="O502" s="126"/>
      <c r="P502" s="126"/>
      <c r="Q502" s="171"/>
      <c r="R502" s="173"/>
      <c r="S502" s="172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43"/>
      <c r="AF502" s="143"/>
      <c r="AG502" s="143"/>
      <c r="AH502" s="143"/>
      <c r="AI502" s="143"/>
      <c r="AJ502" s="143"/>
      <c r="AK502" s="143"/>
      <c r="AL502" s="143"/>
      <c r="AM502" s="145"/>
      <c r="AN502" s="153"/>
      <c r="AO502" s="147"/>
    </row>
    <row r="503" spans="3:41">
      <c r="C503" s="136"/>
      <c r="D503" s="136"/>
      <c r="E503" s="19"/>
      <c r="F503" s="15"/>
      <c r="G503" s="138"/>
      <c r="H503" s="138"/>
      <c r="I503" s="126"/>
      <c r="J503" s="15"/>
      <c r="K503" s="15"/>
      <c r="L503" s="20"/>
      <c r="M503" s="20"/>
      <c r="N503" s="126"/>
      <c r="O503" s="126"/>
      <c r="P503" s="126"/>
      <c r="Q503" s="171"/>
      <c r="R503" s="172"/>
      <c r="S503" s="172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43"/>
      <c r="AF503" s="143"/>
      <c r="AG503" s="143"/>
      <c r="AH503" s="143"/>
      <c r="AI503" s="143"/>
      <c r="AJ503" s="143"/>
      <c r="AK503" s="143"/>
      <c r="AL503" s="143"/>
      <c r="AM503" s="145"/>
      <c r="AN503" s="143"/>
      <c r="AO503" s="147"/>
    </row>
    <row r="504" spans="3:41">
      <c r="C504" s="136"/>
      <c r="D504" s="136"/>
      <c r="E504" s="19"/>
      <c r="F504" s="15"/>
      <c r="G504" s="138"/>
      <c r="H504" s="138"/>
      <c r="I504" s="126"/>
      <c r="J504" s="15"/>
      <c r="K504" s="15"/>
      <c r="L504" s="20"/>
      <c r="M504" s="20"/>
      <c r="N504" s="126"/>
      <c r="O504" s="126"/>
      <c r="P504" s="126"/>
      <c r="Q504" s="171"/>
      <c r="R504" s="173"/>
      <c r="S504" s="172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43"/>
      <c r="AF504" s="143"/>
      <c r="AG504" s="143"/>
      <c r="AH504" s="143"/>
      <c r="AI504" s="143"/>
      <c r="AJ504" s="143"/>
      <c r="AK504" s="143"/>
      <c r="AL504" s="143"/>
      <c r="AM504" s="145"/>
      <c r="AN504" s="143"/>
      <c r="AO504" s="147"/>
    </row>
    <row r="505" spans="3:41">
      <c r="C505" s="136"/>
      <c r="D505" s="136"/>
      <c r="E505" s="19"/>
      <c r="F505" s="15"/>
      <c r="G505" s="138"/>
      <c r="H505" s="138"/>
      <c r="I505" s="126"/>
      <c r="J505" s="15"/>
      <c r="K505" s="15"/>
      <c r="L505" s="20"/>
      <c r="M505" s="20"/>
      <c r="N505" s="126"/>
      <c r="O505" s="126"/>
      <c r="P505" s="126"/>
      <c r="Q505" s="171"/>
      <c r="R505" s="173"/>
      <c r="S505" s="172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43"/>
      <c r="AF505" s="143"/>
      <c r="AG505" s="143"/>
      <c r="AH505" s="143"/>
      <c r="AI505" s="143"/>
      <c r="AJ505" s="143"/>
      <c r="AK505" s="143"/>
      <c r="AL505" s="143"/>
      <c r="AM505" s="145"/>
      <c r="AN505" s="153"/>
      <c r="AO505" s="143"/>
    </row>
    <row r="506" spans="3:41">
      <c r="C506" s="136"/>
      <c r="D506" s="136"/>
      <c r="E506" s="19"/>
      <c r="F506" s="15"/>
      <c r="G506" s="138"/>
      <c r="H506" s="138"/>
      <c r="I506" s="126"/>
      <c r="J506" s="15"/>
      <c r="K506" s="15"/>
      <c r="L506" s="20"/>
      <c r="M506" s="20"/>
      <c r="N506" s="126"/>
      <c r="O506" s="126"/>
      <c r="P506" s="126"/>
      <c r="Q506" s="171"/>
      <c r="R506" s="173"/>
      <c r="S506" s="172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43"/>
      <c r="AF506" s="143"/>
      <c r="AG506" s="143"/>
      <c r="AH506" s="143"/>
      <c r="AI506" s="143"/>
      <c r="AJ506" s="143"/>
      <c r="AK506" s="143"/>
      <c r="AL506" s="143"/>
      <c r="AM506" s="145"/>
      <c r="AN506" s="147"/>
      <c r="AO506" s="158"/>
    </row>
    <row r="507" spans="3:41">
      <c r="C507" s="136"/>
      <c r="D507" s="136"/>
      <c r="E507" s="19"/>
      <c r="F507" s="15"/>
      <c r="G507" s="138"/>
      <c r="H507" s="138"/>
      <c r="I507" s="126"/>
      <c r="J507" s="15"/>
      <c r="K507" s="15"/>
      <c r="L507" s="20"/>
      <c r="M507" s="20"/>
      <c r="N507" s="126"/>
      <c r="O507" s="126"/>
      <c r="P507" s="126"/>
      <c r="Q507" s="171"/>
      <c r="R507" s="173"/>
      <c r="S507" s="172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43"/>
      <c r="AF507" s="143"/>
      <c r="AG507" s="143"/>
      <c r="AH507" s="143"/>
      <c r="AI507" s="143"/>
      <c r="AJ507" s="143"/>
      <c r="AK507" s="143"/>
      <c r="AL507" s="143"/>
      <c r="AM507" s="145"/>
      <c r="AN507" s="153"/>
      <c r="AO507" s="158"/>
    </row>
    <row r="508" spans="3:41">
      <c r="C508" s="136"/>
      <c r="D508" s="136"/>
      <c r="E508" s="19"/>
      <c r="F508" s="15"/>
      <c r="G508" s="138"/>
      <c r="H508" s="138"/>
      <c r="I508" s="126"/>
      <c r="J508" s="15"/>
      <c r="K508" s="15"/>
      <c r="L508" s="20"/>
      <c r="M508" s="20"/>
      <c r="N508" s="126"/>
      <c r="O508" s="126"/>
      <c r="P508" s="126"/>
      <c r="Q508" s="171"/>
      <c r="R508" s="173"/>
      <c r="S508" s="172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43"/>
      <c r="AF508" s="143"/>
      <c r="AG508" s="143"/>
      <c r="AH508" s="143"/>
      <c r="AI508" s="143"/>
      <c r="AJ508" s="143"/>
      <c r="AK508" s="143"/>
      <c r="AL508" s="143"/>
      <c r="AM508" s="145"/>
      <c r="AN508" s="153"/>
      <c r="AO508" s="158"/>
    </row>
    <row r="509" spans="3:41">
      <c r="C509" s="136"/>
      <c r="D509" s="136"/>
      <c r="E509" s="19"/>
      <c r="F509" s="15"/>
      <c r="G509" s="138"/>
      <c r="H509" s="138"/>
      <c r="I509" s="126"/>
      <c r="J509" s="15"/>
      <c r="K509" s="15"/>
      <c r="L509" s="20"/>
      <c r="M509" s="20"/>
      <c r="N509" s="126"/>
      <c r="O509" s="126"/>
      <c r="P509" s="126"/>
      <c r="Q509" s="171"/>
      <c r="R509" s="173"/>
      <c r="S509" s="172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43"/>
      <c r="AF509" s="143"/>
      <c r="AG509" s="143"/>
      <c r="AH509" s="143"/>
      <c r="AI509" s="143"/>
      <c r="AJ509" s="143"/>
      <c r="AK509" s="143"/>
      <c r="AL509" s="143"/>
      <c r="AM509" s="145"/>
      <c r="AN509" s="153"/>
      <c r="AO509" s="158"/>
    </row>
    <row r="510" spans="3:41">
      <c r="C510" s="136"/>
      <c r="D510" s="136"/>
      <c r="E510" s="19"/>
      <c r="F510" s="15"/>
      <c r="G510" s="138"/>
      <c r="H510" s="138"/>
      <c r="I510" s="126"/>
      <c r="J510" s="15"/>
      <c r="K510" s="15"/>
      <c r="L510" s="20"/>
      <c r="M510" s="20"/>
      <c r="N510" s="126"/>
      <c r="O510" s="126"/>
      <c r="P510" s="126"/>
      <c r="Q510" s="171"/>
      <c r="R510" s="173"/>
      <c r="S510" s="172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43"/>
      <c r="AF510" s="143"/>
      <c r="AG510" s="143"/>
      <c r="AH510" s="143"/>
      <c r="AI510" s="143"/>
      <c r="AJ510" s="143"/>
      <c r="AK510" s="143"/>
      <c r="AL510" s="143"/>
      <c r="AM510" s="145"/>
      <c r="AN510" s="147"/>
      <c r="AO510" s="158"/>
    </row>
    <row r="511" spans="3:41">
      <c r="C511" s="136"/>
      <c r="D511" s="136"/>
      <c r="E511" s="19"/>
      <c r="F511" s="15"/>
      <c r="G511" s="138"/>
      <c r="H511" s="138"/>
      <c r="I511" s="126"/>
      <c r="J511" s="15"/>
      <c r="K511" s="15"/>
      <c r="L511" s="20"/>
      <c r="M511" s="20"/>
      <c r="N511" s="126"/>
      <c r="O511" s="126"/>
      <c r="P511" s="126"/>
      <c r="Q511" s="171"/>
      <c r="R511" s="173"/>
      <c r="S511" s="172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43"/>
      <c r="AF511" s="143"/>
      <c r="AG511" s="143"/>
      <c r="AH511" s="143"/>
      <c r="AI511" s="143"/>
      <c r="AJ511" s="143"/>
      <c r="AK511" s="143"/>
      <c r="AL511" s="143"/>
      <c r="AM511" s="145"/>
      <c r="AN511" s="147"/>
      <c r="AO511" s="153"/>
    </row>
    <row r="512" spans="3:41">
      <c r="C512" s="136"/>
      <c r="D512" s="136"/>
      <c r="E512" s="19"/>
      <c r="F512" s="15"/>
      <c r="G512" s="138"/>
      <c r="H512" s="138"/>
      <c r="I512" s="126"/>
      <c r="J512" s="15"/>
      <c r="K512" s="15"/>
      <c r="L512" s="20"/>
      <c r="M512" s="20"/>
      <c r="N512" s="126"/>
      <c r="O512" s="126"/>
      <c r="P512" s="126"/>
      <c r="Q512" s="171"/>
      <c r="R512" s="172"/>
      <c r="S512" s="172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43"/>
      <c r="AF512" s="143"/>
      <c r="AG512" s="143"/>
      <c r="AH512" s="143"/>
      <c r="AI512" s="143"/>
      <c r="AJ512" s="143"/>
      <c r="AK512" s="143"/>
      <c r="AL512" s="143"/>
      <c r="AM512" s="145"/>
      <c r="AN512" s="153"/>
      <c r="AO512" s="158"/>
    </row>
    <row r="513" spans="3:41">
      <c r="C513" s="136"/>
      <c r="D513" s="136"/>
      <c r="E513" s="19"/>
      <c r="F513" s="15"/>
      <c r="G513" s="138"/>
      <c r="H513" s="138"/>
      <c r="I513" s="126"/>
      <c r="J513" s="15"/>
      <c r="K513" s="15"/>
      <c r="L513" s="20"/>
      <c r="M513" s="20"/>
      <c r="N513" s="126"/>
      <c r="O513" s="126"/>
      <c r="P513" s="126"/>
      <c r="Q513" s="171"/>
      <c r="R513" s="173"/>
      <c r="S513" s="172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43"/>
      <c r="AF513" s="143"/>
      <c r="AG513" s="143"/>
      <c r="AH513" s="143"/>
      <c r="AI513" s="143"/>
      <c r="AJ513" s="143"/>
      <c r="AK513" s="143"/>
      <c r="AL513" s="143"/>
      <c r="AM513" s="145"/>
      <c r="AN513" s="143"/>
      <c r="AO513" s="158"/>
    </row>
    <row r="514" spans="3:41">
      <c r="C514" s="136"/>
      <c r="D514" s="136"/>
      <c r="E514" s="19"/>
      <c r="F514" s="15"/>
      <c r="G514" s="138"/>
      <c r="H514" s="138"/>
      <c r="I514" s="126"/>
      <c r="J514" s="15"/>
      <c r="K514" s="15"/>
      <c r="L514" s="20"/>
      <c r="M514" s="20"/>
      <c r="N514" s="126"/>
      <c r="O514" s="126"/>
      <c r="P514" s="126"/>
      <c r="Q514" s="171"/>
      <c r="R514" s="173"/>
      <c r="S514" s="172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43"/>
      <c r="AF514" s="143"/>
      <c r="AG514" s="143"/>
      <c r="AH514" s="143"/>
      <c r="AI514" s="143"/>
      <c r="AJ514" s="143"/>
      <c r="AK514" s="143"/>
      <c r="AL514" s="143"/>
      <c r="AM514" s="145"/>
      <c r="AN514" s="143"/>
      <c r="AO514" s="158"/>
    </row>
    <row r="515" spans="3:41">
      <c r="C515" s="136"/>
      <c r="D515" s="136"/>
      <c r="E515" s="19"/>
      <c r="F515" s="15"/>
      <c r="G515" s="138"/>
      <c r="H515" s="138"/>
      <c r="I515" s="126"/>
      <c r="J515" s="15"/>
      <c r="K515" s="15"/>
      <c r="L515" s="20"/>
      <c r="M515" s="20"/>
      <c r="N515" s="126"/>
      <c r="O515" s="126"/>
      <c r="P515" s="126"/>
      <c r="Q515" s="171"/>
      <c r="R515" s="173"/>
      <c r="S515" s="172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43"/>
      <c r="AF515" s="143"/>
      <c r="AG515" s="143"/>
      <c r="AH515" s="143"/>
      <c r="AI515" s="143"/>
      <c r="AJ515" s="143"/>
      <c r="AK515" s="143"/>
      <c r="AL515" s="143"/>
      <c r="AM515" s="145"/>
      <c r="AN515" s="153"/>
      <c r="AO515" s="158"/>
    </row>
    <row r="516" spans="3:41">
      <c r="C516" s="136"/>
      <c r="D516" s="136"/>
      <c r="E516" s="19"/>
      <c r="F516" s="15"/>
      <c r="G516" s="138"/>
      <c r="H516" s="138"/>
      <c r="I516" s="126"/>
      <c r="J516" s="15"/>
      <c r="K516" s="15"/>
      <c r="L516" s="20"/>
      <c r="M516" s="20"/>
      <c r="N516" s="126"/>
      <c r="O516" s="126"/>
      <c r="P516" s="126"/>
      <c r="Q516" s="171"/>
      <c r="R516" s="172"/>
      <c r="S516" s="172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43"/>
      <c r="AF516" s="143"/>
      <c r="AG516" s="143"/>
      <c r="AH516" s="143"/>
      <c r="AI516" s="143"/>
      <c r="AJ516" s="143"/>
      <c r="AK516" s="143"/>
      <c r="AL516" s="143"/>
      <c r="AM516" s="145"/>
      <c r="AN516" s="147"/>
      <c r="AO516" s="158"/>
    </row>
    <row r="517" spans="3:41">
      <c r="C517" s="136"/>
      <c r="D517" s="136"/>
      <c r="E517" s="19"/>
      <c r="F517" s="15"/>
      <c r="G517" s="138"/>
      <c r="H517" s="138"/>
      <c r="I517" s="126"/>
      <c r="J517" s="15"/>
      <c r="K517" s="15"/>
      <c r="L517" s="20"/>
      <c r="M517" s="20"/>
      <c r="N517" s="126"/>
      <c r="O517" s="126"/>
      <c r="P517" s="126"/>
      <c r="Q517" s="171"/>
      <c r="R517" s="172"/>
      <c r="S517" s="172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43"/>
      <c r="AF517" s="143"/>
      <c r="AG517" s="143"/>
      <c r="AH517" s="143"/>
      <c r="AI517" s="143"/>
      <c r="AJ517" s="143"/>
      <c r="AK517" s="143"/>
      <c r="AL517" s="143"/>
      <c r="AM517" s="145"/>
      <c r="AN517" s="153"/>
      <c r="AO517" s="158"/>
    </row>
    <row r="518" spans="3:41">
      <c r="C518" s="136"/>
      <c r="D518" s="136"/>
      <c r="E518" s="19"/>
      <c r="F518" s="15"/>
      <c r="G518" s="138"/>
      <c r="H518" s="138"/>
      <c r="I518" s="126"/>
      <c r="J518" s="15"/>
      <c r="K518" s="15"/>
      <c r="L518" s="20"/>
      <c r="M518" s="20"/>
      <c r="N518" s="126"/>
      <c r="O518" s="126"/>
      <c r="P518" s="126"/>
      <c r="Q518" s="171"/>
      <c r="R518" s="172"/>
      <c r="S518" s="172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43"/>
      <c r="AF518" s="143"/>
      <c r="AG518" s="143"/>
      <c r="AH518" s="143"/>
      <c r="AI518" s="143"/>
      <c r="AJ518" s="143"/>
      <c r="AK518" s="143"/>
      <c r="AL518" s="143"/>
      <c r="AM518" s="145"/>
      <c r="AN518" s="153"/>
      <c r="AO518" s="158"/>
    </row>
    <row r="519" spans="3:41">
      <c r="C519" s="136"/>
      <c r="D519" s="136"/>
      <c r="E519" s="19"/>
      <c r="F519" s="15"/>
      <c r="G519" s="138"/>
      <c r="H519" s="138"/>
      <c r="I519" s="126"/>
      <c r="J519" s="15"/>
      <c r="K519" s="15"/>
      <c r="L519" s="20"/>
      <c r="M519" s="20"/>
      <c r="N519" s="126"/>
      <c r="O519" s="126"/>
      <c r="P519" s="126"/>
      <c r="Q519" s="171"/>
      <c r="R519" s="172"/>
      <c r="S519" s="172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43"/>
      <c r="AF519" s="143"/>
      <c r="AG519" s="143"/>
      <c r="AH519" s="143"/>
      <c r="AI519" s="143"/>
      <c r="AJ519" s="143"/>
      <c r="AK519" s="143"/>
      <c r="AL519" s="143"/>
      <c r="AM519" s="145"/>
      <c r="AN519" s="153"/>
      <c r="AO519" s="158"/>
    </row>
    <row r="520" spans="3:41">
      <c r="C520" s="136"/>
      <c r="D520" s="136"/>
      <c r="E520" s="19"/>
      <c r="F520" s="15"/>
      <c r="G520" s="138"/>
      <c r="H520" s="138"/>
      <c r="I520" s="126"/>
      <c r="J520" s="15"/>
      <c r="K520" s="15"/>
      <c r="L520" s="20"/>
      <c r="M520" s="20"/>
      <c r="N520" s="126"/>
      <c r="O520" s="126"/>
      <c r="P520" s="126"/>
      <c r="Q520" s="171"/>
      <c r="R520" s="172"/>
      <c r="S520" s="172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43"/>
      <c r="AF520" s="143"/>
      <c r="AG520" s="143"/>
      <c r="AH520" s="143"/>
      <c r="AI520" s="143"/>
      <c r="AJ520" s="143"/>
      <c r="AK520" s="143"/>
      <c r="AL520" s="143"/>
      <c r="AM520" s="145"/>
      <c r="AN520" s="153"/>
      <c r="AO520" s="144"/>
    </row>
    <row r="521" spans="3:41">
      <c r="C521" s="136"/>
      <c r="D521" s="136"/>
      <c r="E521" s="19"/>
      <c r="F521" s="15"/>
      <c r="G521" s="138"/>
      <c r="H521" s="138"/>
      <c r="I521" s="126"/>
      <c r="J521" s="15"/>
      <c r="K521" s="15"/>
      <c r="L521" s="20"/>
      <c r="M521" s="20"/>
      <c r="N521" s="126"/>
      <c r="O521" s="126"/>
      <c r="P521" s="126"/>
      <c r="Q521" s="171"/>
      <c r="R521" s="172"/>
      <c r="S521" s="172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43"/>
      <c r="AF521" s="143"/>
      <c r="AG521" s="143"/>
      <c r="AH521" s="143"/>
      <c r="AI521" s="143"/>
      <c r="AJ521" s="143"/>
      <c r="AK521" s="143"/>
      <c r="AL521" s="143"/>
      <c r="AM521" s="145"/>
      <c r="AN521" s="143"/>
      <c r="AO521" s="144"/>
    </row>
    <row r="522" spans="3:41">
      <c r="C522" s="136"/>
      <c r="D522" s="136"/>
      <c r="E522" s="19"/>
      <c r="F522" s="15"/>
      <c r="G522" s="138"/>
      <c r="H522" s="138"/>
      <c r="I522" s="126"/>
      <c r="J522" s="15"/>
      <c r="K522" s="15"/>
      <c r="L522" s="20"/>
      <c r="M522" s="20"/>
      <c r="N522" s="126"/>
      <c r="O522" s="126"/>
      <c r="P522" s="126"/>
      <c r="Q522" s="171"/>
      <c r="R522" s="172"/>
      <c r="S522" s="172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43"/>
      <c r="AF522" s="143"/>
      <c r="AG522" s="143"/>
      <c r="AH522" s="143"/>
      <c r="AI522" s="143"/>
      <c r="AJ522" s="143"/>
      <c r="AK522" s="143"/>
      <c r="AL522" s="143"/>
      <c r="AM522" s="145"/>
      <c r="AN522" s="147"/>
      <c r="AO522" s="144"/>
    </row>
    <row r="523" spans="3:41">
      <c r="C523" s="136"/>
      <c r="D523" s="136"/>
      <c r="E523" s="19"/>
      <c r="F523" s="15"/>
      <c r="G523" s="138"/>
      <c r="H523" s="138"/>
      <c r="I523" s="126"/>
      <c r="J523" s="15"/>
      <c r="K523" s="15"/>
      <c r="L523" s="20"/>
      <c r="M523" s="20"/>
      <c r="N523" s="126"/>
      <c r="O523" s="126"/>
      <c r="P523" s="126"/>
      <c r="Q523" s="171"/>
      <c r="R523" s="172"/>
      <c r="S523" s="172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43"/>
      <c r="AF523" s="143"/>
      <c r="AG523" s="143"/>
      <c r="AH523" s="143"/>
      <c r="AI523" s="143"/>
      <c r="AJ523" s="143"/>
      <c r="AK523" s="143"/>
      <c r="AL523" s="143"/>
      <c r="AM523" s="145"/>
      <c r="AN523" s="147"/>
      <c r="AO523" s="153"/>
    </row>
    <row r="524" spans="3:41">
      <c r="C524" s="136"/>
      <c r="D524" s="136"/>
      <c r="E524" s="19"/>
      <c r="F524" s="15"/>
      <c r="G524" s="138"/>
      <c r="H524" s="138"/>
      <c r="I524" s="126"/>
      <c r="J524" s="15"/>
      <c r="K524" s="15"/>
      <c r="L524" s="20"/>
      <c r="M524" s="20"/>
      <c r="N524" s="126"/>
      <c r="O524" s="126"/>
      <c r="P524" s="126"/>
      <c r="Q524" s="171"/>
      <c r="R524" s="172"/>
      <c r="S524" s="172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43"/>
      <c r="AF524" s="143"/>
      <c r="AG524" s="143"/>
      <c r="AH524" s="143"/>
      <c r="AI524" s="143"/>
      <c r="AJ524" s="143"/>
      <c r="AK524" s="143"/>
      <c r="AL524" s="143"/>
      <c r="AM524" s="145"/>
      <c r="AN524" s="153"/>
      <c r="AO524" s="144"/>
    </row>
    <row r="525" spans="3:41">
      <c r="C525" s="136"/>
      <c r="D525" s="136"/>
      <c r="E525" s="19"/>
      <c r="F525" s="15"/>
      <c r="G525" s="138"/>
      <c r="H525" s="138"/>
      <c r="I525" s="126"/>
      <c r="J525" s="15"/>
      <c r="K525" s="15"/>
      <c r="L525" s="20"/>
      <c r="M525" s="20"/>
      <c r="N525" s="126"/>
      <c r="O525" s="126"/>
      <c r="P525" s="126"/>
      <c r="Q525" s="171"/>
      <c r="R525" s="172"/>
      <c r="S525" s="172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43"/>
      <c r="AF525" s="143"/>
      <c r="AG525" s="143"/>
      <c r="AH525" s="143"/>
      <c r="AI525" s="143"/>
      <c r="AJ525" s="143"/>
      <c r="AK525" s="143"/>
      <c r="AL525" s="143"/>
      <c r="AM525" s="145"/>
      <c r="AN525" s="147"/>
      <c r="AO525" s="153"/>
    </row>
    <row r="526" spans="3:41">
      <c r="C526" s="136"/>
      <c r="D526" s="136"/>
      <c r="E526" s="19"/>
      <c r="F526" s="15"/>
      <c r="G526" s="138"/>
      <c r="H526" s="138"/>
      <c r="I526" s="126"/>
      <c r="J526" s="15"/>
      <c r="K526" s="15"/>
      <c r="L526" s="20"/>
      <c r="M526" s="20"/>
      <c r="N526" s="126"/>
      <c r="O526" s="126"/>
      <c r="P526" s="126"/>
      <c r="Q526" s="171"/>
      <c r="R526" s="172"/>
      <c r="S526" s="172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43"/>
      <c r="AF526" s="143"/>
      <c r="AG526" s="143"/>
      <c r="AH526" s="143"/>
      <c r="AI526" s="143"/>
      <c r="AJ526" s="143"/>
      <c r="AK526" s="143"/>
      <c r="AL526" s="143"/>
      <c r="AM526" s="145"/>
      <c r="AN526" s="153"/>
      <c r="AO526" s="153"/>
    </row>
    <row r="527" spans="3:41">
      <c r="C527" s="136"/>
      <c r="D527" s="136"/>
      <c r="E527" s="19"/>
      <c r="F527" s="15"/>
      <c r="G527" s="138"/>
      <c r="H527" s="138"/>
      <c r="I527" s="126"/>
      <c r="J527" s="15"/>
      <c r="K527" s="15"/>
      <c r="L527" s="20"/>
      <c r="M527" s="20"/>
      <c r="N527" s="126"/>
      <c r="O527" s="126"/>
      <c r="P527" s="126"/>
      <c r="Q527" s="171"/>
      <c r="R527" s="172"/>
      <c r="S527" s="172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43"/>
      <c r="AF527" s="143"/>
      <c r="AG527" s="143"/>
      <c r="AH527" s="143"/>
      <c r="AI527" s="143"/>
      <c r="AJ527" s="143"/>
      <c r="AK527" s="143"/>
      <c r="AL527" s="143"/>
      <c r="AM527" s="145"/>
      <c r="AN527" s="143"/>
      <c r="AO527" s="158"/>
    </row>
    <row r="528" spans="3:41">
      <c r="C528" s="136"/>
      <c r="D528" s="136"/>
      <c r="E528" s="19"/>
      <c r="F528" s="15"/>
      <c r="G528" s="138"/>
      <c r="H528" s="138"/>
      <c r="I528" s="126"/>
      <c r="J528" s="15"/>
      <c r="K528" s="15"/>
      <c r="L528" s="20"/>
      <c r="M528" s="20"/>
      <c r="N528" s="126"/>
      <c r="O528" s="126"/>
      <c r="P528" s="126"/>
      <c r="Q528" s="171"/>
      <c r="R528" s="172"/>
      <c r="S528" s="172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43"/>
      <c r="AF528" s="143"/>
      <c r="AG528" s="143"/>
      <c r="AH528" s="143"/>
      <c r="AI528" s="143"/>
      <c r="AJ528" s="143"/>
      <c r="AK528" s="143"/>
      <c r="AL528" s="143"/>
      <c r="AM528" s="145"/>
      <c r="AN528" s="143"/>
      <c r="AO528" s="144"/>
    </row>
    <row r="529" spans="3:41">
      <c r="C529" s="136"/>
      <c r="D529" s="136"/>
      <c r="E529" s="19"/>
      <c r="F529" s="15"/>
      <c r="G529" s="138"/>
      <c r="H529" s="138"/>
      <c r="I529" s="126"/>
      <c r="J529" s="15"/>
      <c r="K529" s="15"/>
      <c r="L529" s="20"/>
      <c r="M529" s="20"/>
      <c r="N529" s="126"/>
      <c r="O529" s="126"/>
      <c r="P529" s="126"/>
      <c r="Q529" s="171"/>
      <c r="R529" s="172"/>
      <c r="S529" s="172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43"/>
      <c r="AF529" s="143"/>
      <c r="AG529" s="143"/>
      <c r="AH529" s="143"/>
      <c r="AI529" s="143"/>
      <c r="AJ529" s="143"/>
      <c r="AK529" s="143"/>
      <c r="AL529" s="143"/>
      <c r="AM529" s="145"/>
      <c r="AN529" s="153"/>
      <c r="AO529" s="144"/>
    </row>
    <row r="530" spans="3:41">
      <c r="C530" s="136"/>
      <c r="D530" s="136"/>
      <c r="E530" s="19"/>
      <c r="F530" s="15"/>
      <c r="G530" s="138"/>
      <c r="H530" s="138"/>
      <c r="I530" s="126"/>
      <c r="J530" s="15"/>
      <c r="K530" s="15"/>
      <c r="L530" s="20"/>
      <c r="M530" s="20"/>
      <c r="N530" s="126"/>
      <c r="O530" s="126"/>
      <c r="P530" s="126"/>
      <c r="Q530" s="171"/>
      <c r="R530" s="172"/>
      <c r="S530" s="172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43"/>
      <c r="AF530" s="143"/>
      <c r="AG530" s="143"/>
      <c r="AH530" s="143"/>
      <c r="AI530" s="143"/>
      <c r="AJ530" s="143"/>
      <c r="AK530" s="143"/>
      <c r="AL530" s="143"/>
      <c r="AM530" s="145"/>
      <c r="AN530" s="147"/>
      <c r="AO530" s="143"/>
    </row>
    <row r="531" spans="3:41">
      <c r="C531" s="136"/>
      <c r="D531" s="136"/>
      <c r="E531" s="19"/>
      <c r="F531" s="15"/>
      <c r="G531" s="138"/>
      <c r="H531" s="138"/>
      <c r="I531" s="126"/>
      <c r="J531" s="15"/>
      <c r="K531" s="15"/>
      <c r="L531" s="20"/>
      <c r="M531" s="20"/>
      <c r="N531" s="126"/>
      <c r="O531" s="126"/>
      <c r="P531" s="126"/>
      <c r="Q531" s="171"/>
      <c r="R531" s="172"/>
      <c r="S531" s="172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43"/>
      <c r="AF531" s="143"/>
      <c r="AG531" s="143"/>
      <c r="AH531" s="143"/>
      <c r="AI531" s="143"/>
      <c r="AJ531" s="143"/>
      <c r="AK531" s="143"/>
      <c r="AL531" s="143"/>
      <c r="AM531" s="145"/>
      <c r="AN531" s="153"/>
      <c r="AO531" s="153"/>
    </row>
    <row r="532" spans="3:41">
      <c r="C532" s="136"/>
      <c r="D532" s="136"/>
      <c r="E532" s="19"/>
      <c r="F532" s="15"/>
      <c r="G532" s="138"/>
      <c r="H532" s="138"/>
      <c r="I532" s="126"/>
      <c r="J532" s="15"/>
      <c r="K532" s="15"/>
      <c r="L532" s="20"/>
      <c r="M532" s="20"/>
      <c r="N532" s="126"/>
      <c r="O532" s="126"/>
      <c r="P532" s="126"/>
      <c r="Q532" s="171"/>
      <c r="R532" s="172"/>
      <c r="S532" s="172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43"/>
      <c r="AF532" s="143"/>
      <c r="AG532" s="143"/>
      <c r="AH532" s="143"/>
      <c r="AI532" s="143"/>
      <c r="AJ532" s="143"/>
      <c r="AK532" s="143"/>
      <c r="AL532" s="143"/>
      <c r="AM532" s="145"/>
      <c r="AN532" s="153"/>
      <c r="AO532" s="143"/>
    </row>
    <row r="533" spans="3:41">
      <c r="C533" s="136"/>
      <c r="D533" s="136"/>
      <c r="E533" s="19"/>
      <c r="F533" s="15"/>
      <c r="G533" s="138"/>
      <c r="H533" s="138"/>
      <c r="I533" s="126"/>
      <c r="J533" s="15"/>
      <c r="K533" s="15"/>
      <c r="L533" s="20"/>
      <c r="M533" s="20"/>
      <c r="N533" s="126"/>
      <c r="O533" s="126"/>
      <c r="P533" s="126"/>
      <c r="Q533" s="171"/>
      <c r="R533" s="172"/>
      <c r="S533" s="172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43"/>
      <c r="AF533" s="143"/>
      <c r="AG533" s="143"/>
      <c r="AH533" s="143"/>
      <c r="AI533" s="143"/>
      <c r="AJ533" s="143"/>
      <c r="AK533" s="143"/>
      <c r="AL533" s="143"/>
      <c r="AM533" s="145"/>
      <c r="AN533" s="153"/>
      <c r="AO533" s="143"/>
    </row>
    <row r="534" spans="3:41">
      <c r="C534" s="136"/>
      <c r="D534" s="136"/>
      <c r="E534" s="19"/>
      <c r="F534" s="15"/>
      <c r="G534" s="138"/>
      <c r="H534" s="138"/>
      <c r="I534" s="126"/>
      <c r="J534" s="15"/>
      <c r="K534" s="15"/>
      <c r="L534" s="20"/>
      <c r="M534" s="20"/>
      <c r="N534" s="126"/>
      <c r="O534" s="126"/>
      <c r="P534" s="126"/>
      <c r="Q534" s="171"/>
      <c r="R534" s="172"/>
      <c r="S534" s="172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43"/>
      <c r="AF534" s="143"/>
      <c r="AG534" s="143"/>
      <c r="AH534" s="143"/>
      <c r="AI534" s="143"/>
      <c r="AJ534" s="143"/>
      <c r="AK534" s="143"/>
      <c r="AL534" s="143"/>
      <c r="AM534" s="145"/>
      <c r="AN534" s="153"/>
      <c r="AO534" s="153"/>
    </row>
    <row r="535" spans="3:41">
      <c r="C535" s="136"/>
      <c r="D535" s="136"/>
      <c r="E535" s="19"/>
      <c r="F535" s="15"/>
      <c r="G535" s="138"/>
      <c r="H535" s="138"/>
      <c r="I535" s="126"/>
      <c r="J535" s="15"/>
      <c r="K535" s="15"/>
      <c r="L535" s="20"/>
      <c r="M535" s="20"/>
      <c r="N535" s="126"/>
      <c r="O535" s="126"/>
      <c r="P535" s="126"/>
      <c r="Q535" s="171"/>
      <c r="R535" s="172"/>
      <c r="S535" s="172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43"/>
      <c r="AF535" s="143"/>
      <c r="AG535" s="143"/>
      <c r="AH535" s="143"/>
      <c r="AI535" s="143"/>
      <c r="AJ535" s="143"/>
      <c r="AK535" s="143"/>
      <c r="AL535" s="143"/>
      <c r="AM535" s="145"/>
      <c r="AN535" s="147"/>
      <c r="AO535" s="143"/>
    </row>
    <row r="536" spans="3:41">
      <c r="C536" s="136"/>
      <c r="D536" s="136"/>
      <c r="E536" s="19"/>
      <c r="F536" s="15"/>
      <c r="G536" s="138"/>
      <c r="H536" s="138"/>
      <c r="I536" s="126"/>
      <c r="J536" s="15"/>
      <c r="K536" s="15"/>
      <c r="L536" s="20"/>
      <c r="M536" s="20"/>
      <c r="N536" s="126"/>
      <c r="O536" s="126"/>
      <c r="P536" s="126"/>
      <c r="Q536" s="171"/>
      <c r="R536" s="172"/>
      <c r="S536" s="172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43"/>
      <c r="AF536" s="143"/>
      <c r="AG536" s="143"/>
      <c r="AH536" s="143"/>
      <c r="AI536" s="143"/>
      <c r="AJ536" s="143"/>
      <c r="AK536" s="143"/>
      <c r="AL536" s="143"/>
      <c r="AM536" s="145"/>
      <c r="AN536" s="147"/>
      <c r="AO536" s="143"/>
    </row>
    <row r="537" spans="3:41">
      <c r="C537" s="136"/>
      <c r="D537" s="136"/>
      <c r="E537" s="19"/>
      <c r="F537" s="15"/>
      <c r="G537" s="138"/>
      <c r="H537" s="138"/>
      <c r="I537" s="126"/>
      <c r="J537" s="15"/>
      <c r="K537" s="15"/>
      <c r="L537" s="20"/>
      <c r="M537" s="20"/>
      <c r="N537" s="126"/>
      <c r="O537" s="126"/>
      <c r="P537" s="126"/>
      <c r="Q537" s="171"/>
      <c r="R537" s="172"/>
      <c r="S537" s="172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43"/>
      <c r="AF537" s="143"/>
      <c r="AG537" s="143"/>
      <c r="AH537" s="143"/>
      <c r="AI537" s="143"/>
      <c r="AJ537" s="143"/>
      <c r="AK537" s="143"/>
      <c r="AL537" s="143"/>
      <c r="AM537" s="145"/>
      <c r="AN537" s="153"/>
      <c r="AO537" s="143"/>
    </row>
    <row r="538" spans="3:41">
      <c r="C538" s="136"/>
      <c r="D538" s="136"/>
      <c r="E538" s="19"/>
      <c r="F538" s="15"/>
      <c r="G538" s="138"/>
      <c r="H538" s="138"/>
      <c r="I538" s="126"/>
      <c r="J538" s="15"/>
      <c r="K538" s="15"/>
      <c r="L538" s="20"/>
      <c r="M538" s="20"/>
      <c r="N538" s="126"/>
      <c r="O538" s="126"/>
      <c r="P538" s="126"/>
      <c r="Q538" s="171"/>
      <c r="R538" s="172"/>
      <c r="S538" s="172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43"/>
      <c r="AF538" s="143"/>
      <c r="AG538" s="143"/>
      <c r="AH538" s="143"/>
      <c r="AI538" s="143"/>
      <c r="AJ538" s="143"/>
      <c r="AK538" s="143"/>
      <c r="AL538" s="143"/>
      <c r="AM538" s="145"/>
      <c r="AN538" s="147"/>
      <c r="AO538" s="143"/>
    </row>
    <row r="539" spans="3:41">
      <c r="C539" s="136"/>
      <c r="D539" s="136"/>
      <c r="E539" s="19"/>
      <c r="F539" s="15"/>
      <c r="G539" s="138"/>
      <c r="H539" s="138"/>
      <c r="I539" s="126"/>
      <c r="J539" s="15"/>
      <c r="K539" s="15"/>
      <c r="L539" s="20"/>
      <c r="M539" s="20"/>
      <c r="N539" s="126"/>
      <c r="O539" s="126"/>
      <c r="P539" s="126"/>
      <c r="Q539" s="171"/>
      <c r="R539" s="172"/>
      <c r="S539" s="172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43"/>
      <c r="AF539" s="143"/>
      <c r="AG539" s="143"/>
      <c r="AH539" s="143"/>
      <c r="AI539" s="143"/>
      <c r="AJ539" s="143"/>
      <c r="AK539" s="143"/>
      <c r="AL539" s="143"/>
      <c r="AM539" s="145"/>
      <c r="AN539" s="153"/>
      <c r="AO539" s="153"/>
    </row>
    <row r="540" spans="3:41">
      <c r="C540" s="136"/>
      <c r="D540" s="136"/>
      <c r="E540" s="19"/>
      <c r="F540" s="15"/>
      <c r="G540" s="138"/>
      <c r="H540" s="138"/>
      <c r="I540" s="126"/>
      <c r="J540" s="15"/>
      <c r="K540" s="15"/>
      <c r="L540" s="20"/>
      <c r="M540" s="20"/>
      <c r="N540" s="126"/>
      <c r="O540" s="126"/>
      <c r="P540" s="126"/>
      <c r="Q540" s="171"/>
      <c r="R540" s="172"/>
      <c r="S540" s="172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43"/>
      <c r="AF540" s="143"/>
      <c r="AG540" s="143"/>
      <c r="AH540" s="143"/>
      <c r="AI540" s="143"/>
      <c r="AJ540" s="143"/>
      <c r="AK540" s="143"/>
      <c r="AL540" s="143"/>
      <c r="AM540" s="145"/>
      <c r="AN540" s="143"/>
      <c r="AO540" s="143"/>
    </row>
    <row r="541" spans="3:41">
      <c r="C541" s="136"/>
      <c r="D541" s="136"/>
      <c r="E541" s="19"/>
      <c r="F541" s="15"/>
      <c r="G541" s="138"/>
      <c r="H541" s="138"/>
      <c r="I541" s="126"/>
      <c r="J541" s="15"/>
      <c r="K541" s="15"/>
      <c r="L541" s="20"/>
      <c r="M541" s="20"/>
      <c r="N541" s="126"/>
      <c r="O541" s="126"/>
      <c r="P541" s="126"/>
      <c r="Q541" s="171"/>
      <c r="R541" s="172"/>
      <c r="S541" s="172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43"/>
      <c r="AF541" s="143"/>
      <c r="AG541" s="143"/>
      <c r="AH541" s="143"/>
      <c r="AI541" s="143"/>
      <c r="AJ541" s="143"/>
      <c r="AK541" s="143"/>
      <c r="AL541" s="143"/>
      <c r="AM541" s="145"/>
      <c r="AN541" s="143"/>
      <c r="AO541" s="143"/>
    </row>
    <row r="542" spans="3:41">
      <c r="C542" s="136"/>
      <c r="D542" s="136"/>
      <c r="E542" s="19"/>
      <c r="F542" s="15"/>
      <c r="G542" s="138"/>
      <c r="H542" s="138"/>
      <c r="I542" s="126"/>
      <c r="J542" s="15"/>
      <c r="K542" s="15"/>
      <c r="L542" s="20"/>
      <c r="M542" s="20"/>
      <c r="N542" s="126"/>
      <c r="O542" s="126"/>
      <c r="P542" s="126"/>
      <c r="Q542" s="171"/>
      <c r="R542" s="172"/>
      <c r="S542" s="172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43"/>
      <c r="AF542" s="143"/>
      <c r="AG542" s="143"/>
      <c r="AH542" s="143"/>
      <c r="AI542" s="143"/>
      <c r="AJ542" s="143"/>
      <c r="AK542" s="143"/>
      <c r="AL542" s="143"/>
      <c r="AM542" s="145"/>
      <c r="AN542" s="153"/>
      <c r="AO542" s="143"/>
    </row>
    <row r="543" spans="3:41">
      <c r="C543" s="136"/>
      <c r="D543" s="136"/>
      <c r="E543" s="19"/>
      <c r="F543" s="15"/>
      <c r="G543" s="138"/>
      <c r="H543" s="138"/>
      <c r="I543" s="126"/>
      <c r="J543" s="15"/>
      <c r="K543" s="15"/>
      <c r="L543" s="20"/>
      <c r="M543" s="20"/>
      <c r="N543" s="126"/>
      <c r="O543" s="126"/>
      <c r="P543" s="126"/>
      <c r="Q543" s="171"/>
      <c r="R543" s="172"/>
      <c r="S543" s="172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43"/>
      <c r="AF543" s="143"/>
      <c r="AG543" s="143"/>
      <c r="AH543" s="143"/>
      <c r="AI543" s="143"/>
      <c r="AJ543" s="143"/>
      <c r="AK543" s="143"/>
      <c r="AL543" s="143"/>
      <c r="AM543" s="145"/>
      <c r="AN543" s="147"/>
      <c r="AO543" s="143"/>
    </row>
    <row r="544" spans="3:41">
      <c r="C544" s="136"/>
      <c r="D544" s="136"/>
      <c r="E544" s="19"/>
      <c r="F544" s="15"/>
      <c r="G544" s="138"/>
      <c r="H544" s="138"/>
      <c r="I544" s="126"/>
      <c r="J544" s="15"/>
      <c r="K544" s="15"/>
      <c r="L544" s="20"/>
      <c r="M544" s="20"/>
      <c r="N544" s="126"/>
      <c r="O544" s="126"/>
      <c r="P544" s="126"/>
      <c r="Q544" s="171"/>
      <c r="R544" s="172"/>
      <c r="S544" s="172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43"/>
      <c r="AF544" s="143"/>
      <c r="AG544" s="143"/>
      <c r="AH544" s="143"/>
      <c r="AI544" s="143"/>
      <c r="AJ544" s="143"/>
      <c r="AK544" s="143"/>
      <c r="AL544" s="143"/>
      <c r="AM544" s="145"/>
      <c r="AN544" s="153"/>
      <c r="AO544" s="151"/>
    </row>
    <row r="545" spans="3:41">
      <c r="C545" s="136"/>
      <c r="D545" s="136"/>
      <c r="E545" s="19"/>
      <c r="F545" s="15"/>
      <c r="G545" s="138"/>
      <c r="H545" s="138"/>
      <c r="I545" s="126"/>
      <c r="J545" s="15"/>
      <c r="K545" s="15"/>
      <c r="L545" s="20"/>
      <c r="M545" s="20"/>
      <c r="N545" s="126"/>
      <c r="O545" s="126"/>
      <c r="P545" s="126"/>
      <c r="Q545" s="171"/>
      <c r="R545" s="172"/>
      <c r="S545" s="172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43"/>
      <c r="AF545" s="143"/>
      <c r="AG545" s="143"/>
      <c r="AH545" s="143"/>
      <c r="AI545" s="143"/>
      <c r="AJ545" s="143"/>
      <c r="AK545" s="143"/>
      <c r="AL545" s="143"/>
      <c r="AM545" s="145"/>
      <c r="AN545" s="153"/>
      <c r="AO545" s="157"/>
    </row>
    <row r="546" spans="3:41">
      <c r="C546" s="136"/>
      <c r="D546" s="136"/>
      <c r="E546" s="19"/>
      <c r="F546" s="15"/>
      <c r="G546" s="138"/>
      <c r="H546" s="138"/>
      <c r="I546" s="126"/>
      <c r="J546" s="15"/>
      <c r="K546" s="15"/>
      <c r="L546" s="20"/>
      <c r="M546" s="20"/>
      <c r="N546" s="126"/>
      <c r="O546" s="126"/>
      <c r="P546" s="126"/>
      <c r="Q546" s="171"/>
      <c r="R546" s="172"/>
      <c r="S546" s="172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43"/>
      <c r="AF546" s="143"/>
      <c r="AG546" s="143"/>
      <c r="AH546" s="143"/>
      <c r="AI546" s="143"/>
      <c r="AJ546" s="143"/>
      <c r="AK546" s="143"/>
      <c r="AL546" s="143"/>
      <c r="AM546" s="145"/>
      <c r="AN546" s="153"/>
      <c r="AO546" s="143"/>
    </row>
    <row r="547" spans="3:41">
      <c r="C547" s="136"/>
      <c r="D547" s="136"/>
      <c r="E547" s="19"/>
      <c r="F547" s="15"/>
      <c r="G547" s="138"/>
      <c r="H547" s="138"/>
      <c r="I547" s="126"/>
      <c r="J547" s="15"/>
      <c r="K547" s="15"/>
      <c r="L547" s="20"/>
      <c r="M547" s="20"/>
      <c r="N547" s="126"/>
      <c r="O547" s="126"/>
      <c r="P547" s="126"/>
      <c r="Q547" s="171"/>
      <c r="R547" s="172"/>
      <c r="S547" s="172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43"/>
      <c r="AF547" s="143"/>
      <c r="AG547" s="143"/>
      <c r="AH547" s="143"/>
      <c r="AI547" s="143"/>
      <c r="AJ547" s="143"/>
      <c r="AK547" s="143"/>
      <c r="AL547" s="143"/>
      <c r="AM547" s="143"/>
      <c r="AN547" s="153"/>
      <c r="AO547" s="143"/>
    </row>
    <row r="548" spans="3:41">
      <c r="C548" s="136"/>
      <c r="D548" s="136"/>
      <c r="E548" s="19"/>
      <c r="F548" s="15"/>
      <c r="G548" s="138"/>
      <c r="H548" s="138"/>
      <c r="I548" s="126"/>
      <c r="J548" s="15"/>
      <c r="K548" s="15"/>
      <c r="L548" s="20"/>
      <c r="M548" s="20"/>
      <c r="N548" s="126"/>
      <c r="O548" s="126"/>
      <c r="P548" s="126"/>
      <c r="Q548" s="171"/>
      <c r="R548" s="172"/>
      <c r="S548" s="172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43"/>
      <c r="AF548" s="143"/>
      <c r="AG548" s="143"/>
      <c r="AH548" s="143"/>
      <c r="AI548" s="143"/>
      <c r="AJ548" s="143"/>
      <c r="AK548" s="143"/>
      <c r="AL548" s="143"/>
      <c r="AM548" s="145"/>
      <c r="AN548" s="143"/>
      <c r="AO548" s="143"/>
    </row>
    <row r="549" spans="3:41">
      <c r="C549" s="136"/>
      <c r="D549" s="136"/>
      <c r="E549" s="19"/>
      <c r="F549" s="15"/>
      <c r="G549" s="138"/>
      <c r="H549" s="138"/>
      <c r="I549" s="126"/>
      <c r="J549" s="15"/>
      <c r="K549" s="15"/>
      <c r="L549" s="20"/>
      <c r="M549" s="20"/>
      <c r="N549" s="126"/>
      <c r="O549" s="126"/>
      <c r="P549" s="126"/>
      <c r="Q549" s="171"/>
      <c r="R549" s="172"/>
      <c r="S549" s="172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43"/>
      <c r="AF549" s="143"/>
      <c r="AG549" s="143"/>
      <c r="AH549" s="143"/>
      <c r="AI549" s="143"/>
      <c r="AJ549" s="143"/>
      <c r="AK549" s="143"/>
      <c r="AL549" s="143"/>
      <c r="AM549" s="145"/>
      <c r="AN549" s="153"/>
      <c r="AO549" s="151"/>
    </row>
    <row r="550" spans="3:41">
      <c r="C550" s="136"/>
      <c r="D550" s="136"/>
      <c r="E550" s="19"/>
      <c r="F550" s="15"/>
      <c r="G550" s="138"/>
      <c r="H550" s="138"/>
      <c r="I550" s="126"/>
      <c r="J550" s="15"/>
      <c r="K550" s="15"/>
      <c r="L550" s="20"/>
      <c r="M550" s="20"/>
      <c r="N550" s="126"/>
      <c r="O550" s="126"/>
      <c r="P550" s="126"/>
      <c r="Q550" s="171"/>
      <c r="R550" s="172"/>
      <c r="S550" s="172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43"/>
      <c r="AF550" s="143"/>
      <c r="AG550" s="143"/>
      <c r="AH550" s="143"/>
      <c r="AI550" s="143"/>
      <c r="AJ550" s="143"/>
      <c r="AK550" s="143"/>
      <c r="AL550" s="143"/>
      <c r="AM550" s="145"/>
      <c r="AN550" s="153"/>
      <c r="AO550" s="143"/>
    </row>
    <row r="551" spans="3:41">
      <c r="C551" s="136"/>
      <c r="D551" s="136"/>
      <c r="E551" s="19"/>
      <c r="F551" s="15"/>
      <c r="G551" s="138"/>
      <c r="H551" s="138"/>
      <c r="I551" s="126"/>
      <c r="J551" s="15"/>
      <c r="K551" s="15"/>
      <c r="L551" s="20"/>
      <c r="M551" s="20"/>
      <c r="N551" s="126"/>
      <c r="O551" s="126"/>
      <c r="P551" s="126"/>
      <c r="Q551" s="171"/>
      <c r="R551" s="172"/>
      <c r="S551" s="172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43"/>
      <c r="AF551" s="143"/>
      <c r="AG551" s="143"/>
      <c r="AH551" s="143"/>
      <c r="AI551" s="143"/>
      <c r="AJ551" s="143"/>
      <c r="AK551" s="143"/>
      <c r="AL551" s="143"/>
      <c r="AM551" s="143"/>
      <c r="AN551" s="153"/>
      <c r="AO551" s="143"/>
    </row>
    <row r="552" spans="3:41">
      <c r="C552" s="136"/>
      <c r="D552" s="136"/>
      <c r="E552" s="19"/>
      <c r="F552" s="15"/>
      <c r="G552" s="138"/>
      <c r="H552" s="138"/>
      <c r="I552" s="126"/>
      <c r="J552" s="15"/>
      <c r="K552" s="15"/>
      <c r="L552" s="20"/>
      <c r="M552" s="20"/>
      <c r="N552" s="126"/>
      <c r="O552" s="126"/>
      <c r="P552" s="126"/>
      <c r="Q552" s="171"/>
      <c r="R552" s="172"/>
      <c r="S552" s="172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43"/>
      <c r="AF552" s="143"/>
      <c r="AG552" s="143"/>
      <c r="AH552" s="143"/>
      <c r="AI552" s="143"/>
      <c r="AJ552" s="143"/>
      <c r="AK552" s="143"/>
      <c r="AL552" s="143"/>
      <c r="AM552" s="145"/>
      <c r="AN552" s="153"/>
      <c r="AO552" s="143"/>
    </row>
    <row r="553" spans="3:41">
      <c r="C553" s="136"/>
      <c r="D553" s="136"/>
      <c r="E553" s="19"/>
      <c r="F553" s="15"/>
      <c r="G553" s="138"/>
      <c r="H553" s="138"/>
      <c r="I553" s="126"/>
      <c r="J553" s="15"/>
      <c r="K553" s="15"/>
      <c r="L553" s="20"/>
      <c r="M553" s="20"/>
      <c r="N553" s="126"/>
      <c r="O553" s="126"/>
      <c r="P553" s="126"/>
      <c r="Q553" s="171"/>
      <c r="R553" s="172"/>
      <c r="S553" s="172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43"/>
      <c r="AF553" s="143"/>
      <c r="AG553" s="143"/>
      <c r="AH553" s="143"/>
      <c r="AI553" s="143"/>
      <c r="AJ553" s="143"/>
      <c r="AK553" s="143"/>
      <c r="AL553" s="143"/>
      <c r="AM553" s="145"/>
      <c r="AN553" s="153"/>
      <c r="AO553" s="143"/>
    </row>
    <row r="554" spans="3:41">
      <c r="C554" s="136"/>
      <c r="D554" s="136"/>
      <c r="E554" s="19"/>
      <c r="F554" s="15"/>
      <c r="G554" s="138"/>
      <c r="H554" s="138"/>
      <c r="I554" s="126"/>
      <c r="J554" s="15"/>
      <c r="K554" s="15"/>
      <c r="L554" s="20"/>
      <c r="M554" s="20"/>
      <c r="N554" s="126"/>
      <c r="O554" s="126"/>
      <c r="P554" s="126"/>
      <c r="Q554" s="171"/>
      <c r="R554" s="172"/>
      <c r="S554" s="172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43"/>
      <c r="AF554" s="143"/>
      <c r="AG554" s="143"/>
      <c r="AH554" s="143"/>
      <c r="AI554" s="143"/>
      <c r="AJ554" s="143"/>
      <c r="AK554" s="143"/>
      <c r="AL554" s="143"/>
      <c r="AM554" s="143"/>
      <c r="AN554" s="153"/>
      <c r="AO554" s="143"/>
    </row>
    <row r="555" spans="3:41">
      <c r="C555" s="136"/>
      <c r="D555" s="136"/>
      <c r="E555" s="19"/>
      <c r="F555" s="15"/>
      <c r="G555" s="138"/>
      <c r="H555" s="138"/>
      <c r="I555" s="126"/>
      <c r="J555" s="15"/>
      <c r="K555" s="15"/>
      <c r="L555" s="20"/>
      <c r="M555" s="20"/>
      <c r="N555" s="126"/>
      <c r="O555" s="126"/>
      <c r="P555" s="126"/>
      <c r="Q555" s="171"/>
      <c r="R555" s="172"/>
      <c r="S555" s="172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43"/>
      <c r="AF555" s="143"/>
      <c r="AG555" s="143"/>
      <c r="AH555" s="143"/>
      <c r="AI555" s="143"/>
      <c r="AJ555" s="143"/>
      <c r="AK555" s="143"/>
      <c r="AL555" s="143"/>
      <c r="AM555" s="145"/>
      <c r="AN555" s="143"/>
      <c r="AO555" s="143"/>
    </row>
    <row r="556" spans="3:41">
      <c r="C556" s="136"/>
      <c r="D556" s="136"/>
      <c r="E556" s="19"/>
      <c r="F556" s="15"/>
      <c r="G556" s="138"/>
      <c r="H556" s="138"/>
      <c r="I556" s="126"/>
      <c r="J556" s="15"/>
      <c r="K556" s="15"/>
      <c r="L556" s="20"/>
      <c r="M556" s="20"/>
      <c r="N556" s="126"/>
      <c r="O556" s="126"/>
      <c r="P556" s="126"/>
      <c r="Q556" s="171"/>
      <c r="R556" s="172"/>
      <c r="S556" s="172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43"/>
      <c r="AF556" s="143"/>
      <c r="AG556" s="143"/>
      <c r="AH556" s="143"/>
      <c r="AI556" s="143"/>
      <c r="AJ556" s="143"/>
      <c r="AK556" s="143"/>
      <c r="AL556" s="143"/>
      <c r="AM556" s="145"/>
      <c r="AN556" s="153"/>
      <c r="AO556" s="151"/>
    </row>
    <row r="557" spans="3:41">
      <c r="C557" s="136"/>
      <c r="D557" s="136"/>
      <c r="E557" s="19"/>
      <c r="F557" s="15"/>
      <c r="G557" s="138"/>
      <c r="H557" s="138"/>
      <c r="I557" s="126"/>
      <c r="J557" s="15"/>
      <c r="K557" s="15"/>
      <c r="L557" s="20"/>
      <c r="M557" s="20"/>
      <c r="N557" s="126"/>
      <c r="O557" s="126"/>
      <c r="P557" s="126"/>
      <c r="Q557" s="171"/>
      <c r="R557" s="172"/>
      <c r="S557" s="172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43"/>
      <c r="AF557" s="143"/>
      <c r="AG557" s="143"/>
      <c r="AH557" s="143"/>
      <c r="AI557" s="143"/>
      <c r="AJ557" s="143"/>
      <c r="AK557" s="143"/>
      <c r="AL557" s="143"/>
      <c r="AM557" s="143"/>
      <c r="AN557" s="153"/>
      <c r="AO557" s="151"/>
    </row>
    <row r="558" spans="3:41">
      <c r="C558" s="136"/>
      <c r="D558" s="136"/>
      <c r="E558" s="19"/>
      <c r="F558" s="15"/>
      <c r="G558" s="138"/>
      <c r="H558" s="138"/>
      <c r="I558" s="126"/>
      <c r="J558" s="15"/>
      <c r="K558" s="15"/>
      <c r="L558" s="20"/>
      <c r="M558" s="20"/>
      <c r="N558" s="126"/>
      <c r="O558" s="126"/>
      <c r="P558" s="126"/>
      <c r="Q558" s="171"/>
      <c r="R558" s="172"/>
      <c r="S558" s="172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43"/>
      <c r="AF558" s="143"/>
      <c r="AG558" s="143"/>
      <c r="AH558" s="143"/>
      <c r="AI558" s="143"/>
      <c r="AJ558" s="143"/>
      <c r="AK558" s="143"/>
      <c r="AL558" s="143"/>
      <c r="AM558" s="145"/>
      <c r="AN558" s="153"/>
      <c r="AO558" s="151"/>
    </row>
    <row r="559" spans="3:41">
      <c r="C559" s="136"/>
      <c r="D559" s="136"/>
      <c r="E559" s="19"/>
      <c r="F559" s="15"/>
      <c r="G559" s="138"/>
      <c r="H559" s="138"/>
      <c r="I559" s="126"/>
      <c r="J559" s="15"/>
      <c r="K559" s="15"/>
      <c r="L559" s="20"/>
      <c r="M559" s="20"/>
      <c r="N559" s="126"/>
      <c r="O559" s="126"/>
      <c r="P559" s="126"/>
      <c r="Q559" s="171"/>
      <c r="R559" s="172"/>
      <c r="S559" s="172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43"/>
      <c r="AF559" s="143"/>
      <c r="AG559" s="143"/>
      <c r="AH559" s="143"/>
      <c r="AI559" s="143"/>
      <c r="AJ559" s="143"/>
      <c r="AK559" s="143"/>
      <c r="AL559" s="143"/>
      <c r="AM559" s="145"/>
      <c r="AN559" s="143"/>
      <c r="AO559" s="151"/>
    </row>
    <row r="560" spans="3:41">
      <c r="C560" s="136"/>
      <c r="D560" s="136"/>
      <c r="E560" s="19"/>
      <c r="F560" s="15"/>
      <c r="G560" s="138"/>
      <c r="H560" s="138"/>
      <c r="I560" s="126"/>
      <c r="J560" s="15"/>
      <c r="K560" s="15"/>
      <c r="L560" s="20"/>
      <c r="M560" s="20"/>
      <c r="N560" s="126"/>
      <c r="O560" s="126"/>
      <c r="P560" s="126"/>
      <c r="Q560" s="171"/>
      <c r="R560" s="172"/>
      <c r="S560" s="172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43"/>
      <c r="AF560" s="143"/>
      <c r="AG560" s="143"/>
      <c r="AH560" s="143"/>
      <c r="AI560" s="143"/>
      <c r="AJ560" s="143"/>
      <c r="AK560" s="143"/>
      <c r="AL560" s="143"/>
      <c r="AM560" s="145"/>
      <c r="AN560" s="153"/>
      <c r="AO560" s="151"/>
    </row>
    <row r="561" spans="3:41">
      <c r="C561" s="136"/>
      <c r="D561" s="136"/>
      <c r="E561" s="19"/>
      <c r="F561" s="15"/>
      <c r="G561" s="138"/>
      <c r="H561" s="138"/>
      <c r="I561" s="126"/>
      <c r="J561" s="15"/>
      <c r="K561" s="15"/>
      <c r="L561" s="20"/>
      <c r="M561" s="20"/>
      <c r="N561" s="126"/>
      <c r="O561" s="126"/>
      <c r="P561" s="126"/>
      <c r="Q561" s="171"/>
      <c r="R561" s="172"/>
      <c r="S561" s="172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43"/>
      <c r="AF561" s="143"/>
      <c r="AG561" s="143"/>
      <c r="AH561" s="143"/>
      <c r="AI561" s="143"/>
      <c r="AJ561" s="143"/>
      <c r="AK561" s="143"/>
      <c r="AL561" s="143"/>
      <c r="AM561" s="145"/>
      <c r="AN561" s="153"/>
      <c r="AO561" s="151"/>
    </row>
    <row r="562" spans="3:41">
      <c r="C562" s="136"/>
      <c r="D562" s="136"/>
      <c r="E562" s="19"/>
      <c r="F562" s="15"/>
      <c r="G562" s="138"/>
      <c r="H562" s="138"/>
      <c r="I562" s="126"/>
      <c r="J562" s="15"/>
      <c r="K562" s="15"/>
      <c r="L562" s="20"/>
      <c r="M562" s="20"/>
      <c r="N562" s="126"/>
      <c r="O562" s="126"/>
      <c r="P562" s="126"/>
      <c r="Q562" s="171"/>
      <c r="R562" s="172"/>
      <c r="S562" s="172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43"/>
      <c r="AF562" s="143"/>
      <c r="AG562" s="143"/>
      <c r="AH562" s="143"/>
      <c r="AI562" s="143"/>
      <c r="AJ562" s="143"/>
      <c r="AK562" s="143"/>
      <c r="AL562" s="143"/>
      <c r="AM562" s="143"/>
      <c r="AN562" s="153"/>
      <c r="AO562" s="151"/>
    </row>
    <row r="563" spans="3:41">
      <c r="C563" s="136"/>
      <c r="D563" s="136"/>
      <c r="E563" s="19"/>
      <c r="F563" s="15"/>
      <c r="G563" s="138"/>
      <c r="H563" s="138"/>
      <c r="I563" s="126"/>
      <c r="J563" s="15"/>
      <c r="K563" s="15"/>
      <c r="L563" s="20"/>
      <c r="M563" s="20"/>
      <c r="N563" s="126"/>
      <c r="O563" s="126"/>
      <c r="P563" s="126"/>
      <c r="Q563" s="171"/>
      <c r="R563" s="172"/>
      <c r="S563" s="172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43"/>
      <c r="AF563" s="143"/>
      <c r="AG563" s="143"/>
      <c r="AH563" s="143"/>
      <c r="AI563" s="143"/>
      <c r="AJ563" s="143"/>
      <c r="AK563" s="143"/>
      <c r="AL563" s="143"/>
      <c r="AM563" s="145"/>
      <c r="AN563" s="153"/>
      <c r="AO563" s="151"/>
    </row>
    <row r="564" spans="3:41">
      <c r="C564" s="136"/>
      <c r="D564" s="136"/>
      <c r="E564" s="19"/>
      <c r="F564" s="15"/>
      <c r="G564" s="138"/>
      <c r="H564" s="138"/>
      <c r="I564" s="126"/>
      <c r="J564" s="15"/>
      <c r="K564" s="15"/>
      <c r="L564" s="20"/>
      <c r="M564" s="20"/>
      <c r="N564" s="126"/>
      <c r="O564" s="126"/>
      <c r="P564" s="126"/>
      <c r="Q564" s="171"/>
      <c r="R564" s="172"/>
      <c r="S564" s="172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43"/>
      <c r="AF564" s="143"/>
      <c r="AG564" s="143"/>
      <c r="AH564" s="143"/>
      <c r="AI564" s="143"/>
      <c r="AJ564" s="143"/>
      <c r="AK564" s="143"/>
      <c r="AL564" s="143"/>
      <c r="AM564" s="145"/>
      <c r="AN564" s="153"/>
      <c r="AO564" s="151"/>
    </row>
    <row r="565" spans="3:41">
      <c r="C565" s="136"/>
      <c r="D565" s="136"/>
      <c r="E565" s="19"/>
      <c r="F565" s="15"/>
      <c r="G565" s="138"/>
      <c r="H565" s="138"/>
      <c r="I565" s="126"/>
      <c r="J565" s="15"/>
      <c r="K565" s="15"/>
      <c r="L565" s="20"/>
      <c r="M565" s="20"/>
      <c r="N565" s="126"/>
      <c r="O565" s="126"/>
      <c r="P565" s="126"/>
      <c r="Q565" s="171"/>
      <c r="R565" s="172"/>
      <c r="S565" s="172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43"/>
      <c r="AF565" s="143"/>
      <c r="AG565" s="143"/>
      <c r="AH565" s="143"/>
      <c r="AI565" s="143"/>
      <c r="AJ565" s="143"/>
      <c r="AK565" s="143"/>
      <c r="AL565" s="143"/>
      <c r="AM565" s="143"/>
      <c r="AN565" s="153"/>
      <c r="AO565" s="151"/>
    </row>
    <row r="566" spans="3:41">
      <c r="C566" s="136"/>
      <c r="D566" s="136"/>
      <c r="E566" s="19"/>
      <c r="F566" s="15"/>
      <c r="G566" s="138"/>
      <c r="H566" s="138"/>
      <c r="I566" s="126"/>
      <c r="J566" s="15"/>
      <c r="K566" s="15"/>
      <c r="L566" s="20"/>
      <c r="M566" s="20"/>
      <c r="N566" s="126"/>
      <c r="O566" s="126"/>
      <c r="P566" s="126"/>
      <c r="Q566" s="171"/>
      <c r="R566" s="173"/>
      <c r="S566" s="172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43"/>
      <c r="AF566" s="143"/>
      <c r="AG566" s="143"/>
      <c r="AH566" s="143"/>
      <c r="AI566" s="143"/>
      <c r="AJ566" s="143"/>
      <c r="AK566" s="143"/>
      <c r="AL566" s="143"/>
      <c r="AM566" s="145"/>
      <c r="AN566" s="143"/>
      <c r="AO566" s="151"/>
    </row>
    <row r="567" spans="3:41">
      <c r="C567" s="136"/>
      <c r="D567" s="136"/>
      <c r="E567" s="19"/>
      <c r="F567" s="15"/>
      <c r="G567" s="138"/>
      <c r="H567" s="138"/>
      <c r="I567" s="126"/>
      <c r="J567" s="15"/>
      <c r="K567" s="15"/>
      <c r="L567" s="20"/>
      <c r="M567" s="20"/>
      <c r="N567" s="126"/>
      <c r="O567" s="126"/>
      <c r="P567" s="126"/>
      <c r="Q567" s="171"/>
      <c r="R567" s="173"/>
      <c r="S567" s="172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43"/>
      <c r="AF567" s="143"/>
      <c r="AG567" s="143"/>
      <c r="AH567" s="143"/>
      <c r="AI567" s="143"/>
      <c r="AJ567" s="143"/>
      <c r="AK567" s="143"/>
      <c r="AL567" s="143"/>
      <c r="AM567" s="143"/>
      <c r="AN567" s="153"/>
      <c r="AO567" s="143"/>
    </row>
    <row r="568" spans="3:41">
      <c r="C568" s="136"/>
      <c r="D568" s="136"/>
      <c r="E568" s="19"/>
      <c r="F568" s="15"/>
      <c r="G568" s="138"/>
      <c r="H568" s="138"/>
      <c r="I568" s="126"/>
      <c r="J568" s="15"/>
      <c r="K568" s="15"/>
      <c r="L568" s="20"/>
      <c r="M568" s="20"/>
      <c r="N568" s="126"/>
      <c r="O568" s="126"/>
      <c r="P568" s="126"/>
      <c r="Q568" s="171"/>
      <c r="R568" s="172"/>
      <c r="S568" s="172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43"/>
      <c r="AF568" s="143"/>
      <c r="AG568" s="143"/>
      <c r="AH568" s="143"/>
      <c r="AI568" s="143"/>
      <c r="AJ568" s="143"/>
      <c r="AK568" s="143"/>
      <c r="AL568" s="143"/>
      <c r="AM568" s="145"/>
      <c r="AN568" s="153"/>
      <c r="AO568" s="143"/>
    </row>
    <row r="569" spans="3:41">
      <c r="C569" s="136"/>
      <c r="D569" s="136"/>
      <c r="E569" s="19"/>
      <c r="F569" s="15"/>
      <c r="G569" s="138"/>
      <c r="H569" s="138"/>
      <c r="I569" s="126"/>
      <c r="J569" s="15"/>
      <c r="K569" s="15"/>
      <c r="L569" s="20"/>
      <c r="M569" s="20"/>
      <c r="N569" s="126"/>
      <c r="O569" s="126"/>
      <c r="P569" s="126"/>
      <c r="Q569" s="171"/>
      <c r="R569" s="172"/>
      <c r="S569" s="172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43"/>
      <c r="AF569" s="143"/>
      <c r="AG569" s="143"/>
      <c r="AH569" s="143"/>
      <c r="AI569" s="143"/>
      <c r="AJ569" s="143"/>
      <c r="AK569" s="143"/>
      <c r="AL569" s="143"/>
      <c r="AM569" s="145"/>
      <c r="AN569" s="153"/>
      <c r="AO569" s="143"/>
    </row>
    <row r="570" spans="3:41">
      <c r="C570" s="136"/>
      <c r="D570" s="136"/>
      <c r="E570" s="19"/>
      <c r="F570" s="15"/>
      <c r="G570" s="138"/>
      <c r="H570" s="138"/>
      <c r="I570" s="126"/>
      <c r="J570" s="15"/>
      <c r="K570" s="15"/>
      <c r="L570" s="20"/>
      <c r="M570" s="20"/>
      <c r="N570" s="126"/>
      <c r="O570" s="126"/>
      <c r="P570" s="126"/>
      <c r="Q570" s="171"/>
      <c r="R570" s="172"/>
      <c r="S570" s="172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43"/>
      <c r="AF570" s="143"/>
      <c r="AG570" s="143"/>
      <c r="AH570" s="143"/>
      <c r="AI570" s="143"/>
      <c r="AJ570" s="143"/>
      <c r="AK570" s="143"/>
      <c r="AL570" s="143"/>
      <c r="AM570" s="145"/>
      <c r="AN570" s="143"/>
      <c r="AO570" s="151"/>
    </row>
    <row r="571" spans="3:41">
      <c r="C571" s="136"/>
      <c r="D571" s="136"/>
      <c r="E571" s="19"/>
      <c r="F571" s="15"/>
      <c r="G571" s="138"/>
      <c r="H571" s="138"/>
      <c r="I571" s="126"/>
      <c r="J571" s="15"/>
      <c r="K571" s="15"/>
      <c r="L571" s="20"/>
      <c r="M571" s="20"/>
      <c r="N571" s="126"/>
      <c r="O571" s="126"/>
      <c r="P571" s="126"/>
      <c r="Q571" s="171"/>
      <c r="R571" s="172"/>
      <c r="S571" s="172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43"/>
      <c r="AF571" s="143"/>
      <c r="AG571" s="143"/>
      <c r="AH571" s="143"/>
      <c r="AI571" s="143"/>
      <c r="AJ571" s="143"/>
      <c r="AK571" s="143"/>
      <c r="AL571" s="143"/>
      <c r="AM571" s="145"/>
      <c r="AN571" s="153"/>
      <c r="AO571" s="151"/>
    </row>
    <row r="572" spans="3:41">
      <c r="C572" s="136"/>
      <c r="D572" s="136"/>
      <c r="E572" s="19"/>
      <c r="F572" s="15"/>
      <c r="G572" s="138"/>
      <c r="H572" s="138"/>
      <c r="I572" s="126"/>
      <c r="J572" s="15"/>
      <c r="K572" s="15"/>
      <c r="L572" s="20"/>
      <c r="M572" s="20"/>
      <c r="N572" s="126"/>
      <c r="O572" s="126"/>
      <c r="P572" s="126"/>
      <c r="Q572" s="171"/>
      <c r="R572" s="172"/>
      <c r="S572" s="172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43"/>
      <c r="AF572" s="143"/>
      <c r="AG572" s="143"/>
      <c r="AH572" s="143"/>
      <c r="AI572" s="143"/>
      <c r="AJ572" s="143"/>
      <c r="AK572" s="143"/>
      <c r="AL572" s="143"/>
      <c r="AM572" s="145"/>
      <c r="AN572" s="153"/>
      <c r="AO572" s="151"/>
    </row>
    <row r="573" spans="3:41">
      <c r="C573" s="136"/>
      <c r="D573" s="136"/>
      <c r="E573" s="19"/>
      <c r="F573" s="15"/>
      <c r="G573" s="138"/>
      <c r="H573" s="138"/>
      <c r="I573" s="126"/>
      <c r="J573" s="15"/>
      <c r="K573" s="15"/>
      <c r="L573" s="20"/>
      <c r="M573" s="20"/>
      <c r="N573" s="126"/>
      <c r="O573" s="126"/>
      <c r="P573" s="126"/>
      <c r="Q573" s="171"/>
      <c r="R573" s="172"/>
      <c r="S573" s="172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43"/>
      <c r="AF573" s="143"/>
      <c r="AG573" s="143"/>
      <c r="AH573" s="143"/>
      <c r="AI573" s="143"/>
      <c r="AJ573" s="143"/>
      <c r="AK573" s="143"/>
      <c r="AL573" s="143"/>
      <c r="AM573" s="143"/>
      <c r="AN573" s="153"/>
      <c r="AO573" s="151"/>
    </row>
    <row r="574" spans="3:41">
      <c r="C574" s="136"/>
      <c r="D574" s="136"/>
      <c r="E574" s="19"/>
      <c r="F574" s="15"/>
      <c r="G574" s="138"/>
      <c r="H574" s="138"/>
      <c r="I574" s="126"/>
      <c r="J574" s="15"/>
      <c r="K574" s="15"/>
      <c r="L574" s="20"/>
      <c r="M574" s="20"/>
      <c r="N574" s="126"/>
      <c r="O574" s="126"/>
      <c r="P574" s="126"/>
      <c r="Q574" s="171"/>
      <c r="R574" s="172"/>
      <c r="S574" s="172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43"/>
      <c r="AF574" s="143"/>
      <c r="AG574" s="143"/>
      <c r="AH574" s="143"/>
      <c r="AI574" s="143"/>
      <c r="AJ574" s="143"/>
      <c r="AK574" s="143"/>
      <c r="AL574" s="143"/>
      <c r="AM574" s="145"/>
      <c r="AN574" s="153"/>
      <c r="AO574" s="151"/>
    </row>
    <row r="575" spans="3:41">
      <c r="C575" s="136"/>
      <c r="D575" s="136"/>
      <c r="E575" s="19"/>
      <c r="F575" s="15"/>
      <c r="G575" s="138"/>
      <c r="H575" s="138"/>
      <c r="I575" s="126"/>
      <c r="J575" s="15"/>
      <c r="K575" s="15"/>
      <c r="L575" s="20"/>
      <c r="M575" s="20"/>
      <c r="N575" s="126"/>
      <c r="O575" s="126"/>
      <c r="P575" s="126"/>
      <c r="Q575" s="171"/>
      <c r="R575" s="172"/>
      <c r="S575" s="172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43"/>
      <c r="AF575" s="143"/>
      <c r="AG575" s="143"/>
      <c r="AH575" s="143"/>
      <c r="AI575" s="143"/>
      <c r="AJ575" s="143"/>
      <c r="AK575" s="143"/>
      <c r="AL575" s="143"/>
      <c r="AM575" s="143"/>
      <c r="AN575" s="153"/>
      <c r="AO575" s="151"/>
    </row>
    <row r="576" spans="3:41">
      <c r="C576" s="136"/>
      <c r="D576" s="136"/>
      <c r="E576" s="19"/>
      <c r="F576" s="15"/>
      <c r="G576" s="138"/>
      <c r="H576" s="138"/>
      <c r="I576" s="126"/>
      <c r="J576" s="15"/>
      <c r="K576" s="15"/>
      <c r="L576" s="20"/>
      <c r="M576" s="20"/>
      <c r="N576" s="126"/>
      <c r="O576" s="126"/>
      <c r="P576" s="126"/>
      <c r="Q576" s="171"/>
      <c r="R576" s="172"/>
      <c r="S576" s="172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43"/>
      <c r="AF576" s="143"/>
      <c r="AG576" s="143"/>
      <c r="AH576" s="143"/>
      <c r="AI576" s="143"/>
      <c r="AJ576" s="143"/>
      <c r="AK576" s="143"/>
      <c r="AL576" s="143"/>
      <c r="AM576" s="145"/>
      <c r="AN576" s="153"/>
      <c r="AO576" s="151"/>
    </row>
    <row r="577" spans="3:41">
      <c r="C577" s="136"/>
      <c r="D577" s="136"/>
      <c r="E577" s="19"/>
      <c r="F577" s="15"/>
      <c r="G577" s="138"/>
      <c r="H577" s="138"/>
      <c r="I577" s="126"/>
      <c r="J577" s="15"/>
      <c r="K577" s="15"/>
      <c r="L577" s="20"/>
      <c r="M577" s="20"/>
      <c r="N577" s="126"/>
      <c r="O577" s="126"/>
      <c r="P577" s="126"/>
      <c r="Q577" s="171"/>
      <c r="R577" s="172"/>
      <c r="S577" s="172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43"/>
      <c r="AF577" s="143"/>
      <c r="AG577" s="143"/>
      <c r="AH577" s="143"/>
      <c r="AI577" s="143"/>
      <c r="AJ577" s="143"/>
      <c r="AK577" s="143"/>
      <c r="AL577" s="143"/>
      <c r="AM577" s="145"/>
      <c r="AN577" s="153"/>
      <c r="AO577" s="151"/>
    </row>
    <row r="578" spans="3:41">
      <c r="C578" s="136"/>
      <c r="D578" s="136"/>
      <c r="E578" s="19"/>
      <c r="F578" s="15"/>
      <c r="G578" s="138"/>
      <c r="H578" s="138"/>
      <c r="I578" s="126"/>
      <c r="J578" s="15"/>
      <c r="K578" s="15"/>
      <c r="L578" s="20"/>
      <c r="M578" s="20"/>
      <c r="N578" s="126"/>
      <c r="O578" s="126"/>
      <c r="P578" s="126"/>
      <c r="Q578" s="171"/>
      <c r="R578" s="172"/>
      <c r="S578" s="172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43"/>
      <c r="AF578" s="143"/>
      <c r="AG578" s="143"/>
      <c r="AH578" s="143"/>
      <c r="AI578" s="143"/>
      <c r="AJ578" s="143"/>
      <c r="AK578" s="143"/>
      <c r="AL578" s="143"/>
      <c r="AM578" s="145"/>
      <c r="AN578" s="153"/>
      <c r="AO578" s="144"/>
    </row>
    <row r="579" spans="3:41">
      <c r="C579" s="136"/>
      <c r="D579" s="136"/>
      <c r="E579" s="19"/>
      <c r="F579" s="15"/>
      <c r="G579" s="138"/>
      <c r="H579" s="138"/>
      <c r="I579" s="126"/>
      <c r="J579" s="15"/>
      <c r="K579" s="15"/>
      <c r="L579" s="20"/>
      <c r="M579" s="20"/>
      <c r="N579" s="126"/>
      <c r="O579" s="126"/>
      <c r="P579" s="126"/>
      <c r="Q579" s="171"/>
      <c r="R579" s="172"/>
      <c r="S579" s="172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43"/>
      <c r="AF579" s="143"/>
      <c r="AG579" s="143"/>
      <c r="AH579" s="143"/>
      <c r="AI579" s="143"/>
      <c r="AJ579" s="143"/>
      <c r="AK579" s="143"/>
      <c r="AL579" s="143"/>
      <c r="AM579" s="145"/>
      <c r="AN579" s="143"/>
      <c r="AO579" s="144"/>
    </row>
    <row r="580" spans="3:41">
      <c r="C580" s="136"/>
      <c r="D580" s="136"/>
      <c r="E580" s="19"/>
      <c r="F580" s="15"/>
      <c r="G580" s="138"/>
      <c r="H580" s="138"/>
      <c r="I580" s="126"/>
      <c r="J580" s="15"/>
      <c r="K580" s="15"/>
      <c r="L580" s="20"/>
      <c r="M580" s="20"/>
      <c r="N580" s="126"/>
      <c r="O580" s="126"/>
      <c r="P580" s="126"/>
      <c r="Q580" s="171"/>
      <c r="R580" s="172"/>
      <c r="S580" s="172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43"/>
      <c r="AF580" s="143"/>
      <c r="AG580" s="143"/>
      <c r="AH580" s="143"/>
      <c r="AI580" s="143"/>
      <c r="AJ580" s="143"/>
      <c r="AK580" s="143"/>
      <c r="AL580" s="143"/>
      <c r="AM580" s="145"/>
      <c r="AN580" s="153"/>
      <c r="AO580" s="151"/>
    </row>
    <row r="581" spans="3:41">
      <c r="C581" s="136"/>
      <c r="D581" s="136"/>
      <c r="E581" s="19"/>
      <c r="F581" s="15"/>
      <c r="G581" s="138"/>
      <c r="H581" s="138"/>
      <c r="I581" s="126"/>
      <c r="J581" s="15"/>
      <c r="K581" s="15"/>
      <c r="L581" s="20"/>
      <c r="M581" s="20"/>
      <c r="N581" s="126"/>
      <c r="O581" s="126"/>
      <c r="P581" s="126"/>
      <c r="Q581" s="171"/>
      <c r="R581" s="172"/>
      <c r="S581" s="172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43"/>
      <c r="AF581" s="143"/>
      <c r="AG581" s="143"/>
      <c r="AH581" s="143"/>
      <c r="AI581" s="143"/>
      <c r="AJ581" s="143"/>
      <c r="AK581" s="143"/>
      <c r="AL581" s="143"/>
      <c r="AM581" s="143"/>
      <c r="AN581" s="153"/>
      <c r="AO581" s="158"/>
    </row>
    <row r="582" spans="3:41">
      <c r="C582" s="136"/>
      <c r="D582" s="136"/>
      <c r="E582" s="19"/>
      <c r="F582" s="15"/>
      <c r="G582" s="138"/>
      <c r="H582" s="138"/>
      <c r="I582" s="126"/>
      <c r="J582" s="15"/>
      <c r="K582" s="15"/>
      <c r="L582" s="20"/>
      <c r="M582" s="20"/>
      <c r="N582" s="126"/>
      <c r="O582" s="126"/>
      <c r="P582" s="126"/>
      <c r="Q582" s="171"/>
      <c r="R582" s="172"/>
      <c r="S582" s="172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43"/>
      <c r="AF582" s="143"/>
      <c r="AG582" s="143"/>
      <c r="AH582" s="143"/>
      <c r="AI582" s="143"/>
      <c r="AJ582" s="143"/>
      <c r="AK582" s="143"/>
      <c r="AL582" s="143"/>
      <c r="AM582" s="145"/>
      <c r="AN582" s="153"/>
      <c r="AO582" s="144"/>
    </row>
    <row r="583" spans="3:41">
      <c r="C583" s="136"/>
      <c r="D583" s="136"/>
      <c r="E583" s="19"/>
      <c r="F583" s="15"/>
      <c r="G583" s="138"/>
      <c r="H583" s="138"/>
      <c r="I583" s="126"/>
      <c r="J583" s="15"/>
      <c r="K583" s="15"/>
      <c r="L583" s="20"/>
      <c r="M583" s="20"/>
      <c r="N583" s="126"/>
      <c r="O583" s="126"/>
      <c r="P583" s="126"/>
      <c r="Q583" s="171"/>
      <c r="R583" s="172"/>
      <c r="S583" s="172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43"/>
      <c r="AF583" s="143"/>
      <c r="AG583" s="143"/>
      <c r="AH583" s="143"/>
      <c r="AI583" s="143"/>
      <c r="AJ583" s="143"/>
      <c r="AK583" s="143"/>
      <c r="AL583" s="143"/>
      <c r="AM583" s="145"/>
      <c r="AN583" s="143"/>
      <c r="AO583" s="144"/>
    </row>
    <row r="584" spans="3:41">
      <c r="C584" s="136"/>
      <c r="D584" s="136"/>
      <c r="E584" s="19"/>
      <c r="F584" s="15"/>
      <c r="G584" s="138"/>
      <c r="H584" s="138"/>
      <c r="I584" s="126"/>
      <c r="J584" s="15"/>
      <c r="K584" s="15"/>
      <c r="L584" s="20"/>
      <c r="M584" s="20"/>
      <c r="N584" s="126"/>
      <c r="O584" s="126"/>
      <c r="P584" s="126"/>
      <c r="Q584" s="171"/>
      <c r="R584" s="172"/>
      <c r="S584" s="172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43"/>
      <c r="AF584" s="143"/>
      <c r="AG584" s="143"/>
      <c r="AH584" s="143"/>
      <c r="AI584" s="143"/>
      <c r="AJ584" s="143"/>
      <c r="AK584" s="143"/>
      <c r="AL584" s="143"/>
      <c r="AM584" s="145"/>
      <c r="AN584" s="153"/>
      <c r="AO584" s="144"/>
    </row>
    <row r="585" spans="3:41">
      <c r="C585" s="136"/>
      <c r="D585" s="136"/>
      <c r="E585" s="19"/>
      <c r="F585" s="15"/>
      <c r="G585" s="138"/>
      <c r="H585" s="138"/>
      <c r="I585" s="126"/>
      <c r="J585" s="15"/>
      <c r="K585" s="15"/>
      <c r="L585" s="20"/>
      <c r="M585" s="20"/>
      <c r="N585" s="126"/>
      <c r="O585" s="126"/>
      <c r="P585" s="126"/>
      <c r="Q585" s="171"/>
      <c r="R585" s="172"/>
      <c r="S585" s="172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43"/>
      <c r="AF585" s="143"/>
      <c r="AG585" s="143"/>
      <c r="AH585" s="143"/>
      <c r="AI585" s="143"/>
      <c r="AJ585" s="143"/>
      <c r="AK585" s="143"/>
      <c r="AL585" s="143"/>
      <c r="AM585" s="145"/>
      <c r="AN585" s="153"/>
      <c r="AO585" s="144"/>
    </row>
    <row r="586" spans="3:41">
      <c r="C586" s="136"/>
      <c r="D586" s="136"/>
      <c r="E586" s="19"/>
      <c r="F586" s="15"/>
      <c r="G586" s="138"/>
      <c r="H586" s="138"/>
      <c r="I586" s="126"/>
      <c r="J586" s="15"/>
      <c r="K586" s="15"/>
      <c r="L586" s="20"/>
      <c r="M586" s="20"/>
      <c r="N586" s="126"/>
      <c r="O586" s="126"/>
      <c r="P586" s="126"/>
      <c r="Q586" s="171"/>
      <c r="R586" s="172"/>
      <c r="S586" s="172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43"/>
      <c r="AF586" s="143"/>
      <c r="AG586" s="143"/>
      <c r="AH586" s="143"/>
      <c r="AI586" s="143"/>
      <c r="AJ586" s="143"/>
      <c r="AK586" s="143"/>
      <c r="AL586" s="143"/>
      <c r="AM586" s="145"/>
      <c r="AN586" s="153"/>
      <c r="AO586" s="144"/>
    </row>
    <row r="587" spans="3:41">
      <c r="C587" s="136"/>
      <c r="D587" s="136"/>
      <c r="E587" s="19"/>
      <c r="F587" s="15"/>
      <c r="G587" s="138"/>
      <c r="H587" s="138"/>
      <c r="I587" s="126"/>
      <c r="J587" s="15"/>
      <c r="K587" s="15"/>
      <c r="L587" s="20"/>
      <c r="M587" s="20"/>
      <c r="N587" s="126"/>
      <c r="O587" s="126"/>
      <c r="P587" s="126"/>
      <c r="Q587" s="171"/>
      <c r="R587" s="172"/>
      <c r="S587" s="172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43"/>
      <c r="AF587" s="143"/>
      <c r="AG587" s="143"/>
      <c r="AH587" s="143"/>
      <c r="AI587" s="143"/>
      <c r="AJ587" s="143"/>
      <c r="AK587" s="143"/>
      <c r="AL587" s="143"/>
      <c r="AM587" s="145"/>
      <c r="AN587" s="143"/>
      <c r="AO587" s="158"/>
    </row>
    <row r="588" spans="3:41">
      <c r="C588" s="136"/>
      <c r="D588" s="136"/>
      <c r="E588" s="19"/>
      <c r="F588" s="15"/>
      <c r="G588" s="138"/>
      <c r="H588" s="138"/>
      <c r="I588" s="126"/>
      <c r="J588" s="15"/>
      <c r="K588" s="15"/>
      <c r="L588" s="20"/>
      <c r="M588" s="20"/>
      <c r="N588" s="126"/>
      <c r="O588" s="126"/>
      <c r="P588" s="126"/>
      <c r="Q588" s="171"/>
      <c r="R588" s="172"/>
      <c r="S588" s="172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43"/>
      <c r="AF588" s="143"/>
      <c r="AG588" s="143"/>
      <c r="AH588" s="143"/>
      <c r="AI588" s="143"/>
      <c r="AJ588" s="143"/>
      <c r="AK588" s="143"/>
      <c r="AL588" s="143"/>
      <c r="AM588" s="145"/>
      <c r="AN588" s="153"/>
      <c r="AO588" s="143"/>
    </row>
    <row r="589" spans="3:41">
      <c r="C589" s="136"/>
      <c r="D589" s="136"/>
      <c r="E589" s="19"/>
      <c r="F589" s="15"/>
      <c r="G589" s="138"/>
      <c r="H589" s="138"/>
      <c r="I589" s="126"/>
      <c r="J589" s="15"/>
      <c r="K589" s="15"/>
      <c r="L589" s="20"/>
      <c r="M589" s="20"/>
      <c r="N589" s="126"/>
      <c r="O589" s="126"/>
      <c r="P589" s="126"/>
      <c r="Q589" s="171"/>
      <c r="R589" s="172"/>
      <c r="S589" s="172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43"/>
      <c r="AF589" s="143"/>
      <c r="AG589" s="143"/>
      <c r="AH589" s="143"/>
      <c r="AI589" s="143"/>
      <c r="AJ589" s="143"/>
      <c r="AK589" s="143"/>
      <c r="AL589" s="143"/>
      <c r="AM589" s="145"/>
      <c r="AN589" s="143"/>
      <c r="AO589" s="143"/>
    </row>
    <row r="590" spans="3:41">
      <c r="C590" s="136"/>
      <c r="D590" s="136"/>
      <c r="E590" s="19"/>
      <c r="F590" s="15"/>
      <c r="G590" s="138"/>
      <c r="H590" s="138"/>
      <c r="I590" s="126"/>
      <c r="J590" s="15"/>
      <c r="K590" s="15"/>
      <c r="L590" s="20"/>
      <c r="M590" s="20"/>
      <c r="N590" s="126"/>
      <c r="O590" s="126"/>
      <c r="P590" s="126"/>
      <c r="Q590" s="171"/>
      <c r="R590" s="172"/>
      <c r="S590" s="172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43"/>
      <c r="AF590" s="143"/>
      <c r="AG590" s="143"/>
      <c r="AH590" s="143"/>
      <c r="AI590" s="143"/>
      <c r="AJ590" s="143"/>
      <c r="AK590" s="143"/>
      <c r="AL590" s="143"/>
      <c r="AM590" s="145"/>
      <c r="AN590" s="153"/>
      <c r="AO590" s="143"/>
    </row>
    <row r="591" spans="3:41">
      <c r="C591" s="136"/>
      <c r="D591" s="136"/>
      <c r="E591" s="19"/>
      <c r="F591" s="15"/>
      <c r="G591" s="138"/>
      <c r="H591" s="138"/>
      <c r="I591" s="126"/>
      <c r="J591" s="15"/>
      <c r="K591" s="15"/>
      <c r="L591" s="20"/>
      <c r="M591" s="20"/>
      <c r="N591" s="126"/>
      <c r="O591" s="126"/>
      <c r="P591" s="126"/>
      <c r="Q591" s="171"/>
      <c r="R591" s="172"/>
      <c r="S591" s="172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43"/>
      <c r="AF591" s="143"/>
      <c r="AG591" s="143"/>
      <c r="AH591" s="143"/>
      <c r="AI591" s="143"/>
      <c r="AJ591" s="143"/>
      <c r="AK591" s="143"/>
      <c r="AL591" s="143"/>
      <c r="AM591" s="145"/>
      <c r="AN591" s="143"/>
      <c r="AO591" s="151"/>
    </row>
    <row r="592" spans="3:41">
      <c r="C592" s="136"/>
      <c r="D592" s="136"/>
      <c r="E592" s="19"/>
      <c r="F592" s="15"/>
      <c r="G592" s="138"/>
      <c r="H592" s="138"/>
      <c r="I592" s="126"/>
      <c r="J592" s="15"/>
      <c r="K592" s="15"/>
      <c r="L592" s="20"/>
      <c r="M592" s="20"/>
      <c r="N592" s="126"/>
      <c r="O592" s="126"/>
      <c r="P592" s="126"/>
      <c r="Q592" s="171"/>
      <c r="R592" s="172"/>
      <c r="S592" s="172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43"/>
      <c r="AF592" s="143"/>
      <c r="AG592" s="143"/>
      <c r="AH592" s="143"/>
      <c r="AI592" s="143"/>
      <c r="AJ592" s="143"/>
      <c r="AK592" s="143"/>
      <c r="AL592" s="143"/>
      <c r="AM592" s="145"/>
      <c r="AN592" s="143"/>
      <c r="AO592" s="158"/>
    </row>
    <row r="593" spans="3:41">
      <c r="C593" s="136"/>
      <c r="D593" s="136"/>
      <c r="E593" s="19"/>
      <c r="F593" s="15"/>
      <c r="G593" s="138"/>
      <c r="H593" s="138"/>
      <c r="I593" s="126"/>
      <c r="J593" s="15"/>
      <c r="K593" s="15"/>
      <c r="L593" s="20"/>
      <c r="M593" s="20"/>
      <c r="N593" s="126"/>
      <c r="O593" s="126"/>
      <c r="P593" s="126"/>
      <c r="Q593" s="171"/>
      <c r="R593" s="172"/>
      <c r="S593" s="172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43"/>
      <c r="AF593" s="143"/>
      <c r="AG593" s="143"/>
      <c r="AH593" s="143"/>
      <c r="AI593" s="143"/>
      <c r="AJ593" s="143"/>
      <c r="AK593" s="143"/>
      <c r="AL593" s="143"/>
      <c r="AM593" s="145"/>
      <c r="AN593" s="153"/>
      <c r="AO593" s="143"/>
    </row>
    <row r="594" spans="3:41">
      <c r="C594" s="136"/>
      <c r="D594" s="136"/>
      <c r="E594" s="19"/>
      <c r="F594" s="15"/>
      <c r="G594" s="138"/>
      <c r="H594" s="138"/>
      <c r="I594" s="126"/>
      <c r="J594" s="15"/>
      <c r="K594" s="15"/>
      <c r="L594" s="20"/>
      <c r="M594" s="20"/>
      <c r="N594" s="126"/>
      <c r="O594" s="126"/>
      <c r="P594" s="126"/>
      <c r="Q594" s="171"/>
      <c r="R594" s="172"/>
      <c r="S594" s="172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43"/>
      <c r="AF594" s="143"/>
      <c r="AG594" s="143"/>
      <c r="AH594" s="143"/>
      <c r="AI594" s="143"/>
      <c r="AJ594" s="143"/>
      <c r="AK594" s="143"/>
      <c r="AL594" s="143"/>
      <c r="AM594" s="145"/>
      <c r="AN594" s="153"/>
      <c r="AO594" s="143"/>
    </row>
    <row r="595" spans="3:41">
      <c r="C595" s="136"/>
      <c r="D595" s="136"/>
      <c r="E595" s="19"/>
      <c r="F595" s="15"/>
      <c r="G595" s="138"/>
      <c r="H595" s="138"/>
      <c r="I595" s="126"/>
      <c r="J595" s="15"/>
      <c r="K595" s="15"/>
      <c r="L595" s="20"/>
      <c r="M595" s="20"/>
      <c r="N595" s="126"/>
      <c r="O595" s="126"/>
      <c r="P595" s="126"/>
      <c r="Q595" s="171"/>
      <c r="R595" s="172"/>
      <c r="S595" s="172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43"/>
      <c r="AF595" s="143"/>
      <c r="AG595" s="143"/>
      <c r="AH595" s="143"/>
      <c r="AI595" s="143"/>
      <c r="AJ595" s="143"/>
      <c r="AK595" s="143"/>
      <c r="AL595" s="143"/>
      <c r="AM595" s="145"/>
      <c r="AN595" s="143"/>
      <c r="AO595" s="151"/>
    </row>
    <row r="596" spans="3:41">
      <c r="C596" s="136"/>
      <c r="D596" s="136"/>
      <c r="E596" s="19"/>
      <c r="F596" s="15"/>
      <c r="G596" s="138"/>
      <c r="H596" s="138"/>
      <c r="I596" s="126"/>
      <c r="J596" s="15"/>
      <c r="K596" s="15"/>
      <c r="L596" s="20"/>
      <c r="M596" s="20"/>
      <c r="N596" s="126"/>
      <c r="O596" s="126"/>
      <c r="P596" s="126"/>
      <c r="Q596" s="171"/>
      <c r="R596" s="172"/>
      <c r="S596" s="172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43"/>
      <c r="AF596" s="143"/>
      <c r="AG596" s="143"/>
      <c r="AH596" s="143"/>
      <c r="AI596" s="143"/>
      <c r="AJ596" s="143"/>
      <c r="AK596" s="143"/>
      <c r="AL596" s="143"/>
      <c r="AM596" s="145"/>
      <c r="AN596" s="143"/>
      <c r="AO596" s="151"/>
    </row>
    <row r="597" spans="3:41">
      <c r="C597" s="136"/>
      <c r="D597" s="136"/>
      <c r="E597" s="19"/>
      <c r="F597" s="15"/>
      <c r="G597" s="138"/>
      <c r="H597" s="138"/>
      <c r="I597" s="126"/>
      <c r="J597" s="15"/>
      <c r="K597" s="15"/>
      <c r="L597" s="20"/>
      <c r="M597" s="20"/>
      <c r="N597" s="126"/>
      <c r="O597" s="126"/>
      <c r="P597" s="126"/>
      <c r="Q597" s="171"/>
      <c r="R597" s="172"/>
      <c r="S597" s="172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43"/>
      <c r="AF597" s="143"/>
      <c r="AG597" s="143"/>
      <c r="AH597" s="143"/>
      <c r="AI597" s="143"/>
      <c r="AJ597" s="143"/>
      <c r="AK597" s="143"/>
      <c r="AL597" s="143"/>
      <c r="AM597" s="145"/>
      <c r="AN597" s="143"/>
      <c r="AO597" s="151"/>
    </row>
    <row r="598" spans="3:41">
      <c r="C598" s="136"/>
      <c r="D598" s="136"/>
      <c r="E598" s="19"/>
      <c r="F598" s="15"/>
      <c r="G598" s="138"/>
      <c r="H598" s="138"/>
      <c r="I598" s="126"/>
      <c r="J598" s="15"/>
      <c r="K598" s="15"/>
      <c r="L598" s="20"/>
      <c r="M598" s="20"/>
      <c r="N598" s="126"/>
      <c r="O598" s="126"/>
      <c r="P598" s="126"/>
      <c r="Q598" s="171"/>
      <c r="R598" s="172"/>
      <c r="S598" s="172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43"/>
      <c r="AF598" s="143"/>
      <c r="AG598" s="143"/>
      <c r="AH598" s="143"/>
      <c r="AI598" s="143"/>
      <c r="AJ598" s="143"/>
      <c r="AK598" s="143"/>
      <c r="AL598" s="143"/>
      <c r="AM598" s="145"/>
      <c r="AN598" s="143"/>
      <c r="AO598" s="151"/>
    </row>
    <row r="599" spans="3:41">
      <c r="C599" s="136"/>
      <c r="D599" s="136"/>
      <c r="E599" s="19"/>
      <c r="F599" s="15"/>
      <c r="G599" s="138"/>
      <c r="H599" s="138"/>
      <c r="I599" s="126"/>
      <c r="J599" s="15"/>
      <c r="K599" s="15"/>
      <c r="L599" s="20"/>
      <c r="M599" s="20"/>
      <c r="N599" s="126"/>
      <c r="O599" s="126"/>
      <c r="P599" s="126"/>
      <c r="Q599" s="171"/>
      <c r="R599" s="172"/>
      <c r="S599" s="172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43"/>
      <c r="AF599" s="143"/>
      <c r="AG599" s="143"/>
      <c r="AH599" s="143"/>
      <c r="AI599" s="143"/>
      <c r="AJ599" s="143"/>
      <c r="AK599" s="143"/>
      <c r="AL599" s="143"/>
      <c r="AM599" s="145"/>
      <c r="AN599" s="143"/>
      <c r="AO599" s="158"/>
    </row>
    <row r="600" spans="3:41">
      <c r="C600" s="136"/>
      <c r="D600" s="136"/>
      <c r="E600" s="19"/>
      <c r="F600" s="15"/>
      <c r="G600" s="138"/>
      <c r="H600" s="138"/>
      <c r="I600" s="126"/>
      <c r="J600" s="15"/>
      <c r="K600" s="15"/>
      <c r="L600" s="20"/>
      <c r="M600" s="20"/>
      <c r="N600" s="126"/>
      <c r="O600" s="126"/>
      <c r="P600" s="126"/>
      <c r="Q600" s="171"/>
      <c r="R600" s="172"/>
      <c r="S600" s="172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43"/>
      <c r="AF600" s="143"/>
      <c r="AG600" s="143"/>
      <c r="AH600" s="143"/>
      <c r="AI600" s="143"/>
      <c r="AJ600" s="143"/>
      <c r="AK600" s="143"/>
      <c r="AL600" s="143"/>
      <c r="AM600" s="145"/>
      <c r="AN600" s="143"/>
      <c r="AO600" s="143"/>
    </row>
    <row r="601" spans="3:41">
      <c r="C601" s="136"/>
      <c r="D601" s="136"/>
      <c r="E601" s="19"/>
      <c r="F601" s="15"/>
      <c r="G601" s="138"/>
      <c r="H601" s="138"/>
      <c r="I601" s="126"/>
      <c r="J601" s="15"/>
      <c r="K601" s="15"/>
      <c r="L601" s="20"/>
      <c r="M601" s="20"/>
      <c r="N601" s="126"/>
      <c r="O601" s="126"/>
      <c r="P601" s="126"/>
      <c r="Q601" s="171"/>
      <c r="R601" s="172"/>
      <c r="S601" s="172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43"/>
      <c r="AF601" s="143"/>
      <c r="AG601" s="143"/>
      <c r="AH601" s="143"/>
      <c r="AI601" s="143"/>
      <c r="AJ601" s="143"/>
      <c r="AK601" s="143"/>
      <c r="AL601" s="143"/>
      <c r="AM601" s="145"/>
      <c r="AN601" s="143"/>
      <c r="AO601" s="144"/>
    </row>
    <row r="602" spans="3:41">
      <c r="C602" s="136"/>
      <c r="D602" s="136"/>
      <c r="E602" s="19"/>
      <c r="F602" s="15"/>
      <c r="G602" s="138"/>
      <c r="H602" s="138"/>
      <c r="I602" s="126"/>
      <c r="J602" s="15"/>
      <c r="K602" s="15"/>
      <c r="L602" s="20"/>
      <c r="M602" s="20"/>
      <c r="N602" s="126"/>
      <c r="O602" s="126"/>
      <c r="P602" s="126"/>
      <c r="Q602" s="171"/>
      <c r="R602" s="172"/>
      <c r="S602" s="172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43"/>
      <c r="AF602" s="143"/>
      <c r="AG602" s="143"/>
      <c r="AH602" s="143"/>
      <c r="AI602" s="143"/>
      <c r="AJ602" s="143"/>
      <c r="AK602" s="143"/>
      <c r="AL602" s="143"/>
      <c r="AM602" s="145"/>
      <c r="AN602" s="143"/>
      <c r="AO602" s="158"/>
    </row>
    <row r="603" spans="3:41">
      <c r="C603" s="136"/>
      <c r="D603" s="136"/>
      <c r="E603" s="19"/>
      <c r="F603" s="15"/>
      <c r="G603" s="138"/>
      <c r="H603" s="138"/>
      <c r="I603" s="126"/>
      <c r="J603" s="15"/>
      <c r="K603" s="15"/>
      <c r="L603" s="20"/>
      <c r="M603" s="20"/>
      <c r="N603" s="126"/>
      <c r="O603" s="126"/>
      <c r="P603" s="126"/>
      <c r="Q603" s="171"/>
      <c r="R603" s="172"/>
      <c r="S603" s="172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43"/>
      <c r="AF603" s="143"/>
      <c r="AG603" s="143"/>
      <c r="AH603" s="143"/>
      <c r="AI603" s="143"/>
      <c r="AJ603" s="143"/>
      <c r="AK603" s="143"/>
      <c r="AL603" s="143"/>
      <c r="AM603" s="145"/>
      <c r="AN603" s="143"/>
      <c r="AO603" s="158"/>
    </row>
    <row r="604" spans="3:41">
      <c r="C604" s="136"/>
      <c r="D604" s="136"/>
      <c r="E604" s="19"/>
      <c r="F604" s="15"/>
      <c r="G604" s="138"/>
      <c r="H604" s="138"/>
      <c r="I604" s="126"/>
      <c r="J604" s="15"/>
      <c r="K604" s="15"/>
      <c r="L604" s="20"/>
      <c r="M604" s="20"/>
      <c r="N604" s="126"/>
      <c r="O604" s="126"/>
      <c r="P604" s="126"/>
      <c r="Q604" s="171"/>
      <c r="R604" s="172"/>
      <c r="S604" s="172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43"/>
      <c r="AF604" s="143"/>
      <c r="AG604" s="143"/>
      <c r="AH604" s="143"/>
      <c r="AI604" s="143"/>
      <c r="AJ604" s="143"/>
      <c r="AK604" s="143"/>
      <c r="AL604" s="143"/>
      <c r="AM604" s="145"/>
      <c r="AN604" s="143"/>
      <c r="AO604" s="158"/>
    </row>
    <row r="605" spans="3:41">
      <c r="C605" s="136"/>
      <c r="D605" s="136"/>
      <c r="E605" s="19"/>
      <c r="F605" s="15"/>
      <c r="G605" s="138"/>
      <c r="H605" s="138"/>
      <c r="I605" s="126"/>
      <c r="J605" s="15"/>
      <c r="K605" s="15"/>
      <c r="L605" s="20"/>
      <c r="M605" s="20"/>
      <c r="N605" s="126"/>
      <c r="O605" s="126"/>
      <c r="P605" s="126"/>
      <c r="Q605" s="171"/>
      <c r="R605" s="173"/>
      <c r="S605" s="172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43"/>
      <c r="AF605" s="143"/>
      <c r="AG605" s="143"/>
      <c r="AH605" s="143"/>
      <c r="AI605" s="143"/>
      <c r="AJ605" s="143"/>
      <c r="AK605" s="143"/>
      <c r="AL605" s="143"/>
      <c r="AM605" s="145"/>
      <c r="AN605" s="143"/>
      <c r="AO605" s="148"/>
    </row>
    <row r="606" spans="3:41">
      <c r="C606" s="136"/>
      <c r="D606" s="136"/>
      <c r="E606" s="19"/>
      <c r="F606" s="15"/>
      <c r="G606" s="138"/>
      <c r="H606" s="138"/>
      <c r="I606" s="126"/>
      <c r="J606" s="15"/>
      <c r="K606" s="15"/>
      <c r="L606" s="20"/>
      <c r="M606" s="20"/>
      <c r="N606" s="126"/>
      <c r="O606" s="126"/>
      <c r="P606" s="126"/>
      <c r="Q606" s="171"/>
      <c r="R606" s="173"/>
      <c r="S606" s="172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43"/>
      <c r="AF606" s="143"/>
      <c r="AG606" s="143"/>
      <c r="AH606" s="143"/>
      <c r="AI606" s="143"/>
      <c r="AJ606" s="143"/>
      <c r="AK606" s="143"/>
      <c r="AL606" s="143"/>
      <c r="AM606" s="145"/>
      <c r="AN606" s="143"/>
      <c r="AO606" s="148"/>
    </row>
    <row r="607" spans="3:41">
      <c r="C607" s="136"/>
      <c r="D607" s="136"/>
      <c r="E607" s="19"/>
      <c r="F607" s="15"/>
      <c r="G607" s="138"/>
      <c r="H607" s="138"/>
      <c r="I607" s="126"/>
      <c r="J607" s="15"/>
      <c r="K607" s="15"/>
      <c r="L607" s="20"/>
      <c r="M607" s="20"/>
      <c r="N607" s="126"/>
      <c r="O607" s="126"/>
      <c r="P607" s="126"/>
      <c r="Q607" s="171"/>
      <c r="R607" s="173"/>
      <c r="S607" s="172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43"/>
      <c r="AF607" s="143"/>
      <c r="AG607" s="143"/>
      <c r="AH607" s="143"/>
      <c r="AI607" s="143"/>
      <c r="AJ607" s="143"/>
      <c r="AK607" s="143"/>
      <c r="AL607" s="143"/>
      <c r="AM607" s="145"/>
      <c r="AN607" s="143"/>
      <c r="AO607" s="148"/>
    </row>
    <row r="608" spans="3:41">
      <c r="C608" s="136"/>
      <c r="D608" s="136"/>
      <c r="E608" s="19"/>
      <c r="F608" s="15"/>
      <c r="G608" s="138"/>
      <c r="H608" s="138"/>
      <c r="I608" s="126"/>
      <c r="J608" s="15"/>
      <c r="K608" s="15"/>
      <c r="L608" s="20"/>
      <c r="M608" s="20"/>
      <c r="N608" s="126"/>
      <c r="O608" s="126"/>
      <c r="P608" s="126"/>
      <c r="Q608" s="171"/>
      <c r="R608" s="173"/>
      <c r="S608" s="172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43"/>
      <c r="AF608" s="143"/>
      <c r="AG608" s="143"/>
      <c r="AH608" s="143"/>
      <c r="AI608" s="143"/>
      <c r="AJ608" s="143"/>
      <c r="AK608" s="143"/>
      <c r="AL608" s="143"/>
      <c r="AM608" s="145"/>
      <c r="AN608" s="143"/>
      <c r="AO608" s="153"/>
    </row>
    <row r="609" spans="3:41">
      <c r="C609" s="136"/>
      <c r="D609" s="136"/>
      <c r="E609" s="19"/>
      <c r="F609" s="15"/>
      <c r="G609" s="138"/>
      <c r="H609" s="138"/>
      <c r="I609" s="126"/>
      <c r="J609" s="15"/>
      <c r="K609" s="15"/>
      <c r="L609" s="20"/>
      <c r="M609" s="20"/>
      <c r="N609" s="126"/>
      <c r="O609" s="126"/>
      <c r="P609" s="126"/>
      <c r="Q609" s="171"/>
      <c r="R609" s="173"/>
      <c r="S609" s="172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43"/>
      <c r="AF609" s="143"/>
      <c r="AG609" s="143"/>
      <c r="AH609" s="143"/>
      <c r="AI609" s="143"/>
      <c r="AJ609" s="143"/>
      <c r="AK609" s="143"/>
      <c r="AL609" s="143"/>
      <c r="AM609" s="145"/>
      <c r="AN609" s="143"/>
      <c r="AO609" s="153"/>
    </row>
    <row r="610" spans="3:41">
      <c r="C610" s="136"/>
      <c r="D610" s="136"/>
      <c r="E610" s="19"/>
      <c r="F610" s="15"/>
      <c r="G610" s="138"/>
      <c r="H610" s="138"/>
      <c r="I610" s="126"/>
      <c r="J610" s="15"/>
      <c r="K610" s="15"/>
      <c r="L610" s="20"/>
      <c r="M610" s="20"/>
      <c r="N610" s="126"/>
      <c r="O610" s="126"/>
      <c r="P610" s="126"/>
      <c r="Q610" s="171"/>
      <c r="R610" s="173"/>
      <c r="S610" s="172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43"/>
      <c r="AF610" s="143"/>
      <c r="AG610" s="143"/>
      <c r="AH610" s="143"/>
      <c r="AI610" s="143"/>
      <c r="AJ610" s="143"/>
      <c r="AK610" s="143"/>
      <c r="AL610" s="143"/>
      <c r="AM610" s="145"/>
      <c r="AN610" s="143"/>
      <c r="AO610" s="153"/>
    </row>
    <row r="611" spans="3:41">
      <c r="C611" s="136"/>
      <c r="D611" s="136"/>
      <c r="E611" s="19"/>
      <c r="F611" s="15"/>
      <c r="G611" s="138"/>
      <c r="H611" s="138"/>
      <c r="I611" s="126"/>
      <c r="J611" s="15"/>
      <c r="K611" s="15"/>
      <c r="L611" s="20"/>
      <c r="M611" s="20"/>
      <c r="N611" s="126"/>
      <c r="O611" s="126"/>
      <c r="P611" s="126"/>
      <c r="Q611" s="171"/>
      <c r="R611" s="173"/>
      <c r="S611" s="172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43"/>
      <c r="AF611" s="143"/>
      <c r="AG611" s="143"/>
      <c r="AH611" s="143"/>
      <c r="AI611" s="143"/>
      <c r="AJ611" s="143"/>
      <c r="AK611" s="143"/>
      <c r="AL611" s="143"/>
      <c r="AM611" s="145"/>
      <c r="AN611" s="143"/>
      <c r="AO611" s="153"/>
    </row>
    <row r="612" spans="3:41">
      <c r="C612" s="136"/>
      <c r="D612" s="136"/>
      <c r="E612" s="19"/>
      <c r="F612" s="15"/>
      <c r="G612" s="138"/>
      <c r="H612" s="138"/>
      <c r="I612" s="126"/>
      <c r="J612" s="15"/>
      <c r="K612" s="15"/>
      <c r="L612" s="20"/>
      <c r="M612" s="20"/>
      <c r="N612" s="126"/>
      <c r="O612" s="126"/>
      <c r="P612" s="126"/>
      <c r="Q612" s="171"/>
      <c r="R612" s="172"/>
      <c r="S612" s="172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43"/>
      <c r="AF612" s="143"/>
      <c r="AG612" s="143"/>
      <c r="AH612" s="143"/>
      <c r="AI612" s="143"/>
      <c r="AJ612" s="143"/>
      <c r="AK612" s="143"/>
      <c r="AL612" s="143"/>
      <c r="AM612" s="145"/>
      <c r="AN612" s="143"/>
      <c r="AO612" s="153"/>
    </row>
    <row r="613" spans="3:41">
      <c r="C613" s="136"/>
      <c r="D613" s="136"/>
      <c r="E613" s="19"/>
      <c r="F613" s="15"/>
      <c r="G613" s="138"/>
      <c r="H613" s="138"/>
      <c r="I613" s="126"/>
      <c r="J613" s="15"/>
      <c r="K613" s="15"/>
      <c r="L613" s="20"/>
      <c r="M613" s="20"/>
      <c r="N613" s="126"/>
      <c r="O613" s="126"/>
      <c r="P613" s="126"/>
      <c r="Q613" s="171"/>
      <c r="R613" s="172"/>
      <c r="S613" s="172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43"/>
      <c r="AF613" s="143"/>
      <c r="AG613" s="143"/>
      <c r="AH613" s="143"/>
      <c r="AI613" s="143"/>
      <c r="AJ613" s="143"/>
      <c r="AK613" s="143"/>
      <c r="AL613" s="143"/>
      <c r="AM613" s="145"/>
      <c r="AN613" s="143"/>
      <c r="AO613" s="153"/>
    </row>
    <row r="614" spans="3:41">
      <c r="C614" s="136"/>
      <c r="D614" s="136"/>
      <c r="E614" s="19"/>
      <c r="F614" s="15"/>
      <c r="G614" s="138"/>
      <c r="H614" s="138"/>
      <c r="I614" s="126"/>
      <c r="J614" s="15"/>
      <c r="K614" s="15"/>
      <c r="L614" s="20"/>
      <c r="M614" s="20"/>
      <c r="N614" s="126"/>
      <c r="O614" s="126"/>
      <c r="P614" s="126"/>
      <c r="Q614" s="171"/>
      <c r="R614" s="172"/>
      <c r="S614" s="172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43"/>
      <c r="AF614" s="143"/>
      <c r="AG614" s="143"/>
      <c r="AH614" s="143"/>
      <c r="AI614" s="143"/>
      <c r="AJ614" s="143"/>
      <c r="AK614" s="143"/>
      <c r="AL614" s="143"/>
      <c r="AM614" s="145"/>
      <c r="AN614" s="143"/>
      <c r="AO614" s="148"/>
    </row>
    <row r="615" spans="3:41">
      <c r="C615" s="136"/>
      <c r="D615" s="136"/>
      <c r="E615" s="19"/>
      <c r="F615" s="15"/>
      <c r="G615" s="138"/>
      <c r="H615" s="138"/>
      <c r="I615" s="126"/>
      <c r="J615" s="15"/>
      <c r="K615" s="15"/>
      <c r="L615" s="20"/>
      <c r="M615" s="20"/>
      <c r="N615" s="126"/>
      <c r="O615" s="126"/>
      <c r="P615" s="126"/>
      <c r="Q615" s="171"/>
      <c r="R615" s="172"/>
      <c r="S615" s="172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43"/>
      <c r="AF615" s="143"/>
      <c r="AG615" s="143"/>
      <c r="AH615" s="143"/>
      <c r="AI615" s="143"/>
      <c r="AJ615" s="143"/>
      <c r="AK615" s="143"/>
      <c r="AL615" s="143"/>
      <c r="AM615" s="145"/>
      <c r="AN615" s="143"/>
      <c r="AO615" s="153"/>
    </row>
    <row r="616" spans="3:41">
      <c r="C616" s="136"/>
      <c r="D616" s="136"/>
      <c r="E616" s="19"/>
      <c r="F616" s="15"/>
      <c r="G616" s="138"/>
      <c r="H616" s="138"/>
      <c r="I616" s="126"/>
      <c r="J616" s="15"/>
      <c r="K616" s="15"/>
      <c r="L616" s="20"/>
      <c r="M616" s="20"/>
      <c r="N616" s="126"/>
      <c r="O616" s="126"/>
      <c r="P616" s="126"/>
      <c r="Q616" s="171"/>
      <c r="R616" s="172"/>
      <c r="S616" s="172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43"/>
      <c r="AF616" s="143"/>
      <c r="AG616" s="143"/>
      <c r="AH616" s="143"/>
      <c r="AI616" s="143"/>
      <c r="AJ616" s="143"/>
      <c r="AK616" s="143"/>
      <c r="AL616" s="143"/>
      <c r="AM616" s="145"/>
      <c r="AN616" s="143"/>
      <c r="AO616" s="148"/>
    </row>
    <row r="617" spans="3:41">
      <c r="C617" s="136"/>
      <c r="D617" s="136"/>
      <c r="E617" s="19"/>
      <c r="F617" s="15"/>
      <c r="G617" s="138"/>
      <c r="H617" s="138"/>
      <c r="I617" s="126"/>
      <c r="J617" s="15"/>
      <c r="K617" s="15"/>
      <c r="L617" s="20"/>
      <c r="M617" s="20"/>
      <c r="N617" s="126"/>
      <c r="O617" s="126"/>
      <c r="P617" s="126"/>
      <c r="Q617" s="171"/>
      <c r="R617" s="172"/>
      <c r="S617" s="172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43"/>
      <c r="AF617" s="143"/>
      <c r="AG617" s="143"/>
      <c r="AH617" s="143"/>
      <c r="AI617" s="143"/>
      <c r="AJ617" s="143"/>
      <c r="AK617" s="143"/>
      <c r="AL617" s="143"/>
      <c r="AM617" s="145"/>
      <c r="AN617" s="143"/>
      <c r="AO617" s="153"/>
    </row>
    <row r="618" spans="3:41">
      <c r="C618" s="136"/>
      <c r="D618" s="136"/>
      <c r="E618" s="19"/>
      <c r="F618" s="15"/>
      <c r="G618" s="138"/>
      <c r="H618" s="138"/>
      <c r="I618" s="126"/>
      <c r="J618" s="15"/>
      <c r="K618" s="15"/>
      <c r="L618" s="20"/>
      <c r="M618" s="20"/>
      <c r="N618" s="126"/>
      <c r="O618" s="126"/>
      <c r="P618" s="126"/>
      <c r="Q618" s="171"/>
      <c r="R618" s="172"/>
      <c r="S618" s="172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43"/>
      <c r="AF618" s="143"/>
      <c r="AG618" s="143"/>
      <c r="AH618" s="143"/>
      <c r="AI618" s="143"/>
      <c r="AJ618" s="143"/>
      <c r="AK618" s="143"/>
      <c r="AL618" s="143"/>
      <c r="AM618" s="145"/>
      <c r="AN618" s="143"/>
      <c r="AO618" s="148"/>
    </row>
    <row r="619" spans="3:41">
      <c r="C619" s="136"/>
      <c r="D619" s="136"/>
      <c r="E619" s="19"/>
      <c r="F619" s="15"/>
      <c r="G619" s="138"/>
      <c r="H619" s="138"/>
      <c r="I619" s="126"/>
      <c r="J619" s="15"/>
      <c r="K619" s="15"/>
      <c r="L619" s="20"/>
      <c r="M619" s="20"/>
      <c r="N619" s="126"/>
      <c r="O619" s="126"/>
      <c r="P619" s="126"/>
      <c r="Q619" s="171"/>
      <c r="R619" s="172"/>
      <c r="S619" s="172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43"/>
      <c r="AF619" s="143"/>
      <c r="AG619" s="143"/>
      <c r="AH619" s="143"/>
      <c r="AI619" s="143"/>
      <c r="AJ619" s="143"/>
      <c r="AK619" s="143"/>
      <c r="AL619" s="143"/>
      <c r="AM619" s="145"/>
      <c r="AN619" s="143"/>
      <c r="AO619" s="153"/>
    </row>
    <row r="620" spans="3:41">
      <c r="C620" s="136"/>
      <c r="D620" s="136"/>
      <c r="E620" s="19"/>
      <c r="F620" s="15"/>
      <c r="G620" s="138"/>
      <c r="H620" s="138"/>
      <c r="I620" s="126"/>
      <c r="J620" s="15"/>
      <c r="K620" s="15"/>
      <c r="L620" s="20"/>
      <c r="M620" s="20"/>
      <c r="N620" s="126"/>
      <c r="O620" s="126"/>
      <c r="P620" s="126"/>
      <c r="Q620" s="171"/>
      <c r="R620" s="172"/>
      <c r="S620" s="172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43"/>
      <c r="AF620" s="143"/>
      <c r="AG620" s="143"/>
      <c r="AH620" s="143"/>
      <c r="AI620" s="143"/>
      <c r="AJ620" s="143"/>
      <c r="AK620" s="143"/>
      <c r="AL620" s="143"/>
      <c r="AM620" s="145"/>
      <c r="AN620" s="143"/>
      <c r="AO620" s="156"/>
    </row>
    <row r="621" spans="3:41">
      <c r="C621" s="136"/>
      <c r="D621" s="136"/>
      <c r="E621" s="19"/>
      <c r="F621" s="15"/>
      <c r="G621" s="138"/>
      <c r="H621" s="138"/>
      <c r="I621" s="126"/>
      <c r="J621" s="15"/>
      <c r="K621" s="15"/>
      <c r="L621" s="20"/>
      <c r="M621" s="20"/>
      <c r="N621" s="126"/>
      <c r="O621" s="126"/>
      <c r="P621" s="126"/>
      <c r="Q621" s="171"/>
      <c r="R621" s="172"/>
      <c r="S621" s="172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43"/>
      <c r="AF621" s="143"/>
      <c r="AG621" s="143"/>
      <c r="AH621" s="143"/>
      <c r="AI621" s="143"/>
      <c r="AJ621" s="143"/>
      <c r="AK621" s="143"/>
      <c r="AL621" s="143"/>
      <c r="AM621" s="145"/>
      <c r="AN621" s="143"/>
      <c r="AO621" s="148"/>
    </row>
    <row r="622" spans="3:41">
      <c r="C622" s="136"/>
      <c r="D622" s="136"/>
      <c r="E622" s="19"/>
      <c r="F622" s="15"/>
      <c r="G622" s="138"/>
      <c r="H622" s="138"/>
      <c r="I622" s="126"/>
      <c r="J622" s="15"/>
      <c r="K622" s="15"/>
      <c r="L622" s="20"/>
      <c r="M622" s="20"/>
      <c r="N622" s="126"/>
      <c r="O622" s="126"/>
      <c r="P622" s="126"/>
      <c r="Q622" s="171"/>
      <c r="R622" s="172"/>
      <c r="S622" s="172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43"/>
      <c r="AF622" s="143"/>
      <c r="AG622" s="143"/>
      <c r="AH622" s="143"/>
      <c r="AI622" s="143"/>
      <c r="AJ622" s="143"/>
      <c r="AK622" s="143"/>
      <c r="AL622" s="143"/>
      <c r="AM622" s="145"/>
      <c r="AN622" s="143"/>
      <c r="AO622" s="153"/>
    </row>
    <row r="623" spans="3:41">
      <c r="C623" s="136"/>
      <c r="D623" s="136"/>
      <c r="E623" s="19"/>
      <c r="F623" s="15"/>
      <c r="G623" s="138"/>
      <c r="H623" s="138"/>
      <c r="I623" s="126"/>
      <c r="J623" s="15"/>
      <c r="K623" s="15"/>
      <c r="L623" s="20"/>
      <c r="M623" s="20"/>
      <c r="N623" s="126"/>
      <c r="O623" s="126"/>
      <c r="P623" s="126"/>
      <c r="Q623" s="171"/>
      <c r="R623" s="172"/>
      <c r="S623" s="172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43"/>
      <c r="AF623" s="143"/>
      <c r="AG623" s="143"/>
      <c r="AH623" s="143"/>
      <c r="AI623" s="143"/>
      <c r="AJ623" s="143"/>
      <c r="AK623" s="143"/>
      <c r="AL623" s="143"/>
      <c r="AM623" s="145"/>
      <c r="AN623" s="143"/>
      <c r="AO623" s="148"/>
    </row>
    <row r="624" spans="3:41">
      <c r="C624" s="136"/>
      <c r="D624" s="136"/>
      <c r="E624" s="19"/>
      <c r="F624" s="15"/>
      <c r="G624" s="138"/>
      <c r="H624" s="138"/>
      <c r="I624" s="126"/>
      <c r="J624" s="15"/>
      <c r="K624" s="15"/>
      <c r="L624" s="20"/>
      <c r="M624" s="20"/>
      <c r="N624" s="126"/>
      <c r="O624" s="126"/>
      <c r="P624" s="126"/>
      <c r="Q624" s="171"/>
      <c r="R624" s="172"/>
      <c r="S624" s="172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43"/>
      <c r="AF624" s="143"/>
      <c r="AG624" s="143"/>
      <c r="AH624" s="143"/>
      <c r="AI624" s="143"/>
      <c r="AJ624" s="143"/>
      <c r="AK624" s="143"/>
      <c r="AL624" s="143"/>
      <c r="AM624" s="145"/>
      <c r="AN624" s="153"/>
      <c r="AO624" s="148"/>
    </row>
    <row r="625" spans="3:41">
      <c r="C625" s="136"/>
      <c r="D625" s="136"/>
      <c r="E625" s="19"/>
      <c r="F625" s="15"/>
      <c r="G625" s="138"/>
      <c r="H625" s="138"/>
      <c r="I625" s="126"/>
      <c r="J625" s="15"/>
      <c r="K625" s="15"/>
      <c r="L625" s="20"/>
      <c r="M625" s="20"/>
      <c r="N625" s="126"/>
      <c r="O625" s="126"/>
      <c r="P625" s="126"/>
      <c r="Q625" s="171"/>
      <c r="R625" s="172"/>
      <c r="S625" s="172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43"/>
      <c r="AF625" s="143"/>
      <c r="AG625" s="143"/>
      <c r="AH625" s="143"/>
      <c r="AI625" s="143"/>
      <c r="AJ625" s="143"/>
      <c r="AK625" s="143"/>
      <c r="AL625" s="143"/>
      <c r="AM625" s="145"/>
      <c r="AN625" s="153"/>
      <c r="AO625" s="153"/>
    </row>
    <row r="626" spans="3:41">
      <c r="C626" s="136"/>
      <c r="D626" s="136"/>
      <c r="E626" s="19"/>
      <c r="F626" s="15"/>
      <c r="G626" s="138"/>
      <c r="H626" s="138"/>
      <c r="I626" s="126"/>
      <c r="J626" s="15"/>
      <c r="K626" s="15"/>
      <c r="L626" s="20"/>
      <c r="M626" s="20"/>
      <c r="N626" s="126"/>
      <c r="O626" s="126"/>
      <c r="P626" s="126"/>
      <c r="Q626" s="171"/>
      <c r="R626" s="172"/>
      <c r="S626" s="172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43"/>
      <c r="AF626" s="143"/>
      <c r="AG626" s="143"/>
      <c r="AH626" s="143"/>
      <c r="AI626" s="143"/>
      <c r="AJ626" s="143"/>
      <c r="AK626" s="143"/>
      <c r="AL626" s="143"/>
      <c r="AM626" s="145"/>
      <c r="AN626" s="143"/>
      <c r="AO626" s="148"/>
    </row>
    <row r="627" spans="3:41">
      <c r="C627" s="136"/>
      <c r="D627" s="136"/>
      <c r="E627" s="19"/>
      <c r="F627" s="15"/>
      <c r="G627" s="138"/>
      <c r="H627" s="138"/>
      <c r="I627" s="126"/>
      <c r="J627" s="15"/>
      <c r="K627" s="15"/>
      <c r="L627" s="20"/>
      <c r="M627" s="20"/>
      <c r="N627" s="126"/>
      <c r="O627" s="126"/>
      <c r="P627" s="126"/>
      <c r="Q627" s="171"/>
      <c r="R627" s="172"/>
      <c r="S627" s="172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43"/>
      <c r="AF627" s="143"/>
      <c r="AG627" s="143"/>
      <c r="AH627" s="143"/>
      <c r="AI627" s="143"/>
      <c r="AJ627" s="143"/>
      <c r="AK627" s="143"/>
      <c r="AL627" s="143"/>
      <c r="AM627" s="145"/>
      <c r="AN627" s="143"/>
      <c r="AO627" s="144"/>
    </row>
    <row r="628" spans="3:41">
      <c r="C628" s="136"/>
      <c r="D628" s="136"/>
      <c r="E628" s="19"/>
      <c r="F628" s="15"/>
      <c r="G628" s="138"/>
      <c r="H628" s="138"/>
      <c r="I628" s="126"/>
      <c r="J628" s="15"/>
      <c r="K628" s="15"/>
      <c r="L628" s="20"/>
      <c r="M628" s="20"/>
      <c r="N628" s="126"/>
      <c r="O628" s="126"/>
      <c r="P628" s="126"/>
      <c r="Q628" s="171"/>
      <c r="R628" s="173"/>
      <c r="S628" s="172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43"/>
      <c r="AF628" s="143"/>
      <c r="AG628" s="143"/>
      <c r="AH628" s="143"/>
      <c r="AI628" s="143"/>
      <c r="AJ628" s="143"/>
      <c r="AK628" s="143"/>
      <c r="AL628" s="143"/>
      <c r="AM628" s="145"/>
      <c r="AN628" s="153"/>
      <c r="AO628" s="151"/>
    </row>
    <row r="629" spans="3:41">
      <c r="C629" s="136"/>
      <c r="D629" s="136"/>
      <c r="E629" s="19"/>
      <c r="F629" s="15"/>
      <c r="G629" s="138"/>
      <c r="H629" s="138"/>
      <c r="I629" s="126"/>
      <c r="J629" s="15"/>
      <c r="K629" s="15"/>
      <c r="L629" s="20"/>
      <c r="M629" s="20"/>
      <c r="N629" s="126"/>
      <c r="O629" s="126"/>
      <c r="P629" s="126"/>
      <c r="Q629" s="171"/>
      <c r="R629" s="173"/>
      <c r="S629" s="172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43"/>
      <c r="AF629" s="143"/>
      <c r="AG629" s="143"/>
      <c r="AH629" s="143"/>
      <c r="AI629" s="143"/>
      <c r="AJ629" s="143"/>
      <c r="AK629" s="143"/>
      <c r="AL629" s="143"/>
      <c r="AM629" s="145"/>
      <c r="AN629" s="143"/>
      <c r="AO629" s="144"/>
    </row>
    <row r="630" spans="3:41">
      <c r="C630" s="136"/>
      <c r="D630" s="136"/>
      <c r="E630" s="19"/>
      <c r="F630" s="15"/>
      <c r="G630" s="138"/>
      <c r="H630" s="138"/>
      <c r="I630" s="126"/>
      <c r="J630" s="15"/>
      <c r="K630" s="15"/>
      <c r="L630" s="20"/>
      <c r="M630" s="20"/>
      <c r="N630" s="126"/>
      <c r="O630" s="126"/>
      <c r="P630" s="126"/>
      <c r="Q630" s="171"/>
      <c r="R630" s="172"/>
      <c r="S630" s="172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43"/>
      <c r="AF630" s="143"/>
      <c r="AG630" s="143"/>
      <c r="AH630" s="143"/>
      <c r="AI630" s="143"/>
      <c r="AJ630" s="143"/>
      <c r="AK630" s="143"/>
      <c r="AL630" s="143"/>
      <c r="AM630" s="145"/>
      <c r="AN630" s="143"/>
      <c r="AO630" s="151"/>
    </row>
    <row r="631" spans="3:41">
      <c r="C631" s="136"/>
      <c r="D631" s="136"/>
      <c r="E631" s="19"/>
      <c r="F631" s="15"/>
      <c r="G631" s="138"/>
      <c r="H631" s="138"/>
      <c r="I631" s="126"/>
      <c r="J631" s="15"/>
      <c r="K631" s="15"/>
      <c r="L631" s="20"/>
      <c r="M631" s="20"/>
      <c r="N631" s="126"/>
      <c r="O631" s="126"/>
      <c r="P631" s="126"/>
      <c r="Q631" s="171"/>
      <c r="R631" s="172"/>
      <c r="S631" s="172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43"/>
      <c r="AF631" s="143"/>
      <c r="AG631" s="143"/>
      <c r="AH631" s="143"/>
      <c r="AI631" s="143"/>
      <c r="AJ631" s="143"/>
      <c r="AK631" s="143"/>
      <c r="AL631" s="143"/>
      <c r="AM631" s="145"/>
      <c r="AN631" s="143"/>
      <c r="AO631" s="151"/>
    </row>
    <row r="632" spans="3:41">
      <c r="C632" s="136"/>
      <c r="D632" s="136"/>
      <c r="E632" s="19"/>
      <c r="F632" s="15"/>
      <c r="G632" s="138"/>
      <c r="H632" s="138"/>
      <c r="I632" s="126"/>
      <c r="J632" s="15"/>
      <c r="K632" s="15"/>
      <c r="L632" s="20"/>
      <c r="M632" s="20"/>
      <c r="N632" s="126"/>
      <c r="O632" s="126"/>
      <c r="P632" s="126"/>
      <c r="Q632" s="171"/>
      <c r="R632" s="172"/>
      <c r="S632" s="172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43"/>
      <c r="AF632" s="143"/>
      <c r="AG632" s="143"/>
      <c r="AH632" s="143"/>
      <c r="AI632" s="143"/>
      <c r="AJ632" s="143"/>
      <c r="AK632" s="143"/>
      <c r="AL632" s="143"/>
      <c r="AM632" s="145"/>
      <c r="AN632" s="153"/>
      <c r="AO632" s="151"/>
    </row>
    <row r="633" spans="3:41">
      <c r="C633" s="136"/>
      <c r="D633" s="136"/>
      <c r="E633" s="19"/>
      <c r="F633" s="15"/>
      <c r="G633" s="138"/>
      <c r="H633" s="138"/>
      <c r="I633" s="126"/>
      <c r="J633" s="15"/>
      <c r="K633" s="15"/>
      <c r="L633" s="20"/>
      <c r="M633" s="20"/>
      <c r="N633" s="126"/>
      <c r="O633" s="126"/>
      <c r="P633" s="126"/>
      <c r="Q633" s="171"/>
      <c r="R633" s="172"/>
      <c r="S633" s="172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43"/>
      <c r="AF633" s="143"/>
      <c r="AG633" s="143"/>
      <c r="AH633" s="143"/>
      <c r="AI633" s="143"/>
      <c r="AJ633" s="143"/>
      <c r="AK633" s="143"/>
      <c r="AL633" s="143"/>
      <c r="AM633" s="145"/>
      <c r="AN633" s="143"/>
      <c r="AO633" s="143"/>
    </row>
    <row r="634" spans="3:41">
      <c r="C634" s="136"/>
      <c r="D634" s="136"/>
      <c r="E634" s="19"/>
      <c r="F634" s="15"/>
      <c r="G634" s="138"/>
      <c r="H634" s="138"/>
      <c r="I634" s="126"/>
      <c r="J634" s="15"/>
      <c r="K634" s="15"/>
      <c r="L634" s="20"/>
      <c r="M634" s="20"/>
      <c r="N634" s="126"/>
      <c r="O634" s="126"/>
      <c r="P634" s="126"/>
      <c r="Q634" s="171"/>
      <c r="R634" s="172"/>
      <c r="S634" s="172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43"/>
      <c r="AF634" s="143"/>
      <c r="AG634" s="143"/>
      <c r="AH634" s="143"/>
      <c r="AI634" s="143"/>
      <c r="AJ634" s="143"/>
      <c r="AK634" s="143"/>
      <c r="AL634" s="143"/>
      <c r="AM634" s="145"/>
      <c r="AN634" s="143"/>
      <c r="AO634" s="143"/>
    </row>
    <row r="635" spans="3:41">
      <c r="C635" s="136"/>
      <c r="D635" s="136"/>
      <c r="E635" s="19"/>
      <c r="F635" s="15"/>
      <c r="G635" s="138"/>
      <c r="H635" s="138"/>
      <c r="I635" s="126"/>
      <c r="J635" s="15"/>
      <c r="K635" s="15"/>
      <c r="L635" s="20"/>
      <c r="M635" s="20"/>
      <c r="N635" s="126"/>
      <c r="O635" s="126"/>
      <c r="P635" s="126"/>
      <c r="Q635" s="171"/>
      <c r="R635" s="172"/>
      <c r="S635" s="172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43"/>
      <c r="AF635" s="143"/>
      <c r="AG635" s="143"/>
      <c r="AH635" s="143"/>
      <c r="AI635" s="143"/>
      <c r="AJ635" s="143"/>
      <c r="AK635" s="143"/>
      <c r="AL635" s="143"/>
      <c r="AM635" s="145"/>
      <c r="AN635" s="153"/>
      <c r="AO635" s="151"/>
    </row>
    <row r="636" spans="3:41">
      <c r="C636" s="136"/>
      <c r="D636" s="136"/>
      <c r="E636" s="19"/>
      <c r="F636" s="15"/>
      <c r="G636" s="138"/>
      <c r="H636" s="138"/>
      <c r="I636" s="126"/>
      <c r="J636" s="15"/>
      <c r="K636" s="15"/>
      <c r="L636" s="20"/>
      <c r="M636" s="20"/>
      <c r="N636" s="126"/>
      <c r="O636" s="126"/>
      <c r="P636" s="126"/>
      <c r="Q636" s="171"/>
      <c r="R636" s="172"/>
      <c r="S636" s="172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43"/>
      <c r="AF636" s="143"/>
      <c r="AG636" s="143"/>
      <c r="AH636" s="143"/>
      <c r="AI636" s="143"/>
      <c r="AJ636" s="143"/>
      <c r="AK636" s="143"/>
      <c r="AL636" s="144"/>
      <c r="AM636" s="145"/>
      <c r="AN636" s="144"/>
      <c r="AO636" s="143"/>
    </row>
    <row r="637" spans="3:41">
      <c r="C637" s="136"/>
      <c r="D637" s="136"/>
      <c r="E637" s="19"/>
      <c r="F637" s="15"/>
      <c r="G637" s="138"/>
      <c r="H637" s="138"/>
      <c r="I637" s="126"/>
      <c r="J637" s="15"/>
      <c r="K637" s="15"/>
      <c r="L637" s="20"/>
      <c r="M637" s="20"/>
      <c r="N637" s="126"/>
      <c r="O637" s="126"/>
      <c r="P637" s="126"/>
      <c r="Q637" s="171"/>
      <c r="R637" s="172"/>
      <c r="S637" s="172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43"/>
      <c r="AF637" s="143"/>
      <c r="AG637" s="143"/>
      <c r="AH637" s="143"/>
      <c r="AI637" s="143"/>
      <c r="AJ637" s="143"/>
      <c r="AK637" s="143"/>
      <c r="AL637" s="144"/>
      <c r="AM637" s="145"/>
      <c r="AN637" s="153"/>
      <c r="AO637" s="151"/>
    </row>
    <row r="638" spans="3:41">
      <c r="C638" s="136"/>
      <c r="D638" s="136"/>
      <c r="E638" s="19"/>
      <c r="F638" s="15"/>
      <c r="G638" s="138"/>
      <c r="H638" s="138"/>
      <c r="I638" s="126"/>
      <c r="J638" s="15"/>
      <c r="K638" s="15"/>
      <c r="L638" s="20"/>
      <c r="M638" s="20"/>
      <c r="N638" s="126"/>
      <c r="O638" s="126"/>
      <c r="P638" s="126"/>
      <c r="Q638" s="171"/>
      <c r="R638" s="172"/>
      <c r="S638" s="172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43"/>
      <c r="AF638" s="143"/>
      <c r="AG638" s="143"/>
      <c r="AH638" s="143"/>
      <c r="AI638" s="143"/>
      <c r="AJ638" s="143"/>
      <c r="AK638" s="143"/>
      <c r="AL638" s="144"/>
      <c r="AM638" s="145"/>
      <c r="AN638" s="144"/>
      <c r="AO638" s="143"/>
    </row>
    <row r="639" spans="3:41">
      <c r="C639" s="136"/>
      <c r="D639" s="136"/>
      <c r="E639" s="19"/>
      <c r="F639" s="15"/>
      <c r="G639" s="138"/>
      <c r="H639" s="138"/>
      <c r="I639" s="126"/>
      <c r="J639" s="15"/>
      <c r="K639" s="15"/>
      <c r="L639" s="20"/>
      <c r="M639" s="20"/>
      <c r="N639" s="126"/>
      <c r="O639" s="126"/>
      <c r="P639" s="126"/>
      <c r="Q639" s="171"/>
      <c r="R639" s="172"/>
      <c r="S639" s="172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43"/>
      <c r="AF639" s="143"/>
      <c r="AG639" s="143"/>
      <c r="AH639" s="143"/>
      <c r="AI639" s="143"/>
      <c r="AJ639" s="143"/>
      <c r="AK639" s="143"/>
      <c r="AL639" s="144"/>
      <c r="AM639" s="145"/>
      <c r="AN639" s="144"/>
      <c r="AO639" s="143"/>
    </row>
    <row r="640" spans="3:41">
      <c r="C640" s="136"/>
      <c r="D640" s="136"/>
      <c r="E640" s="19"/>
      <c r="F640" s="15"/>
      <c r="G640" s="138"/>
      <c r="H640" s="138"/>
      <c r="I640" s="126"/>
      <c r="J640" s="15"/>
      <c r="K640" s="15"/>
      <c r="L640" s="20"/>
      <c r="M640" s="20"/>
      <c r="N640" s="126"/>
      <c r="O640" s="126"/>
      <c r="P640" s="126"/>
      <c r="Q640" s="171"/>
      <c r="R640" s="172"/>
      <c r="S640" s="172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43"/>
      <c r="AF640" s="143"/>
      <c r="AG640" s="143"/>
      <c r="AH640" s="143"/>
      <c r="AI640" s="143"/>
      <c r="AJ640" s="143"/>
      <c r="AK640" s="143"/>
      <c r="AL640" s="144"/>
      <c r="AM640" s="145"/>
      <c r="AN640" s="144"/>
      <c r="AO640" s="143"/>
    </row>
    <row r="641" spans="3:41">
      <c r="C641" s="136"/>
      <c r="D641" s="136"/>
      <c r="E641" s="19"/>
      <c r="F641" s="15"/>
      <c r="G641" s="138"/>
      <c r="H641" s="138"/>
      <c r="I641" s="126"/>
      <c r="J641" s="15"/>
      <c r="K641" s="15"/>
      <c r="L641" s="20"/>
      <c r="M641" s="20"/>
      <c r="N641" s="126"/>
      <c r="O641" s="126"/>
      <c r="P641" s="126"/>
      <c r="Q641" s="171"/>
      <c r="R641" s="172"/>
      <c r="S641" s="172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43"/>
      <c r="AF641" s="143"/>
      <c r="AG641" s="143"/>
      <c r="AH641" s="143"/>
      <c r="AI641" s="143"/>
      <c r="AJ641" s="143"/>
      <c r="AK641" s="143"/>
      <c r="AL641" s="144"/>
      <c r="AM641" s="145"/>
      <c r="AN641" s="144"/>
      <c r="AO641" s="143"/>
    </row>
    <row r="642" spans="3:41">
      <c r="C642" s="136"/>
      <c r="D642" s="136"/>
      <c r="E642" s="19"/>
      <c r="F642" s="15"/>
      <c r="G642" s="138"/>
      <c r="H642" s="138"/>
      <c r="I642" s="126"/>
      <c r="J642" s="15"/>
      <c r="K642" s="15"/>
      <c r="L642" s="20"/>
      <c r="M642" s="20"/>
      <c r="N642" s="126"/>
      <c r="O642" s="126"/>
      <c r="P642" s="126"/>
      <c r="Q642" s="171"/>
      <c r="R642" s="172"/>
      <c r="S642" s="172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43"/>
      <c r="AF642" s="143"/>
      <c r="AG642" s="143"/>
      <c r="AH642" s="143"/>
      <c r="AI642" s="143"/>
      <c r="AJ642" s="143"/>
      <c r="AK642" s="143"/>
      <c r="AL642" s="144"/>
      <c r="AM642" s="145"/>
      <c r="AN642" s="157"/>
      <c r="AO642" s="143"/>
    </row>
    <row r="643" spans="3:41">
      <c r="C643" s="136"/>
      <c r="D643" s="136"/>
      <c r="E643" s="19"/>
      <c r="F643" s="15"/>
      <c r="G643" s="138"/>
      <c r="H643" s="138"/>
      <c r="I643" s="126"/>
      <c r="J643" s="15"/>
      <c r="K643" s="15"/>
      <c r="L643" s="20"/>
      <c r="M643" s="20"/>
      <c r="N643" s="126"/>
      <c r="O643" s="126"/>
      <c r="P643" s="126"/>
      <c r="Q643" s="171"/>
      <c r="R643" s="172"/>
      <c r="S643" s="172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43"/>
      <c r="AF643" s="143"/>
      <c r="AG643" s="143"/>
      <c r="AH643" s="143"/>
      <c r="AI643" s="143"/>
      <c r="AJ643" s="143"/>
      <c r="AK643" s="143"/>
      <c r="AL643" s="144"/>
      <c r="AM643" s="145"/>
      <c r="AN643" s="143"/>
      <c r="AO643" s="151"/>
    </row>
    <row r="644" spans="3:41">
      <c r="C644" s="136"/>
      <c r="D644" s="136"/>
      <c r="E644" s="19"/>
      <c r="F644" s="15"/>
      <c r="G644" s="138"/>
      <c r="H644" s="138"/>
      <c r="I644" s="126"/>
      <c r="J644" s="15"/>
      <c r="K644" s="15"/>
      <c r="L644" s="20"/>
      <c r="M644" s="20"/>
      <c r="N644" s="126"/>
      <c r="O644" s="126"/>
      <c r="P644" s="126"/>
      <c r="Q644" s="171"/>
      <c r="R644" s="173"/>
      <c r="S644" s="172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43"/>
      <c r="AF644" s="143"/>
      <c r="AG644" s="143"/>
      <c r="AH644" s="143"/>
      <c r="AI644" s="143"/>
      <c r="AJ644" s="143"/>
      <c r="AK644" s="143"/>
      <c r="AL644" s="143"/>
      <c r="AM644" s="145"/>
      <c r="AN644" s="143"/>
      <c r="AO644" s="143"/>
    </row>
    <row r="645" spans="3:41">
      <c r="C645" s="136"/>
      <c r="D645" s="136"/>
      <c r="E645" s="19"/>
      <c r="F645" s="15"/>
      <c r="G645" s="138"/>
      <c r="H645" s="138"/>
      <c r="I645" s="126"/>
      <c r="J645" s="15"/>
      <c r="K645" s="15"/>
      <c r="L645" s="20"/>
      <c r="M645" s="20"/>
      <c r="N645" s="126"/>
      <c r="O645" s="126"/>
      <c r="P645" s="126"/>
      <c r="Q645" s="171"/>
      <c r="R645" s="173"/>
      <c r="S645" s="172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43"/>
      <c r="AF645" s="143"/>
      <c r="AG645" s="143"/>
      <c r="AH645" s="143"/>
      <c r="AI645" s="143"/>
      <c r="AJ645" s="143"/>
      <c r="AK645" s="143"/>
      <c r="AL645" s="143"/>
      <c r="AM645" s="145"/>
      <c r="AN645" s="143"/>
      <c r="AO645" s="143"/>
    </row>
    <row r="646" spans="3:41">
      <c r="C646" s="136"/>
      <c r="D646" s="136"/>
      <c r="E646" s="19"/>
      <c r="F646" s="15"/>
      <c r="G646" s="138"/>
      <c r="H646" s="138"/>
      <c r="I646" s="126"/>
      <c r="J646" s="15"/>
      <c r="K646" s="15"/>
      <c r="L646" s="20"/>
      <c r="M646" s="20"/>
      <c r="N646" s="126"/>
      <c r="O646" s="126"/>
      <c r="P646" s="126"/>
      <c r="Q646" s="171"/>
      <c r="R646" s="173"/>
      <c r="S646" s="172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43"/>
      <c r="AF646" s="143"/>
      <c r="AG646" s="143"/>
      <c r="AH646" s="143"/>
      <c r="AI646" s="143"/>
      <c r="AJ646" s="143"/>
      <c r="AK646" s="143"/>
      <c r="AL646" s="143"/>
      <c r="AM646" s="145"/>
      <c r="AN646" s="143"/>
      <c r="AO646" s="147"/>
    </row>
    <row r="647" spans="3:41">
      <c r="C647" s="136"/>
      <c r="D647" s="136"/>
      <c r="E647" s="19"/>
      <c r="F647" s="15"/>
      <c r="G647" s="138"/>
      <c r="H647" s="138"/>
      <c r="I647" s="126"/>
      <c r="J647" s="15"/>
      <c r="K647" s="15"/>
      <c r="L647" s="20"/>
      <c r="M647" s="20"/>
      <c r="N647" s="126"/>
      <c r="O647" s="126"/>
      <c r="P647" s="126"/>
      <c r="Q647" s="171"/>
      <c r="R647" s="173"/>
      <c r="S647" s="172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43"/>
      <c r="AF647" s="143"/>
      <c r="AG647" s="143"/>
      <c r="AH647" s="143"/>
      <c r="AI647" s="143"/>
      <c r="AJ647" s="143"/>
      <c r="AK647" s="143"/>
      <c r="AL647" s="143"/>
      <c r="AM647" s="145"/>
      <c r="AN647" s="153"/>
      <c r="AO647" s="147"/>
    </row>
    <row r="648" spans="3:41">
      <c r="C648" s="136"/>
      <c r="D648" s="136"/>
      <c r="E648" s="19"/>
      <c r="F648" s="15"/>
      <c r="G648" s="138"/>
      <c r="H648" s="138"/>
      <c r="I648" s="126"/>
      <c r="J648" s="15"/>
      <c r="K648" s="15"/>
      <c r="L648" s="20"/>
      <c r="M648" s="20"/>
      <c r="N648" s="126"/>
      <c r="O648" s="126"/>
      <c r="P648" s="126"/>
      <c r="Q648" s="171"/>
      <c r="R648" s="173"/>
      <c r="S648" s="172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43"/>
      <c r="AF648" s="143"/>
      <c r="AG648" s="143"/>
      <c r="AH648" s="143"/>
      <c r="AI648" s="143"/>
      <c r="AJ648" s="143"/>
      <c r="AK648" s="143"/>
      <c r="AL648" s="143"/>
      <c r="AM648" s="145"/>
      <c r="AN648" s="143"/>
      <c r="AO648" s="147"/>
    </row>
    <row r="649" spans="3:41">
      <c r="C649" s="136"/>
      <c r="D649" s="136"/>
      <c r="E649" s="19"/>
      <c r="F649" s="15"/>
      <c r="G649" s="138"/>
      <c r="H649" s="138"/>
      <c r="I649" s="126"/>
      <c r="J649" s="15"/>
      <c r="K649" s="15"/>
      <c r="L649" s="20"/>
      <c r="M649" s="20"/>
      <c r="N649" s="126"/>
      <c r="O649" s="126"/>
      <c r="P649" s="126"/>
      <c r="Q649" s="171"/>
      <c r="R649" s="173"/>
      <c r="S649" s="172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43"/>
      <c r="AF649" s="143"/>
      <c r="AG649" s="143"/>
      <c r="AH649" s="143"/>
      <c r="AI649" s="143"/>
      <c r="AJ649" s="143"/>
      <c r="AK649" s="143"/>
      <c r="AL649" s="143"/>
      <c r="AM649" s="145"/>
      <c r="AN649" s="143"/>
      <c r="AO649" s="147"/>
    </row>
    <row r="650" spans="3:41">
      <c r="C650" s="136"/>
      <c r="D650" s="136"/>
      <c r="E650" s="19"/>
      <c r="F650" s="15"/>
      <c r="G650" s="138"/>
      <c r="H650" s="138"/>
      <c r="I650" s="126"/>
      <c r="J650" s="15"/>
      <c r="K650" s="15"/>
      <c r="L650" s="20"/>
      <c r="M650" s="20"/>
      <c r="N650" s="126"/>
      <c r="O650" s="126"/>
      <c r="P650" s="126"/>
      <c r="Q650" s="171"/>
      <c r="R650" s="173"/>
      <c r="S650" s="172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43"/>
      <c r="AF650" s="143"/>
      <c r="AG650" s="143"/>
      <c r="AH650" s="143"/>
      <c r="AI650" s="143"/>
      <c r="AJ650" s="143"/>
      <c r="AK650" s="143"/>
      <c r="AL650" s="143"/>
      <c r="AM650" s="145"/>
      <c r="AN650" s="143"/>
      <c r="AO650" s="147"/>
    </row>
    <row r="651" spans="3:41">
      <c r="C651" s="136"/>
      <c r="D651" s="136"/>
      <c r="E651" s="19"/>
      <c r="F651" s="15"/>
      <c r="G651" s="138"/>
      <c r="H651" s="138"/>
      <c r="I651" s="126"/>
      <c r="J651" s="15"/>
      <c r="K651" s="15"/>
      <c r="L651" s="20"/>
      <c r="M651" s="20"/>
      <c r="N651" s="126"/>
      <c r="O651" s="126"/>
      <c r="P651" s="126"/>
      <c r="Q651" s="171"/>
      <c r="R651" s="173"/>
      <c r="S651" s="172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43"/>
      <c r="AF651" s="143"/>
      <c r="AG651" s="143"/>
      <c r="AH651" s="143"/>
      <c r="AI651" s="143"/>
      <c r="AJ651" s="143"/>
      <c r="AK651" s="143"/>
      <c r="AL651" s="143"/>
      <c r="AM651" s="145"/>
      <c r="AN651" s="153"/>
      <c r="AO651" s="147"/>
    </row>
    <row r="652" spans="3:41">
      <c r="C652" s="136"/>
      <c r="D652" s="136"/>
      <c r="E652" s="19"/>
      <c r="F652" s="15"/>
      <c r="G652" s="138"/>
      <c r="H652" s="138"/>
      <c r="I652" s="126"/>
      <c r="J652" s="15"/>
      <c r="K652" s="15"/>
      <c r="L652" s="20"/>
      <c r="M652" s="20"/>
      <c r="N652" s="126"/>
      <c r="O652" s="126"/>
      <c r="P652" s="126"/>
      <c r="Q652" s="171"/>
      <c r="R652" s="173"/>
      <c r="S652" s="172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43"/>
      <c r="AF652" s="143"/>
      <c r="AG652" s="143"/>
      <c r="AH652" s="143"/>
      <c r="AI652" s="143"/>
      <c r="AJ652" s="143"/>
      <c r="AK652" s="143"/>
      <c r="AL652" s="143"/>
      <c r="AM652" s="145"/>
      <c r="AN652" s="143"/>
      <c r="AO652" s="143"/>
    </row>
    <row r="653" spans="3:41">
      <c r="C653" s="136"/>
      <c r="D653" s="136"/>
      <c r="E653" s="19"/>
      <c r="F653" s="15"/>
      <c r="G653" s="138"/>
      <c r="H653" s="138"/>
      <c r="I653" s="126"/>
      <c r="J653" s="15"/>
      <c r="K653" s="15"/>
      <c r="L653" s="20"/>
      <c r="M653" s="20"/>
      <c r="N653" s="126"/>
      <c r="O653" s="126"/>
      <c r="P653" s="126"/>
      <c r="Q653" s="171"/>
      <c r="R653" s="173"/>
      <c r="S653" s="172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43"/>
      <c r="AF653" s="143"/>
      <c r="AG653" s="143"/>
      <c r="AH653" s="143"/>
      <c r="AI653" s="143"/>
      <c r="AJ653" s="143"/>
      <c r="AK653" s="143"/>
      <c r="AL653" s="143"/>
      <c r="AM653" s="145"/>
      <c r="AN653" s="153"/>
      <c r="AO653" s="143"/>
    </row>
    <row r="654" spans="3:41">
      <c r="C654" s="136"/>
      <c r="D654" s="136"/>
      <c r="E654" s="19"/>
      <c r="F654" s="15"/>
      <c r="G654" s="138"/>
      <c r="H654" s="138"/>
      <c r="I654" s="126"/>
      <c r="J654" s="15"/>
      <c r="K654" s="15"/>
      <c r="L654" s="20"/>
      <c r="M654" s="20"/>
      <c r="N654" s="126"/>
      <c r="O654" s="126"/>
      <c r="P654" s="126"/>
      <c r="Q654" s="171"/>
      <c r="R654" s="173"/>
      <c r="S654" s="172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43"/>
      <c r="AF654" s="143"/>
      <c r="AG654" s="143"/>
      <c r="AH654" s="143"/>
      <c r="AI654" s="143"/>
      <c r="AJ654" s="143"/>
      <c r="AK654" s="143"/>
      <c r="AL654" s="143"/>
      <c r="AM654" s="145"/>
      <c r="AN654" s="143"/>
      <c r="AO654" s="143"/>
    </row>
    <row r="655" spans="3:41">
      <c r="C655" s="136"/>
      <c r="D655" s="136"/>
      <c r="E655" s="19"/>
      <c r="F655" s="15"/>
      <c r="G655" s="138"/>
      <c r="H655" s="138"/>
      <c r="I655" s="126"/>
      <c r="J655" s="15"/>
      <c r="K655" s="15"/>
      <c r="L655" s="20"/>
      <c r="M655" s="20"/>
      <c r="N655" s="126"/>
      <c r="O655" s="126"/>
      <c r="P655" s="126"/>
      <c r="Q655" s="171"/>
      <c r="R655" s="173"/>
      <c r="S655" s="172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43"/>
      <c r="AF655" s="143"/>
      <c r="AG655" s="143"/>
      <c r="AH655" s="143"/>
      <c r="AI655" s="143"/>
      <c r="AJ655" s="143"/>
      <c r="AK655" s="143"/>
      <c r="AL655" s="143"/>
      <c r="AM655" s="145"/>
      <c r="AN655" s="153"/>
      <c r="AO655" s="143"/>
    </row>
    <row r="656" spans="3:41">
      <c r="C656" s="136"/>
      <c r="D656" s="136"/>
      <c r="E656" s="19"/>
      <c r="F656" s="15"/>
      <c r="G656" s="138"/>
      <c r="H656" s="138"/>
      <c r="I656" s="126"/>
      <c r="J656" s="15"/>
      <c r="K656" s="15"/>
      <c r="L656" s="20"/>
      <c r="M656" s="20"/>
      <c r="N656" s="126"/>
      <c r="O656" s="126"/>
      <c r="P656" s="126"/>
      <c r="Q656" s="171"/>
      <c r="R656" s="173"/>
      <c r="S656" s="172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43"/>
      <c r="AF656" s="143"/>
      <c r="AG656" s="143"/>
      <c r="AH656" s="143"/>
      <c r="AI656" s="143"/>
      <c r="AJ656" s="143"/>
      <c r="AK656" s="143"/>
      <c r="AL656" s="143"/>
      <c r="AM656" s="145"/>
      <c r="AN656" s="153"/>
      <c r="AO656" s="143"/>
    </row>
    <row r="657" spans="3:41">
      <c r="C657" s="136"/>
      <c r="D657" s="136"/>
      <c r="E657" s="19"/>
      <c r="F657" s="15"/>
      <c r="G657" s="138"/>
      <c r="H657" s="138"/>
      <c r="I657" s="126"/>
      <c r="J657" s="15"/>
      <c r="K657" s="15"/>
      <c r="L657" s="20"/>
      <c r="M657" s="20"/>
      <c r="N657" s="126"/>
      <c r="O657" s="126"/>
      <c r="P657" s="126"/>
      <c r="Q657" s="171"/>
      <c r="R657" s="173"/>
      <c r="S657" s="172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43"/>
      <c r="AF657" s="143"/>
      <c r="AG657" s="143"/>
      <c r="AH657" s="143"/>
      <c r="AI657" s="143"/>
      <c r="AJ657" s="143"/>
      <c r="AK657" s="143"/>
      <c r="AL657" s="143"/>
      <c r="AM657" s="145"/>
      <c r="AN657" s="143"/>
      <c r="AO657" s="143"/>
    </row>
    <row r="658" spans="3:41">
      <c r="C658" s="136"/>
      <c r="D658" s="136"/>
      <c r="E658" s="19"/>
      <c r="F658" s="15"/>
      <c r="G658" s="138"/>
      <c r="H658" s="138"/>
      <c r="I658" s="126"/>
      <c r="J658" s="15"/>
      <c r="K658" s="15"/>
      <c r="L658" s="20"/>
      <c r="M658" s="20"/>
      <c r="N658" s="126"/>
      <c r="O658" s="126"/>
      <c r="P658" s="126"/>
      <c r="Q658" s="171"/>
      <c r="R658" s="173"/>
      <c r="S658" s="172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43"/>
      <c r="AF658" s="143"/>
      <c r="AG658" s="143"/>
      <c r="AH658" s="143"/>
      <c r="AI658" s="143"/>
      <c r="AJ658" s="143"/>
      <c r="AK658" s="143"/>
      <c r="AL658" s="143"/>
      <c r="AM658" s="145"/>
      <c r="AN658" s="153"/>
      <c r="AO658" s="143"/>
    </row>
    <row r="659" spans="3:41">
      <c r="C659" s="136"/>
      <c r="D659" s="136"/>
      <c r="E659" s="19"/>
      <c r="F659" s="15"/>
      <c r="G659" s="138"/>
      <c r="H659" s="138"/>
      <c r="I659" s="126"/>
      <c r="J659" s="15"/>
      <c r="K659" s="15"/>
      <c r="L659" s="20"/>
      <c r="M659" s="20"/>
      <c r="N659" s="126"/>
      <c r="O659" s="126"/>
      <c r="P659" s="126"/>
      <c r="Q659" s="171"/>
      <c r="R659" s="173"/>
      <c r="S659" s="172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43"/>
      <c r="AF659" s="143"/>
      <c r="AG659" s="143"/>
      <c r="AH659" s="143"/>
      <c r="AI659" s="143"/>
      <c r="AJ659" s="143"/>
      <c r="AK659" s="143"/>
      <c r="AL659" s="143"/>
      <c r="AM659" s="145"/>
      <c r="AN659" s="153"/>
      <c r="AO659" s="143"/>
    </row>
    <row r="660" spans="3:41">
      <c r="C660" s="136"/>
      <c r="D660" s="136"/>
      <c r="E660" s="19"/>
      <c r="F660" s="15"/>
      <c r="G660" s="138"/>
      <c r="H660" s="138"/>
      <c r="I660" s="126"/>
      <c r="J660" s="15"/>
      <c r="K660" s="15"/>
      <c r="L660" s="20"/>
      <c r="M660" s="20"/>
      <c r="N660" s="126"/>
      <c r="O660" s="126"/>
      <c r="P660" s="126"/>
      <c r="Q660" s="171"/>
      <c r="R660" s="173"/>
      <c r="S660" s="172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43"/>
      <c r="AF660" s="143"/>
      <c r="AG660" s="143"/>
      <c r="AH660" s="143"/>
      <c r="AI660" s="143"/>
      <c r="AJ660" s="143"/>
      <c r="AK660" s="143"/>
      <c r="AL660" s="143"/>
      <c r="AM660" s="145"/>
      <c r="AN660" s="143"/>
      <c r="AO660" s="143"/>
    </row>
    <row r="661" spans="3:41">
      <c r="C661" s="136"/>
      <c r="D661" s="136"/>
      <c r="E661" s="19"/>
      <c r="F661" s="15"/>
      <c r="G661" s="138"/>
      <c r="H661" s="138"/>
      <c r="I661" s="126"/>
      <c r="J661" s="15"/>
      <c r="K661" s="15"/>
      <c r="L661" s="20"/>
      <c r="M661" s="20"/>
      <c r="N661" s="126"/>
      <c r="O661" s="126"/>
      <c r="P661" s="126"/>
      <c r="Q661" s="171"/>
      <c r="R661" s="173"/>
      <c r="S661" s="172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43"/>
      <c r="AF661" s="143"/>
      <c r="AG661" s="143"/>
      <c r="AH661" s="143"/>
      <c r="AI661" s="143"/>
      <c r="AJ661" s="143"/>
      <c r="AK661" s="143"/>
      <c r="AL661" s="143"/>
      <c r="AM661" s="145"/>
      <c r="AN661" s="143"/>
      <c r="AO661" s="143"/>
    </row>
    <row r="662" spans="3:41">
      <c r="C662" s="136"/>
      <c r="D662" s="136"/>
      <c r="E662" s="19"/>
      <c r="F662" s="15"/>
      <c r="G662" s="138"/>
      <c r="H662" s="138"/>
      <c r="I662" s="126"/>
      <c r="J662" s="15"/>
      <c r="K662" s="15"/>
      <c r="L662" s="20"/>
      <c r="M662" s="20"/>
      <c r="N662" s="126"/>
      <c r="O662" s="126"/>
      <c r="P662" s="126"/>
      <c r="Q662" s="171"/>
      <c r="R662" s="173"/>
      <c r="S662" s="172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43"/>
      <c r="AF662" s="143"/>
      <c r="AG662" s="143"/>
      <c r="AH662" s="143"/>
      <c r="AI662" s="143"/>
      <c r="AJ662" s="143"/>
      <c r="AK662" s="143"/>
      <c r="AL662" s="143"/>
      <c r="AM662" s="145"/>
      <c r="AN662" s="143"/>
      <c r="AO662" s="143"/>
    </row>
    <row r="663" spans="3:41">
      <c r="C663" s="136"/>
      <c r="D663" s="136"/>
      <c r="E663" s="19"/>
      <c r="F663" s="15"/>
      <c r="G663" s="138"/>
      <c r="H663" s="138"/>
      <c r="I663" s="126"/>
      <c r="J663" s="15"/>
      <c r="K663" s="15"/>
      <c r="L663" s="20"/>
      <c r="M663" s="20"/>
      <c r="N663" s="126"/>
      <c r="O663" s="126"/>
      <c r="P663" s="126"/>
      <c r="Q663" s="171"/>
      <c r="R663" s="173"/>
      <c r="S663" s="172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43"/>
      <c r="AF663" s="143"/>
      <c r="AG663" s="143"/>
      <c r="AH663" s="143"/>
      <c r="AI663" s="143"/>
      <c r="AJ663" s="143"/>
      <c r="AK663" s="143"/>
      <c r="AL663" s="143"/>
      <c r="AM663" s="145"/>
      <c r="AN663" s="143"/>
      <c r="AO663" s="143"/>
    </row>
    <row r="664" spans="3:41">
      <c r="C664" s="136"/>
      <c r="D664" s="136"/>
      <c r="E664" s="19"/>
      <c r="F664" s="15"/>
      <c r="G664" s="138"/>
      <c r="H664" s="138"/>
      <c r="I664" s="126"/>
      <c r="J664" s="15"/>
      <c r="K664" s="15"/>
      <c r="L664" s="20"/>
      <c r="M664" s="20"/>
      <c r="N664" s="126"/>
      <c r="O664" s="126"/>
      <c r="P664" s="126"/>
      <c r="Q664" s="171"/>
      <c r="R664" s="173"/>
      <c r="S664" s="172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43"/>
      <c r="AF664" s="143"/>
      <c r="AG664" s="143"/>
      <c r="AH664" s="143"/>
      <c r="AI664" s="143"/>
      <c r="AJ664" s="143"/>
      <c r="AK664" s="143"/>
      <c r="AL664" s="143"/>
      <c r="AM664" s="145"/>
      <c r="AN664" s="143"/>
      <c r="AO664" s="143"/>
    </row>
    <row r="665" spans="3:41">
      <c r="C665" s="136"/>
      <c r="D665" s="136"/>
      <c r="E665" s="19"/>
      <c r="F665" s="15"/>
      <c r="G665" s="138"/>
      <c r="H665" s="138"/>
      <c r="I665" s="126"/>
      <c r="J665" s="15"/>
      <c r="K665" s="15"/>
      <c r="L665" s="20"/>
      <c r="M665" s="20"/>
      <c r="N665" s="126"/>
      <c r="O665" s="126"/>
      <c r="P665" s="126"/>
      <c r="Q665" s="171"/>
      <c r="R665" s="173"/>
      <c r="S665" s="172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43"/>
      <c r="AF665" s="143"/>
      <c r="AG665" s="143"/>
      <c r="AH665" s="143"/>
      <c r="AI665" s="143"/>
      <c r="AJ665" s="143"/>
      <c r="AK665" s="143"/>
      <c r="AL665" s="143"/>
      <c r="AM665" s="145"/>
      <c r="AN665" s="143"/>
      <c r="AO665" s="143"/>
    </row>
    <row r="666" spans="3:41">
      <c r="C666" s="136"/>
      <c r="D666" s="136"/>
      <c r="E666" s="19"/>
      <c r="F666" s="15"/>
      <c r="G666" s="138"/>
      <c r="H666" s="138"/>
      <c r="I666" s="126"/>
      <c r="J666" s="15"/>
      <c r="K666" s="15"/>
      <c r="L666" s="20"/>
      <c r="M666" s="20"/>
      <c r="N666" s="126"/>
      <c r="O666" s="126"/>
      <c r="P666" s="126"/>
      <c r="Q666" s="171"/>
      <c r="R666" s="172"/>
      <c r="S666" s="172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43"/>
      <c r="AF666" s="143"/>
      <c r="AG666" s="143"/>
      <c r="AH666" s="143"/>
      <c r="AI666" s="143"/>
      <c r="AJ666" s="143"/>
      <c r="AK666" s="143"/>
      <c r="AL666" s="143"/>
      <c r="AM666" s="145"/>
      <c r="AN666" s="143"/>
      <c r="AO666" s="143"/>
    </row>
    <row r="667" spans="3:41">
      <c r="C667" s="136"/>
      <c r="D667" s="136"/>
      <c r="E667" s="19"/>
      <c r="F667" s="15"/>
      <c r="G667" s="138"/>
      <c r="H667" s="138"/>
      <c r="I667" s="126"/>
      <c r="J667" s="15"/>
      <c r="K667" s="15"/>
      <c r="L667" s="20"/>
      <c r="M667" s="20"/>
      <c r="N667" s="126"/>
      <c r="O667" s="126"/>
      <c r="P667" s="126"/>
      <c r="Q667" s="171"/>
      <c r="R667" s="172"/>
      <c r="S667" s="172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43"/>
      <c r="AF667" s="143"/>
      <c r="AG667" s="143"/>
      <c r="AH667" s="143"/>
      <c r="AI667" s="143"/>
      <c r="AJ667" s="143"/>
      <c r="AK667" s="143"/>
      <c r="AL667" s="143"/>
      <c r="AM667" s="145"/>
      <c r="AN667" s="143"/>
      <c r="AO667" s="143"/>
    </row>
    <row r="668" spans="3:41">
      <c r="C668" s="136"/>
      <c r="D668" s="136"/>
      <c r="E668" s="19"/>
      <c r="F668" s="15"/>
      <c r="G668" s="138"/>
      <c r="H668" s="138"/>
      <c r="I668" s="126"/>
      <c r="J668" s="15"/>
      <c r="K668" s="15"/>
      <c r="L668" s="20"/>
      <c r="M668" s="20"/>
      <c r="N668" s="126"/>
      <c r="O668" s="126"/>
      <c r="P668" s="126"/>
      <c r="Q668" s="171"/>
      <c r="R668" s="172"/>
      <c r="S668" s="172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43"/>
      <c r="AF668" s="143"/>
      <c r="AG668" s="143"/>
      <c r="AH668" s="143"/>
      <c r="AI668" s="143"/>
      <c r="AJ668" s="143"/>
      <c r="AK668" s="143"/>
      <c r="AL668" s="143"/>
      <c r="AM668" s="145"/>
      <c r="AN668" s="143"/>
      <c r="AO668" s="143"/>
    </row>
    <row r="669" spans="3:41">
      <c r="C669" s="136"/>
      <c r="D669" s="136"/>
      <c r="E669" s="19"/>
      <c r="F669" s="15"/>
      <c r="G669" s="138"/>
      <c r="H669" s="138"/>
      <c r="I669" s="126"/>
      <c r="J669" s="15"/>
      <c r="K669" s="15"/>
      <c r="L669" s="20"/>
      <c r="M669" s="20"/>
      <c r="N669" s="126"/>
      <c r="O669" s="126"/>
      <c r="P669" s="126"/>
      <c r="Q669" s="171"/>
      <c r="R669" s="172"/>
      <c r="S669" s="172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43"/>
      <c r="AF669" s="143"/>
      <c r="AG669" s="143"/>
      <c r="AH669" s="143"/>
      <c r="AI669" s="143"/>
      <c r="AJ669" s="143"/>
      <c r="AK669" s="143"/>
      <c r="AL669" s="143"/>
      <c r="AM669" s="145"/>
      <c r="AN669" s="143"/>
      <c r="AO669" s="143"/>
    </row>
    <row r="670" spans="3:41">
      <c r="C670" s="136"/>
      <c r="D670" s="136"/>
      <c r="E670" s="19"/>
      <c r="F670" s="15"/>
      <c r="G670" s="138"/>
      <c r="H670" s="138"/>
      <c r="I670" s="126"/>
      <c r="J670" s="15"/>
      <c r="K670" s="15"/>
      <c r="L670" s="20"/>
      <c r="M670" s="20"/>
      <c r="N670" s="126"/>
      <c r="O670" s="126"/>
      <c r="P670" s="126"/>
      <c r="Q670" s="171"/>
      <c r="R670" s="172"/>
      <c r="S670" s="172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43"/>
      <c r="AF670" s="143"/>
      <c r="AG670" s="143"/>
      <c r="AH670" s="143"/>
      <c r="AI670" s="143"/>
      <c r="AJ670" s="143"/>
      <c r="AK670" s="143"/>
      <c r="AL670" s="143"/>
      <c r="AM670" s="145"/>
      <c r="AN670" s="143"/>
      <c r="AO670" s="143"/>
    </row>
    <row r="671" spans="3:41">
      <c r="C671" s="136"/>
      <c r="D671" s="136"/>
      <c r="E671" s="19"/>
      <c r="F671" s="15"/>
      <c r="G671" s="138"/>
      <c r="H671" s="138"/>
      <c r="I671" s="126"/>
      <c r="J671" s="15"/>
      <c r="K671" s="15"/>
      <c r="L671" s="20"/>
      <c r="M671" s="20"/>
      <c r="N671" s="126"/>
      <c r="O671" s="126"/>
      <c r="P671" s="126"/>
      <c r="Q671" s="171"/>
      <c r="R671" s="172"/>
      <c r="S671" s="172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43"/>
      <c r="AF671" s="143"/>
      <c r="AG671" s="143"/>
      <c r="AH671" s="143"/>
      <c r="AI671" s="143"/>
      <c r="AJ671" s="143"/>
      <c r="AK671" s="143"/>
      <c r="AL671" s="143"/>
      <c r="AM671" s="145"/>
      <c r="AN671" s="143"/>
      <c r="AO671" s="143"/>
    </row>
    <row r="672" spans="3:41">
      <c r="C672" s="136"/>
      <c r="D672" s="136"/>
      <c r="E672" s="19"/>
      <c r="F672" s="15"/>
      <c r="G672" s="138"/>
      <c r="H672" s="138"/>
      <c r="I672" s="126"/>
      <c r="J672" s="15"/>
      <c r="K672" s="15"/>
      <c r="L672" s="20"/>
      <c r="M672" s="20"/>
      <c r="N672" s="126"/>
      <c r="O672" s="126"/>
      <c r="P672" s="126"/>
      <c r="Q672" s="171"/>
      <c r="R672" s="172"/>
      <c r="S672" s="172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43"/>
      <c r="AF672" s="143"/>
      <c r="AG672" s="143"/>
      <c r="AH672" s="143"/>
      <c r="AI672" s="143"/>
      <c r="AJ672" s="143"/>
      <c r="AK672" s="143"/>
      <c r="AL672" s="143"/>
      <c r="AM672" s="145"/>
      <c r="AN672" s="143"/>
      <c r="AO672" s="143"/>
    </row>
    <row r="673" spans="3:41">
      <c r="C673" s="136"/>
      <c r="D673" s="136"/>
      <c r="E673" s="19"/>
      <c r="F673" s="15"/>
      <c r="G673" s="138"/>
      <c r="H673" s="138"/>
      <c r="I673" s="126"/>
      <c r="J673" s="15"/>
      <c r="K673" s="15"/>
      <c r="L673" s="20"/>
      <c r="M673" s="20"/>
      <c r="N673" s="126"/>
      <c r="O673" s="126"/>
      <c r="P673" s="126"/>
      <c r="Q673" s="171"/>
      <c r="R673" s="172"/>
      <c r="S673" s="172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43"/>
      <c r="AF673" s="143"/>
      <c r="AG673" s="143"/>
      <c r="AH673" s="143"/>
      <c r="AI673" s="143"/>
      <c r="AJ673" s="143"/>
      <c r="AK673" s="143"/>
      <c r="AL673" s="143"/>
      <c r="AM673" s="145"/>
      <c r="AN673" s="143"/>
      <c r="AO673" s="143"/>
    </row>
    <row r="674" spans="3:41">
      <c r="C674" s="136"/>
      <c r="D674" s="136"/>
      <c r="E674" s="19"/>
      <c r="F674" s="15"/>
      <c r="G674" s="138"/>
      <c r="H674" s="138"/>
      <c r="I674" s="126"/>
      <c r="J674" s="15"/>
      <c r="K674" s="15"/>
      <c r="L674" s="20"/>
      <c r="M674" s="20"/>
      <c r="N674" s="126"/>
      <c r="O674" s="126"/>
      <c r="P674" s="126"/>
      <c r="Q674" s="171"/>
      <c r="R674" s="172"/>
      <c r="S674" s="172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43"/>
      <c r="AF674" s="143"/>
      <c r="AG674" s="143"/>
      <c r="AH674" s="143"/>
      <c r="AI674" s="143"/>
      <c r="AJ674" s="143"/>
      <c r="AK674" s="143"/>
      <c r="AL674" s="143"/>
      <c r="AM674" s="145"/>
      <c r="AN674" s="143"/>
      <c r="AO674" s="143"/>
    </row>
    <row r="675" spans="3:41">
      <c r="C675" s="136"/>
      <c r="D675" s="136"/>
      <c r="E675" s="19"/>
      <c r="F675" s="15"/>
      <c r="G675" s="138"/>
      <c r="H675" s="138"/>
      <c r="I675" s="126"/>
      <c r="J675" s="15"/>
      <c r="K675" s="15"/>
      <c r="L675" s="20"/>
      <c r="M675" s="20"/>
      <c r="N675" s="126"/>
      <c r="O675" s="126"/>
      <c r="P675" s="126"/>
      <c r="Q675" s="171"/>
      <c r="R675" s="172"/>
      <c r="S675" s="172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43"/>
      <c r="AF675" s="143"/>
      <c r="AG675" s="143"/>
      <c r="AH675" s="143"/>
      <c r="AI675" s="143"/>
      <c r="AJ675" s="143"/>
      <c r="AK675" s="143"/>
      <c r="AL675" s="143"/>
      <c r="AM675" s="145"/>
      <c r="AN675" s="143"/>
      <c r="AO675" s="143"/>
    </row>
    <row r="676" spans="3:41">
      <c r="C676" s="136"/>
      <c r="D676" s="136"/>
      <c r="E676" s="19"/>
      <c r="F676" s="15"/>
      <c r="G676" s="138"/>
      <c r="H676" s="138"/>
      <c r="I676" s="126"/>
      <c r="J676" s="15"/>
      <c r="K676" s="15"/>
      <c r="L676" s="20"/>
      <c r="M676" s="20"/>
      <c r="N676" s="126"/>
      <c r="O676" s="126"/>
      <c r="P676" s="126"/>
      <c r="Q676" s="171"/>
      <c r="R676" s="172"/>
      <c r="S676" s="172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43"/>
      <c r="AF676" s="143"/>
      <c r="AG676" s="143"/>
      <c r="AH676" s="143"/>
      <c r="AI676" s="143"/>
      <c r="AJ676" s="143"/>
      <c r="AK676" s="143"/>
      <c r="AL676" s="143"/>
      <c r="AM676" s="145"/>
      <c r="AN676" s="143"/>
      <c r="AO676" s="143"/>
    </row>
    <row r="677" spans="3:41">
      <c r="C677" s="136"/>
      <c r="D677" s="136"/>
      <c r="E677" s="19"/>
      <c r="F677" s="15"/>
      <c r="G677" s="138"/>
      <c r="H677" s="138"/>
      <c r="I677" s="126"/>
      <c r="J677" s="15"/>
      <c r="K677" s="15"/>
      <c r="L677" s="20"/>
      <c r="M677" s="20"/>
      <c r="N677" s="126"/>
      <c r="O677" s="126"/>
      <c r="P677" s="126"/>
      <c r="Q677" s="171"/>
      <c r="R677" s="172"/>
      <c r="S677" s="172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43"/>
      <c r="AF677" s="143"/>
      <c r="AG677" s="143"/>
      <c r="AH677" s="143"/>
      <c r="AI677" s="143"/>
      <c r="AJ677" s="143"/>
      <c r="AK677" s="143"/>
      <c r="AL677" s="143"/>
      <c r="AM677" s="145"/>
      <c r="AN677" s="143"/>
      <c r="AO677" s="143"/>
    </row>
    <row r="678" spans="3:41">
      <c r="C678" s="136"/>
      <c r="D678" s="136"/>
      <c r="E678" s="19"/>
      <c r="F678" s="15"/>
      <c r="G678" s="138"/>
      <c r="H678" s="138"/>
      <c r="I678" s="126"/>
      <c r="J678" s="15"/>
      <c r="K678" s="15"/>
      <c r="L678" s="20"/>
      <c r="M678" s="20"/>
      <c r="N678" s="126"/>
      <c r="O678" s="126"/>
      <c r="P678" s="126"/>
      <c r="Q678" s="171"/>
      <c r="R678" s="172"/>
      <c r="S678" s="172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43"/>
      <c r="AF678" s="143"/>
      <c r="AG678" s="143"/>
      <c r="AH678" s="143"/>
      <c r="AI678" s="143"/>
      <c r="AJ678" s="143"/>
      <c r="AK678" s="143"/>
      <c r="AL678" s="143"/>
      <c r="AM678" s="145"/>
      <c r="AN678" s="143"/>
      <c r="AO678" s="143"/>
    </row>
    <row r="679" spans="3:41">
      <c r="C679" s="136"/>
      <c r="D679" s="136"/>
      <c r="E679" s="19"/>
      <c r="F679" s="15"/>
      <c r="G679" s="138"/>
      <c r="H679" s="138"/>
      <c r="I679" s="126"/>
      <c r="J679" s="15"/>
      <c r="K679" s="15"/>
      <c r="L679" s="20"/>
      <c r="M679" s="20"/>
      <c r="N679" s="126"/>
      <c r="O679" s="126"/>
      <c r="P679" s="126"/>
      <c r="Q679" s="171"/>
      <c r="R679" s="172"/>
      <c r="S679" s="172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43"/>
      <c r="AF679" s="143"/>
      <c r="AG679" s="143"/>
      <c r="AH679" s="143"/>
      <c r="AI679" s="143"/>
      <c r="AJ679" s="143"/>
      <c r="AK679" s="143"/>
      <c r="AL679" s="143"/>
      <c r="AM679" s="143"/>
      <c r="AN679" s="143"/>
      <c r="AO679" s="143"/>
    </row>
    <row r="680" spans="3:41">
      <c r="C680" s="136"/>
      <c r="D680" s="136"/>
      <c r="E680" s="19"/>
      <c r="F680" s="15"/>
      <c r="G680" s="138"/>
      <c r="H680" s="138"/>
      <c r="I680" s="126"/>
      <c r="J680" s="15"/>
      <c r="K680" s="15"/>
      <c r="L680" s="20"/>
      <c r="M680" s="20"/>
      <c r="N680" s="126"/>
      <c r="O680" s="126"/>
      <c r="P680" s="126"/>
      <c r="Q680" s="171"/>
      <c r="R680" s="172"/>
      <c r="S680" s="172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43"/>
      <c r="AF680" s="143"/>
      <c r="AG680" s="143"/>
      <c r="AH680" s="143"/>
      <c r="AI680" s="143"/>
      <c r="AJ680" s="143"/>
      <c r="AK680" s="143"/>
      <c r="AL680" s="143"/>
      <c r="AM680" s="143"/>
      <c r="AN680" s="143"/>
      <c r="AO680" s="143"/>
    </row>
    <row r="681" spans="3:41">
      <c r="C681" s="136"/>
      <c r="D681" s="136"/>
      <c r="E681" s="19"/>
      <c r="F681" s="15"/>
      <c r="G681" s="138"/>
      <c r="H681" s="138"/>
      <c r="I681" s="126"/>
      <c r="J681" s="15"/>
      <c r="K681" s="15"/>
      <c r="L681" s="20"/>
      <c r="M681" s="20"/>
      <c r="N681" s="126"/>
      <c r="O681" s="126"/>
      <c r="P681" s="126"/>
      <c r="Q681" s="171"/>
      <c r="R681" s="172"/>
      <c r="S681" s="172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43"/>
      <c r="AF681" s="143"/>
      <c r="AG681" s="143"/>
      <c r="AH681" s="143"/>
      <c r="AI681" s="143"/>
      <c r="AJ681" s="143"/>
      <c r="AK681" s="143"/>
      <c r="AL681" s="143"/>
      <c r="AM681" s="145"/>
      <c r="AN681" s="143"/>
      <c r="AO681" s="143"/>
    </row>
    <row r="682" spans="3:41">
      <c r="C682" s="136"/>
      <c r="D682" s="136"/>
      <c r="E682" s="19"/>
      <c r="F682" s="15"/>
      <c r="G682" s="138"/>
      <c r="H682" s="138"/>
      <c r="I682" s="126"/>
      <c r="J682" s="15"/>
      <c r="K682" s="15"/>
      <c r="L682" s="20"/>
      <c r="M682" s="20"/>
      <c r="N682" s="126"/>
      <c r="O682" s="126"/>
      <c r="P682" s="126"/>
      <c r="Q682" s="171"/>
      <c r="R682" s="172"/>
      <c r="S682" s="172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43"/>
      <c r="AF682" s="143"/>
      <c r="AG682" s="143"/>
      <c r="AH682" s="143"/>
      <c r="AI682" s="143"/>
      <c r="AJ682" s="143"/>
      <c r="AK682" s="143"/>
      <c r="AL682" s="143"/>
      <c r="AM682" s="145"/>
      <c r="AN682" s="143"/>
      <c r="AO682" s="143"/>
    </row>
    <row r="683" spans="3:41">
      <c r="C683" s="136"/>
      <c r="D683" s="136"/>
      <c r="E683" s="19"/>
      <c r="F683" s="15"/>
      <c r="G683" s="138"/>
      <c r="H683" s="138"/>
      <c r="I683" s="126"/>
      <c r="J683" s="15"/>
      <c r="K683" s="15"/>
      <c r="L683" s="20"/>
      <c r="M683" s="20"/>
      <c r="N683" s="126"/>
      <c r="O683" s="126"/>
      <c r="P683" s="126"/>
      <c r="Q683" s="171"/>
      <c r="R683" s="172"/>
      <c r="S683" s="172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43"/>
      <c r="AF683" s="143"/>
      <c r="AG683" s="143"/>
      <c r="AH683" s="143"/>
      <c r="AI683" s="143"/>
      <c r="AJ683" s="143"/>
      <c r="AK683" s="143"/>
      <c r="AL683" s="143"/>
      <c r="AM683" s="145"/>
      <c r="AN683" s="143"/>
      <c r="AO683" s="143"/>
    </row>
    <row r="684" spans="3:41">
      <c r="C684" s="136"/>
      <c r="D684" s="136"/>
      <c r="E684" s="19"/>
      <c r="F684" s="15"/>
      <c r="G684" s="138"/>
      <c r="H684" s="138"/>
      <c r="I684" s="126"/>
      <c r="J684" s="15"/>
      <c r="K684" s="15"/>
      <c r="L684" s="20"/>
      <c r="M684" s="20"/>
      <c r="N684" s="126"/>
      <c r="O684" s="126"/>
      <c r="P684" s="126"/>
      <c r="Q684" s="171"/>
      <c r="R684" s="172"/>
      <c r="S684" s="172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43"/>
      <c r="AF684" s="143"/>
      <c r="AG684" s="143"/>
      <c r="AH684" s="143"/>
      <c r="AI684" s="143"/>
      <c r="AJ684" s="143"/>
      <c r="AK684" s="143"/>
      <c r="AL684" s="143"/>
      <c r="AM684" s="145"/>
      <c r="AN684" s="143"/>
      <c r="AO684" s="143"/>
    </row>
    <row r="685" spans="3:41">
      <c r="C685" s="136"/>
      <c r="D685" s="136"/>
      <c r="E685" s="19"/>
      <c r="F685" s="15"/>
      <c r="G685" s="138"/>
      <c r="H685" s="138"/>
      <c r="I685" s="126"/>
      <c r="J685" s="15"/>
      <c r="K685" s="15"/>
      <c r="L685" s="20"/>
      <c r="M685" s="20"/>
      <c r="N685" s="126"/>
      <c r="O685" s="126"/>
      <c r="P685" s="126"/>
      <c r="Q685" s="171"/>
      <c r="R685" s="172"/>
      <c r="S685" s="172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43"/>
      <c r="AF685" s="143"/>
      <c r="AG685" s="143"/>
      <c r="AH685" s="143"/>
      <c r="AI685" s="143"/>
      <c r="AJ685" s="143"/>
      <c r="AK685" s="143"/>
      <c r="AL685" s="143"/>
      <c r="AM685" s="145"/>
      <c r="AN685" s="143"/>
      <c r="AO685" s="143"/>
    </row>
    <row r="686" spans="3:41">
      <c r="C686" s="136"/>
      <c r="D686" s="136"/>
      <c r="E686" s="19"/>
      <c r="F686" s="15"/>
      <c r="G686" s="138"/>
      <c r="H686" s="138"/>
      <c r="I686" s="126"/>
      <c r="J686" s="15"/>
      <c r="K686" s="15"/>
      <c r="L686" s="20"/>
      <c r="M686" s="20"/>
      <c r="N686" s="126"/>
      <c r="O686" s="126"/>
      <c r="P686" s="126"/>
      <c r="Q686" s="171"/>
      <c r="R686" s="173"/>
      <c r="S686" s="172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43"/>
      <c r="AF686" s="143"/>
      <c r="AG686" s="143"/>
      <c r="AH686" s="143"/>
      <c r="AI686" s="143"/>
      <c r="AJ686" s="143"/>
      <c r="AK686" s="143"/>
      <c r="AL686" s="143"/>
      <c r="AM686" s="145"/>
      <c r="AN686" s="143"/>
      <c r="AO686" s="143"/>
    </row>
    <row r="687" spans="3:41">
      <c r="C687" s="136"/>
      <c r="D687" s="136"/>
      <c r="E687" s="19"/>
      <c r="F687" s="15"/>
      <c r="G687" s="138"/>
      <c r="H687" s="138"/>
      <c r="I687" s="126"/>
      <c r="J687" s="15"/>
      <c r="K687" s="15"/>
      <c r="L687" s="20"/>
      <c r="M687" s="20"/>
      <c r="N687" s="126"/>
      <c r="O687" s="126"/>
      <c r="P687" s="126"/>
      <c r="Q687" s="171"/>
      <c r="R687" s="173"/>
      <c r="S687" s="172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43"/>
      <c r="AF687" s="143"/>
      <c r="AG687" s="143"/>
      <c r="AH687" s="143"/>
      <c r="AI687" s="143"/>
      <c r="AJ687" s="143"/>
      <c r="AK687" s="143"/>
      <c r="AL687" s="143"/>
      <c r="AM687" s="145"/>
      <c r="AN687" s="143"/>
      <c r="AO687" s="143"/>
    </row>
    <row r="688" spans="3:41">
      <c r="C688" s="136"/>
      <c r="D688" s="136"/>
      <c r="E688" s="19"/>
      <c r="F688" s="15"/>
      <c r="G688" s="138"/>
      <c r="H688" s="138"/>
      <c r="I688" s="126"/>
      <c r="J688" s="15"/>
      <c r="K688" s="15"/>
      <c r="L688" s="20"/>
      <c r="M688" s="20"/>
      <c r="N688" s="126"/>
      <c r="O688" s="126"/>
      <c r="P688" s="126"/>
      <c r="Q688" s="171"/>
      <c r="R688" s="172"/>
      <c r="S688" s="172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43"/>
      <c r="AF688" s="143"/>
      <c r="AG688" s="143"/>
      <c r="AH688" s="143"/>
      <c r="AI688" s="143"/>
      <c r="AJ688" s="143"/>
      <c r="AK688" s="143"/>
      <c r="AL688" s="143"/>
      <c r="AM688" s="145"/>
      <c r="AN688" s="143"/>
      <c r="AO688" s="147"/>
    </row>
    <row r="689" spans="3:41">
      <c r="C689" s="136"/>
      <c r="D689" s="136"/>
      <c r="E689" s="19"/>
      <c r="F689" s="15"/>
      <c r="G689" s="138"/>
      <c r="H689" s="138"/>
      <c r="I689" s="126"/>
      <c r="J689" s="15"/>
      <c r="K689" s="15"/>
      <c r="L689" s="20"/>
      <c r="M689" s="20"/>
      <c r="N689" s="126"/>
      <c r="O689" s="126"/>
      <c r="P689" s="126"/>
      <c r="Q689" s="171"/>
      <c r="R689" s="173"/>
      <c r="S689" s="172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43"/>
      <c r="AF689" s="143"/>
      <c r="AG689" s="143"/>
      <c r="AH689" s="143"/>
      <c r="AI689" s="143"/>
      <c r="AJ689" s="143"/>
      <c r="AK689" s="143"/>
      <c r="AL689" s="143"/>
      <c r="AM689" s="145"/>
      <c r="AN689" s="143"/>
      <c r="AO689" s="143"/>
    </row>
    <row r="690" spans="3:41">
      <c r="C690" s="136"/>
      <c r="D690" s="136"/>
      <c r="E690" s="19"/>
      <c r="F690" s="15"/>
      <c r="G690" s="138"/>
      <c r="H690" s="138"/>
      <c r="I690" s="126"/>
      <c r="J690" s="15"/>
      <c r="K690" s="15"/>
      <c r="L690" s="20"/>
      <c r="M690" s="20"/>
      <c r="N690" s="126"/>
      <c r="O690" s="126"/>
      <c r="P690" s="126"/>
      <c r="Q690" s="171"/>
      <c r="R690" s="173"/>
      <c r="S690" s="172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43"/>
      <c r="AF690" s="143"/>
      <c r="AG690" s="143"/>
      <c r="AH690" s="143"/>
      <c r="AI690" s="143"/>
      <c r="AJ690" s="143"/>
      <c r="AK690" s="143"/>
      <c r="AL690" s="143"/>
      <c r="AM690" s="145"/>
      <c r="AN690" s="143"/>
      <c r="AO690" s="143"/>
    </row>
    <row r="691" spans="3:41">
      <c r="C691" s="136"/>
      <c r="D691" s="136"/>
      <c r="E691" s="19"/>
      <c r="F691" s="15"/>
      <c r="G691" s="138"/>
      <c r="H691" s="138"/>
      <c r="I691" s="126"/>
      <c r="J691" s="15"/>
      <c r="K691" s="15"/>
      <c r="L691" s="20"/>
      <c r="M691" s="20"/>
      <c r="N691" s="126"/>
      <c r="O691" s="126"/>
      <c r="P691" s="126"/>
      <c r="Q691" s="171"/>
      <c r="R691" s="173"/>
      <c r="S691" s="172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43"/>
      <c r="AF691" s="143"/>
      <c r="AG691" s="143"/>
      <c r="AH691" s="143"/>
      <c r="AI691" s="143"/>
      <c r="AJ691" s="143"/>
      <c r="AK691" s="143"/>
      <c r="AL691" s="143"/>
      <c r="AM691" s="143"/>
      <c r="AN691" s="143"/>
      <c r="AO691" s="143"/>
    </row>
    <row r="692" spans="3:41">
      <c r="C692" s="136"/>
      <c r="D692" s="136"/>
      <c r="E692" s="19"/>
      <c r="F692" s="15"/>
      <c r="G692" s="138"/>
      <c r="H692" s="138"/>
      <c r="I692" s="126"/>
      <c r="J692" s="15"/>
      <c r="K692" s="15"/>
      <c r="L692" s="20"/>
      <c r="M692" s="20"/>
      <c r="N692" s="126"/>
      <c r="O692" s="126"/>
      <c r="P692" s="126"/>
      <c r="Q692" s="171"/>
      <c r="R692" s="173"/>
      <c r="S692" s="172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43"/>
      <c r="AF692" s="143"/>
      <c r="AG692" s="143"/>
      <c r="AH692" s="143"/>
      <c r="AI692" s="143"/>
      <c r="AJ692" s="143"/>
      <c r="AK692" s="143"/>
      <c r="AL692" s="143"/>
      <c r="AM692" s="145"/>
      <c r="AN692" s="143"/>
      <c r="AO692" s="143"/>
    </row>
    <row r="693" spans="3:41">
      <c r="C693" s="136"/>
      <c r="D693" s="136"/>
      <c r="E693" s="19"/>
      <c r="F693" s="15"/>
      <c r="G693" s="138"/>
      <c r="H693" s="138"/>
      <c r="I693" s="126"/>
      <c r="J693" s="15"/>
      <c r="K693" s="15"/>
      <c r="L693" s="20"/>
      <c r="M693" s="20"/>
      <c r="N693" s="126"/>
      <c r="O693" s="126"/>
      <c r="P693" s="126"/>
      <c r="Q693" s="171"/>
      <c r="R693" s="173"/>
      <c r="S693" s="172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43"/>
      <c r="AF693" s="143"/>
      <c r="AG693" s="143"/>
      <c r="AH693" s="143"/>
      <c r="AI693" s="143"/>
      <c r="AJ693" s="143"/>
      <c r="AK693" s="143"/>
      <c r="AL693" s="143"/>
      <c r="AM693" s="145"/>
      <c r="AN693" s="143"/>
      <c r="AO693" s="143"/>
    </row>
    <row r="694" spans="3:41">
      <c r="C694" s="136"/>
      <c r="D694" s="136"/>
      <c r="E694" s="19"/>
      <c r="F694" s="15"/>
      <c r="G694" s="138"/>
      <c r="H694" s="138"/>
      <c r="I694" s="126"/>
      <c r="J694" s="15"/>
      <c r="K694" s="15"/>
      <c r="L694" s="20"/>
      <c r="M694" s="20"/>
      <c r="N694" s="126"/>
      <c r="O694" s="126"/>
      <c r="P694" s="126"/>
      <c r="Q694" s="171"/>
      <c r="R694" s="173"/>
      <c r="S694" s="172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43"/>
      <c r="AF694" s="143"/>
      <c r="AG694" s="143"/>
      <c r="AH694" s="143"/>
      <c r="AI694" s="143"/>
      <c r="AJ694" s="143"/>
      <c r="AK694" s="143"/>
      <c r="AL694" s="158"/>
      <c r="AM694" s="143"/>
      <c r="AN694" s="143"/>
      <c r="AO694" s="147"/>
    </row>
    <row r="695" spans="3:41">
      <c r="C695" s="136"/>
      <c r="D695" s="136"/>
      <c r="E695" s="19"/>
      <c r="F695" s="15"/>
      <c r="G695" s="138"/>
      <c r="H695" s="138"/>
      <c r="I695" s="126"/>
      <c r="J695" s="15"/>
      <c r="K695" s="15"/>
      <c r="L695" s="20"/>
      <c r="M695" s="20"/>
      <c r="N695" s="126"/>
      <c r="O695" s="126"/>
      <c r="P695" s="126"/>
      <c r="Q695" s="171"/>
      <c r="R695" s="173"/>
      <c r="S695" s="172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43"/>
      <c r="AF695" s="143"/>
      <c r="AG695" s="143"/>
      <c r="AH695" s="143"/>
      <c r="AI695" s="143"/>
      <c r="AJ695" s="143"/>
      <c r="AK695" s="143"/>
      <c r="AL695" s="158"/>
      <c r="AM695" s="145"/>
      <c r="AN695" s="143"/>
      <c r="AO695" s="143"/>
    </row>
    <row r="696" spans="3:41">
      <c r="C696" s="136"/>
      <c r="D696" s="136"/>
      <c r="E696" s="19"/>
      <c r="F696" s="15"/>
      <c r="G696" s="138"/>
      <c r="H696" s="138"/>
      <c r="I696" s="126"/>
      <c r="J696" s="15"/>
      <c r="K696" s="15"/>
      <c r="L696" s="20"/>
      <c r="M696" s="20"/>
      <c r="N696" s="126"/>
      <c r="O696" s="126"/>
      <c r="P696" s="126"/>
      <c r="Q696" s="171"/>
      <c r="R696" s="172"/>
      <c r="S696" s="172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43"/>
      <c r="AF696" s="143"/>
      <c r="AG696" s="143"/>
      <c r="AH696" s="143"/>
      <c r="AI696" s="143"/>
      <c r="AJ696" s="143"/>
      <c r="AK696" s="143"/>
      <c r="AL696" s="158"/>
      <c r="AM696" s="145"/>
      <c r="AN696" s="143"/>
      <c r="AO696" s="143"/>
    </row>
    <row r="697" spans="3:41">
      <c r="C697" s="136"/>
      <c r="D697" s="136"/>
      <c r="E697" s="19"/>
      <c r="F697" s="15"/>
      <c r="G697" s="138"/>
      <c r="H697" s="138"/>
      <c r="I697" s="126"/>
      <c r="J697" s="15"/>
      <c r="K697" s="15"/>
      <c r="L697" s="20"/>
      <c r="M697" s="20"/>
      <c r="N697" s="126"/>
      <c r="O697" s="126"/>
      <c r="P697" s="126"/>
      <c r="Q697" s="171"/>
      <c r="R697" s="173"/>
      <c r="S697" s="172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43"/>
      <c r="AF697" s="143"/>
      <c r="AG697" s="143"/>
      <c r="AH697" s="143"/>
      <c r="AI697" s="143"/>
      <c r="AJ697" s="143"/>
      <c r="AK697" s="143"/>
      <c r="AL697" s="143"/>
      <c r="AM697" s="145"/>
      <c r="AN697" s="143"/>
      <c r="AO697" s="143"/>
    </row>
    <row r="698" spans="3:41">
      <c r="C698" s="136"/>
      <c r="D698" s="136"/>
      <c r="E698" s="19"/>
      <c r="F698" s="15"/>
      <c r="G698" s="138"/>
      <c r="H698" s="138"/>
      <c r="I698" s="126"/>
      <c r="J698" s="15"/>
      <c r="K698" s="15"/>
      <c r="L698" s="20"/>
      <c r="M698" s="20"/>
      <c r="N698" s="126"/>
      <c r="O698" s="126"/>
      <c r="P698" s="126"/>
      <c r="Q698" s="171"/>
      <c r="R698" s="173"/>
      <c r="S698" s="172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43"/>
      <c r="AF698" s="143"/>
      <c r="AG698" s="143"/>
      <c r="AH698" s="143"/>
      <c r="AI698" s="143"/>
      <c r="AJ698" s="143"/>
      <c r="AK698" s="143"/>
      <c r="AL698" s="143"/>
      <c r="AM698" s="145"/>
      <c r="AN698" s="143"/>
      <c r="AO698" s="143"/>
    </row>
    <row r="699" spans="3:41">
      <c r="C699" s="136"/>
      <c r="D699" s="136"/>
      <c r="E699" s="19"/>
      <c r="F699" s="15"/>
      <c r="G699" s="138"/>
      <c r="H699" s="138"/>
      <c r="I699" s="126"/>
      <c r="J699" s="15"/>
      <c r="K699" s="15"/>
      <c r="L699" s="20"/>
      <c r="M699" s="20"/>
      <c r="N699" s="126"/>
      <c r="O699" s="126"/>
      <c r="P699" s="126"/>
      <c r="Q699" s="171"/>
      <c r="R699" s="173"/>
      <c r="S699" s="172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43"/>
      <c r="AF699" s="143"/>
      <c r="AG699" s="143"/>
      <c r="AH699" s="143"/>
      <c r="AI699" s="143"/>
      <c r="AJ699" s="143"/>
      <c r="AK699" s="143"/>
      <c r="AL699" s="143"/>
      <c r="AM699" s="145"/>
      <c r="AN699" s="143"/>
      <c r="AO699" s="143"/>
    </row>
    <row r="700" spans="3:41">
      <c r="C700" s="136"/>
      <c r="D700" s="136"/>
      <c r="E700" s="19"/>
      <c r="F700" s="15"/>
      <c r="G700" s="138"/>
      <c r="H700" s="138"/>
      <c r="I700" s="126"/>
      <c r="J700" s="15"/>
      <c r="K700" s="15"/>
      <c r="L700" s="20"/>
      <c r="M700" s="20"/>
      <c r="N700" s="126"/>
      <c r="O700" s="126"/>
      <c r="P700" s="126"/>
      <c r="Q700" s="171"/>
      <c r="R700" s="173"/>
      <c r="S700" s="172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43"/>
      <c r="AF700" s="143"/>
      <c r="AG700" s="143"/>
      <c r="AH700" s="143"/>
      <c r="AI700" s="143"/>
      <c r="AJ700" s="143"/>
      <c r="AK700" s="143"/>
      <c r="AL700" s="143"/>
      <c r="AM700" s="145"/>
      <c r="AN700" s="143"/>
      <c r="AO700" s="143"/>
    </row>
    <row r="701" spans="3:41">
      <c r="C701" s="136"/>
      <c r="D701" s="136"/>
      <c r="E701" s="19"/>
      <c r="F701" s="15"/>
      <c r="G701" s="138"/>
      <c r="H701" s="138"/>
      <c r="I701" s="126"/>
      <c r="J701" s="15"/>
      <c r="K701" s="15"/>
      <c r="L701" s="20"/>
      <c r="M701" s="20"/>
      <c r="N701" s="126"/>
      <c r="O701" s="126"/>
      <c r="P701" s="126"/>
      <c r="Q701" s="171"/>
      <c r="R701" s="173"/>
      <c r="S701" s="172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43"/>
      <c r="AF701" s="143"/>
      <c r="AG701" s="143"/>
      <c r="AH701" s="143"/>
      <c r="AI701" s="143"/>
      <c r="AJ701" s="143"/>
      <c r="AK701" s="143"/>
      <c r="AL701" s="143"/>
      <c r="AM701" s="145"/>
      <c r="AN701" s="143"/>
      <c r="AO701" s="143"/>
    </row>
    <row r="702" spans="3:41">
      <c r="C702" s="136"/>
      <c r="D702" s="136"/>
      <c r="E702" s="19"/>
      <c r="F702" s="15"/>
      <c r="G702" s="138"/>
      <c r="H702" s="138"/>
      <c r="I702" s="126"/>
      <c r="J702" s="15"/>
      <c r="K702" s="15"/>
      <c r="L702" s="20"/>
      <c r="M702" s="20"/>
      <c r="N702" s="126"/>
      <c r="O702" s="126"/>
      <c r="P702" s="126"/>
      <c r="Q702" s="171"/>
      <c r="R702" s="173"/>
      <c r="S702" s="172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43"/>
      <c r="AF702" s="143"/>
      <c r="AG702" s="143"/>
      <c r="AH702" s="143"/>
      <c r="AI702" s="143"/>
      <c r="AJ702" s="143"/>
      <c r="AK702" s="143"/>
      <c r="AL702" s="143"/>
      <c r="AM702" s="145"/>
      <c r="AN702" s="143"/>
      <c r="AO702" s="147"/>
    </row>
    <row r="703" spans="3:41">
      <c r="C703" s="136"/>
      <c r="D703" s="136"/>
      <c r="E703" s="19"/>
      <c r="F703" s="15"/>
      <c r="G703" s="138"/>
      <c r="H703" s="138"/>
      <c r="I703" s="126"/>
      <c r="J703" s="15"/>
      <c r="K703" s="15"/>
      <c r="L703" s="20"/>
      <c r="M703" s="20"/>
      <c r="N703" s="126"/>
      <c r="O703" s="126"/>
      <c r="P703" s="126"/>
      <c r="Q703" s="171"/>
      <c r="R703" s="172"/>
      <c r="S703" s="172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43"/>
      <c r="AF703" s="143"/>
      <c r="AG703" s="143"/>
      <c r="AH703" s="143"/>
      <c r="AI703" s="143"/>
      <c r="AJ703" s="143"/>
      <c r="AK703" s="143"/>
      <c r="AL703" s="143"/>
      <c r="AM703" s="145"/>
      <c r="AN703" s="143"/>
      <c r="AO703" s="143"/>
    </row>
    <row r="704" spans="3:41">
      <c r="C704" s="136"/>
      <c r="D704" s="136"/>
      <c r="E704" s="19"/>
      <c r="F704" s="15"/>
      <c r="G704" s="138"/>
      <c r="H704" s="138"/>
      <c r="I704" s="126"/>
      <c r="J704" s="15"/>
      <c r="K704" s="15"/>
      <c r="L704" s="20"/>
      <c r="M704" s="20"/>
      <c r="N704" s="126"/>
      <c r="O704" s="126"/>
      <c r="P704" s="126"/>
      <c r="Q704" s="171"/>
      <c r="R704" s="173"/>
      <c r="S704" s="172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43"/>
      <c r="AF704" s="143"/>
      <c r="AG704" s="143"/>
      <c r="AH704" s="143"/>
      <c r="AI704" s="143"/>
      <c r="AJ704" s="143"/>
      <c r="AK704" s="143"/>
      <c r="AL704" s="143"/>
      <c r="AM704" s="145"/>
      <c r="AN704" s="143"/>
      <c r="AO704" s="143"/>
    </row>
    <row r="705" spans="3:41">
      <c r="C705" s="136"/>
      <c r="D705" s="136"/>
      <c r="E705" s="19"/>
      <c r="F705" s="15"/>
      <c r="G705" s="138"/>
      <c r="H705" s="138"/>
      <c r="I705" s="126"/>
      <c r="J705" s="15"/>
      <c r="K705" s="15"/>
      <c r="L705" s="20"/>
      <c r="M705" s="20"/>
      <c r="N705" s="126"/>
      <c r="O705" s="126"/>
      <c r="P705" s="126"/>
      <c r="Q705" s="171"/>
      <c r="R705" s="173"/>
      <c r="S705" s="172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43"/>
      <c r="AF705" s="143"/>
      <c r="AG705" s="143"/>
      <c r="AH705" s="143"/>
      <c r="AI705" s="143"/>
      <c r="AJ705" s="143"/>
      <c r="AK705" s="143"/>
      <c r="AL705" s="158"/>
      <c r="AM705" s="145"/>
      <c r="AN705" s="143"/>
      <c r="AO705" s="143"/>
    </row>
    <row r="706" spans="3:41">
      <c r="C706" s="136"/>
      <c r="D706" s="136"/>
      <c r="E706" s="19"/>
      <c r="F706" s="15"/>
      <c r="G706" s="138"/>
      <c r="H706" s="138"/>
      <c r="I706" s="126"/>
      <c r="J706" s="15"/>
      <c r="K706" s="15"/>
      <c r="L706" s="20"/>
      <c r="M706" s="20"/>
      <c r="N706" s="126"/>
      <c r="O706" s="126"/>
      <c r="P706" s="126"/>
      <c r="Q706" s="171"/>
      <c r="R706" s="172"/>
      <c r="S706" s="172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43"/>
      <c r="AF706" s="143"/>
      <c r="AG706" s="143"/>
      <c r="AH706" s="143"/>
      <c r="AI706" s="143"/>
      <c r="AJ706" s="143"/>
      <c r="AK706" s="143"/>
      <c r="AL706" s="143"/>
      <c r="AM706" s="145"/>
      <c r="AN706" s="143"/>
      <c r="AO706" s="143"/>
    </row>
    <row r="707" spans="3:41">
      <c r="C707" s="136"/>
      <c r="D707" s="136"/>
      <c r="E707" s="19"/>
      <c r="F707" s="15"/>
      <c r="G707" s="138"/>
      <c r="H707" s="138"/>
      <c r="I707" s="126"/>
      <c r="J707" s="15"/>
      <c r="K707" s="15"/>
      <c r="L707" s="20"/>
      <c r="M707" s="20"/>
      <c r="N707" s="126"/>
      <c r="O707" s="126"/>
      <c r="P707" s="126"/>
      <c r="Q707" s="171"/>
      <c r="R707" s="173"/>
      <c r="S707" s="172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43"/>
      <c r="AF707" s="143"/>
      <c r="AG707" s="143"/>
      <c r="AH707" s="143"/>
      <c r="AI707" s="143"/>
      <c r="AJ707" s="143"/>
      <c r="AK707" s="143"/>
      <c r="AL707" s="143"/>
      <c r="AM707" s="143"/>
      <c r="AN707" s="143"/>
      <c r="AO707" s="143"/>
    </row>
    <row r="708" spans="3:41">
      <c r="C708" s="136"/>
      <c r="D708" s="136"/>
      <c r="E708" s="19"/>
      <c r="F708" s="15"/>
      <c r="G708" s="138"/>
      <c r="H708" s="138"/>
      <c r="I708" s="126"/>
      <c r="J708" s="15"/>
      <c r="K708" s="15"/>
      <c r="L708" s="20"/>
      <c r="M708" s="20"/>
      <c r="N708" s="126"/>
      <c r="O708" s="126"/>
      <c r="P708" s="126"/>
      <c r="Q708" s="171"/>
      <c r="R708" s="173"/>
      <c r="S708" s="172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43"/>
      <c r="AF708" s="143"/>
      <c r="AG708" s="143"/>
      <c r="AH708" s="143"/>
      <c r="AI708" s="143"/>
      <c r="AJ708" s="143"/>
      <c r="AK708" s="143"/>
      <c r="AL708" s="143"/>
      <c r="AM708" s="145"/>
      <c r="AN708" s="143"/>
      <c r="AO708" s="143"/>
    </row>
    <row r="709" spans="3:41">
      <c r="C709" s="136"/>
      <c r="D709" s="136"/>
      <c r="E709" s="19"/>
      <c r="F709" s="15"/>
      <c r="G709" s="138"/>
      <c r="H709" s="138"/>
      <c r="I709" s="126"/>
      <c r="J709" s="15"/>
      <c r="K709" s="15"/>
      <c r="L709" s="20"/>
      <c r="M709" s="20"/>
      <c r="N709" s="126"/>
      <c r="O709" s="126"/>
      <c r="P709" s="126"/>
      <c r="Q709" s="171"/>
      <c r="R709" s="173"/>
      <c r="S709" s="172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43"/>
      <c r="AF709" s="143"/>
      <c r="AG709" s="143"/>
      <c r="AH709" s="143"/>
      <c r="AI709" s="143"/>
      <c r="AJ709" s="143"/>
      <c r="AK709" s="143"/>
      <c r="AL709" s="143"/>
      <c r="AM709" s="145"/>
      <c r="AN709" s="143"/>
      <c r="AO709" s="143"/>
    </row>
    <row r="710" spans="3:41">
      <c r="C710" s="136"/>
      <c r="D710" s="136"/>
      <c r="E710" s="19"/>
      <c r="F710" s="15"/>
      <c r="G710" s="138"/>
      <c r="H710" s="138"/>
      <c r="I710" s="126"/>
      <c r="J710" s="15"/>
      <c r="K710" s="15"/>
      <c r="L710" s="20"/>
      <c r="M710" s="20"/>
      <c r="N710" s="126"/>
      <c r="O710" s="126"/>
      <c r="P710" s="126"/>
      <c r="Q710" s="171"/>
      <c r="R710" s="173"/>
      <c r="S710" s="172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43"/>
      <c r="AF710" s="143"/>
      <c r="AG710" s="143"/>
      <c r="AH710" s="143"/>
      <c r="AI710" s="143"/>
      <c r="AJ710" s="143"/>
      <c r="AK710" s="143"/>
      <c r="AL710" s="143"/>
      <c r="AM710" s="145"/>
      <c r="AN710" s="143"/>
      <c r="AO710" s="143"/>
    </row>
    <row r="711" spans="3:41">
      <c r="C711" s="136"/>
      <c r="D711" s="136"/>
      <c r="E711" s="19"/>
      <c r="F711" s="15"/>
      <c r="G711" s="138"/>
      <c r="H711" s="138"/>
      <c r="I711" s="126"/>
      <c r="J711" s="15"/>
      <c r="K711" s="15"/>
      <c r="L711" s="20"/>
      <c r="M711" s="20"/>
      <c r="N711" s="126"/>
      <c r="O711" s="126"/>
      <c r="P711" s="126"/>
      <c r="Q711" s="171"/>
      <c r="R711" s="173"/>
      <c r="S711" s="172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43"/>
      <c r="AF711" s="143"/>
      <c r="AG711" s="143"/>
      <c r="AH711" s="143"/>
      <c r="AI711" s="143"/>
      <c r="AJ711" s="143"/>
      <c r="AK711" s="143"/>
      <c r="AL711" s="143"/>
      <c r="AM711" s="145"/>
      <c r="AN711" s="143"/>
      <c r="AO711" s="143"/>
    </row>
    <row r="712" spans="3:41">
      <c r="C712" s="136"/>
      <c r="D712" s="136"/>
      <c r="E712" s="19"/>
      <c r="F712" s="15"/>
      <c r="G712" s="138"/>
      <c r="H712" s="138"/>
      <c r="I712" s="126"/>
      <c r="J712" s="15"/>
      <c r="K712" s="15"/>
      <c r="L712" s="20"/>
      <c r="M712" s="20"/>
      <c r="N712" s="126"/>
      <c r="O712" s="126"/>
      <c r="P712" s="126"/>
      <c r="Q712" s="171"/>
      <c r="R712" s="173"/>
      <c r="S712" s="172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43"/>
      <c r="AF712" s="143"/>
      <c r="AG712" s="143"/>
      <c r="AH712" s="143"/>
      <c r="AI712" s="143"/>
      <c r="AJ712" s="143"/>
      <c r="AK712" s="143"/>
      <c r="AL712" s="143"/>
      <c r="AM712" s="145"/>
      <c r="AN712" s="143"/>
      <c r="AO712" s="143"/>
    </row>
    <row r="713" spans="3:41">
      <c r="C713" s="136"/>
      <c r="D713" s="136"/>
      <c r="E713" s="19"/>
      <c r="F713" s="15"/>
      <c r="G713" s="138"/>
      <c r="H713" s="138"/>
      <c r="I713" s="126"/>
      <c r="J713" s="15"/>
      <c r="K713" s="15"/>
      <c r="L713" s="20"/>
      <c r="M713" s="20"/>
      <c r="N713" s="126"/>
      <c r="O713" s="126"/>
      <c r="P713" s="126"/>
      <c r="Q713" s="171"/>
      <c r="R713" s="173"/>
      <c r="S713" s="172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43"/>
      <c r="AF713" s="143"/>
      <c r="AG713" s="143"/>
      <c r="AH713" s="143"/>
      <c r="AI713" s="143"/>
      <c r="AJ713" s="143"/>
      <c r="AK713" s="143"/>
      <c r="AL713" s="143"/>
      <c r="AM713" s="145"/>
      <c r="AN713" s="143"/>
      <c r="AO713" s="143"/>
    </row>
    <row r="714" spans="3:41">
      <c r="C714" s="136"/>
      <c r="D714" s="136"/>
      <c r="E714" s="19"/>
      <c r="F714" s="15"/>
      <c r="G714" s="138"/>
      <c r="H714" s="138"/>
      <c r="I714" s="126"/>
      <c r="J714" s="15"/>
      <c r="K714" s="15"/>
      <c r="L714" s="20"/>
      <c r="M714" s="20"/>
      <c r="N714" s="126"/>
      <c r="O714" s="126"/>
      <c r="P714" s="126"/>
      <c r="Q714" s="171"/>
      <c r="R714" s="173"/>
      <c r="S714" s="172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43"/>
      <c r="AF714" s="143"/>
      <c r="AG714" s="143"/>
      <c r="AH714" s="143"/>
      <c r="AI714" s="143"/>
      <c r="AJ714" s="143"/>
      <c r="AK714" s="143"/>
      <c r="AL714" s="143"/>
      <c r="AM714" s="145"/>
      <c r="AN714" s="143"/>
      <c r="AO714" s="143"/>
    </row>
    <row r="715" spans="3:41">
      <c r="C715" s="136"/>
      <c r="D715" s="136"/>
      <c r="E715" s="19"/>
      <c r="F715" s="15"/>
      <c r="G715" s="138"/>
      <c r="H715" s="138"/>
      <c r="I715" s="126"/>
      <c r="J715" s="15"/>
      <c r="K715" s="15"/>
      <c r="L715" s="20"/>
      <c r="M715" s="20"/>
      <c r="N715" s="126"/>
      <c r="O715" s="126"/>
      <c r="P715" s="126"/>
      <c r="Q715" s="171"/>
      <c r="R715" s="173"/>
      <c r="S715" s="172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43"/>
      <c r="AF715" s="143"/>
      <c r="AG715" s="143"/>
      <c r="AH715" s="143"/>
      <c r="AI715" s="143"/>
      <c r="AJ715" s="143"/>
      <c r="AK715" s="143"/>
      <c r="AL715" s="143"/>
      <c r="AM715" s="145"/>
      <c r="AN715" s="143"/>
      <c r="AO715" s="143"/>
    </row>
    <row r="716" spans="3:41">
      <c r="C716" s="136"/>
      <c r="D716" s="136"/>
      <c r="E716" s="19"/>
      <c r="F716" s="15"/>
      <c r="G716" s="138"/>
      <c r="H716" s="138"/>
      <c r="I716" s="126"/>
      <c r="J716" s="15"/>
      <c r="K716" s="15"/>
      <c r="L716" s="20"/>
      <c r="M716" s="20"/>
      <c r="N716" s="126"/>
      <c r="O716" s="126"/>
      <c r="P716" s="126"/>
      <c r="Q716" s="171"/>
      <c r="R716" s="173"/>
      <c r="S716" s="172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43"/>
      <c r="AF716" s="143"/>
      <c r="AG716" s="143"/>
      <c r="AH716" s="143"/>
      <c r="AI716" s="143"/>
      <c r="AJ716" s="143"/>
      <c r="AK716" s="143"/>
      <c r="AL716" s="143"/>
      <c r="AM716" s="143"/>
      <c r="AN716" s="143"/>
      <c r="AO716" s="143"/>
    </row>
    <row r="717" spans="3:41">
      <c r="C717" s="136"/>
      <c r="D717" s="136"/>
      <c r="E717" s="19"/>
      <c r="F717" s="15"/>
      <c r="G717" s="138"/>
      <c r="H717" s="138"/>
      <c r="I717" s="126"/>
      <c r="J717" s="15"/>
      <c r="K717" s="15"/>
      <c r="L717" s="20"/>
      <c r="M717" s="20"/>
      <c r="N717" s="126"/>
      <c r="O717" s="126"/>
      <c r="P717" s="126"/>
      <c r="Q717" s="171"/>
      <c r="R717" s="173"/>
      <c r="S717" s="172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43"/>
      <c r="AF717" s="143"/>
      <c r="AG717" s="143"/>
      <c r="AH717" s="143"/>
      <c r="AI717" s="143"/>
      <c r="AJ717" s="143"/>
      <c r="AK717" s="143"/>
      <c r="AL717" s="143"/>
      <c r="AM717" s="145"/>
      <c r="AN717" s="143"/>
      <c r="AO717" s="143"/>
    </row>
    <row r="718" spans="3:41">
      <c r="C718" s="136"/>
      <c r="D718" s="136"/>
      <c r="E718" s="19"/>
      <c r="F718" s="15"/>
      <c r="G718" s="138"/>
      <c r="H718" s="138"/>
      <c r="I718" s="126"/>
      <c r="J718" s="15"/>
      <c r="K718" s="15"/>
      <c r="L718" s="20"/>
      <c r="M718" s="20"/>
      <c r="N718" s="126"/>
      <c r="O718" s="126"/>
      <c r="P718" s="126"/>
      <c r="Q718" s="171"/>
      <c r="R718" s="172"/>
      <c r="S718" s="172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43"/>
      <c r="AF718" s="143"/>
      <c r="AG718" s="143"/>
      <c r="AH718" s="143"/>
      <c r="AI718" s="143"/>
      <c r="AJ718" s="143"/>
      <c r="AK718" s="143"/>
      <c r="AL718" s="143"/>
      <c r="AM718" s="145"/>
      <c r="AN718" s="143"/>
      <c r="AO718" s="143"/>
    </row>
    <row r="719" spans="3:41">
      <c r="C719" s="136"/>
      <c r="D719" s="136"/>
      <c r="E719" s="19"/>
      <c r="F719" s="15"/>
      <c r="G719" s="138"/>
      <c r="H719" s="138"/>
      <c r="I719" s="126"/>
      <c r="J719" s="15"/>
      <c r="K719" s="15"/>
      <c r="L719" s="20"/>
      <c r="M719" s="20"/>
      <c r="N719" s="126"/>
      <c r="O719" s="126"/>
      <c r="P719" s="126"/>
      <c r="Q719" s="171"/>
      <c r="R719" s="172"/>
      <c r="S719" s="172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43"/>
      <c r="AF719" s="143"/>
      <c r="AG719" s="143"/>
      <c r="AH719" s="143"/>
      <c r="AI719" s="143"/>
      <c r="AJ719" s="143"/>
      <c r="AK719" s="143"/>
      <c r="AL719" s="143"/>
      <c r="AM719" s="145"/>
      <c r="AN719" s="143"/>
      <c r="AO719" s="143"/>
    </row>
    <row r="720" spans="3:41">
      <c r="C720" s="136"/>
      <c r="D720" s="136"/>
      <c r="E720" s="19"/>
      <c r="F720" s="15"/>
      <c r="G720" s="138"/>
      <c r="H720" s="138"/>
      <c r="I720" s="126"/>
      <c r="J720" s="15"/>
      <c r="K720" s="15"/>
      <c r="L720" s="20"/>
      <c r="M720" s="20"/>
      <c r="N720" s="126"/>
      <c r="O720" s="126"/>
      <c r="P720" s="126"/>
      <c r="Q720" s="171"/>
      <c r="R720" s="172"/>
      <c r="S720" s="172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43"/>
      <c r="AF720" s="143"/>
      <c r="AG720" s="143"/>
      <c r="AH720" s="143"/>
      <c r="AI720" s="143"/>
      <c r="AJ720" s="143"/>
      <c r="AK720" s="143"/>
      <c r="AL720" s="143"/>
      <c r="AM720" s="143"/>
      <c r="AN720" s="143"/>
      <c r="AO720" s="143"/>
    </row>
    <row r="721" spans="3:41">
      <c r="C721" s="136"/>
      <c r="D721" s="136"/>
      <c r="E721" s="19"/>
      <c r="F721" s="15"/>
      <c r="G721" s="138"/>
      <c r="H721" s="138"/>
      <c r="I721" s="126"/>
      <c r="J721" s="15"/>
      <c r="K721" s="15"/>
      <c r="L721" s="20"/>
      <c r="M721" s="20"/>
      <c r="N721" s="126"/>
      <c r="O721" s="126"/>
      <c r="P721" s="126"/>
      <c r="Q721" s="171"/>
      <c r="R721" s="172"/>
      <c r="S721" s="172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43"/>
      <c r="AF721" s="143"/>
      <c r="AG721" s="143"/>
      <c r="AH721" s="143"/>
      <c r="AI721" s="143"/>
      <c r="AJ721" s="143"/>
      <c r="AK721" s="143"/>
      <c r="AL721" s="143"/>
      <c r="AM721" s="145"/>
      <c r="AN721" s="143"/>
      <c r="AO721" s="143"/>
    </row>
    <row r="722" spans="3:41">
      <c r="C722" s="136"/>
      <c r="D722" s="136"/>
      <c r="E722" s="19"/>
      <c r="F722" s="15"/>
      <c r="G722" s="138"/>
      <c r="H722" s="138"/>
      <c r="I722" s="126"/>
      <c r="J722" s="15"/>
      <c r="K722" s="15"/>
      <c r="L722" s="20"/>
      <c r="M722" s="20"/>
      <c r="N722" s="126"/>
      <c r="O722" s="126"/>
      <c r="P722" s="126"/>
      <c r="Q722" s="171"/>
      <c r="R722" s="172"/>
      <c r="S722" s="172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43"/>
      <c r="AF722" s="143"/>
      <c r="AG722" s="143"/>
      <c r="AH722" s="143"/>
      <c r="AI722" s="143"/>
      <c r="AJ722" s="143"/>
      <c r="AK722" s="143"/>
      <c r="AL722" s="143"/>
      <c r="AM722" s="145"/>
      <c r="AN722" s="143"/>
      <c r="AO722" s="143"/>
    </row>
    <row r="723" spans="3:41">
      <c r="C723" s="136"/>
      <c r="D723" s="136"/>
      <c r="E723" s="19"/>
      <c r="F723" s="15"/>
      <c r="G723" s="138"/>
      <c r="H723" s="138"/>
      <c r="I723" s="126"/>
      <c r="J723" s="15"/>
      <c r="K723" s="15"/>
      <c r="L723" s="20"/>
      <c r="M723" s="20"/>
      <c r="N723" s="126"/>
      <c r="O723" s="126"/>
      <c r="P723" s="126"/>
      <c r="Q723" s="171"/>
      <c r="R723" s="172"/>
      <c r="S723" s="172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43"/>
      <c r="AF723" s="143"/>
      <c r="AG723" s="143"/>
      <c r="AH723" s="143"/>
      <c r="AI723" s="143"/>
      <c r="AJ723" s="143"/>
      <c r="AK723" s="143"/>
      <c r="AL723" s="143"/>
      <c r="AM723" s="145"/>
      <c r="AN723" s="143"/>
      <c r="AO723" s="143"/>
    </row>
    <row r="724" spans="3:41">
      <c r="C724" s="136"/>
      <c r="D724" s="136"/>
      <c r="E724" s="19"/>
      <c r="F724" s="15"/>
      <c r="G724" s="138"/>
      <c r="H724" s="138"/>
      <c r="I724" s="126"/>
      <c r="J724" s="15"/>
      <c r="K724" s="15"/>
      <c r="L724" s="20"/>
      <c r="M724" s="20"/>
      <c r="N724" s="126"/>
      <c r="O724" s="126"/>
      <c r="P724" s="126"/>
      <c r="Q724" s="171"/>
      <c r="R724" s="172"/>
      <c r="S724" s="172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43"/>
      <c r="AF724" s="143"/>
      <c r="AG724" s="143"/>
      <c r="AH724" s="143"/>
      <c r="AI724" s="143"/>
      <c r="AJ724" s="143"/>
      <c r="AK724" s="143"/>
      <c r="AL724" s="143"/>
      <c r="AM724" s="143"/>
      <c r="AN724" s="143"/>
      <c r="AO724" s="143"/>
    </row>
    <row r="725" spans="3:41">
      <c r="C725" s="136"/>
      <c r="D725" s="136"/>
      <c r="E725" s="19"/>
      <c r="F725" s="15"/>
      <c r="G725" s="138"/>
      <c r="H725" s="138"/>
      <c r="I725" s="126"/>
      <c r="J725" s="15"/>
      <c r="K725" s="15"/>
      <c r="L725" s="20"/>
      <c r="M725" s="20"/>
      <c r="N725" s="126"/>
      <c r="O725" s="126"/>
      <c r="P725" s="126"/>
      <c r="Q725" s="171"/>
      <c r="R725" s="172"/>
      <c r="S725" s="172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43"/>
      <c r="AF725" s="143"/>
      <c r="AG725" s="143"/>
      <c r="AH725" s="143"/>
      <c r="AI725" s="143"/>
      <c r="AJ725" s="143"/>
      <c r="AK725" s="143"/>
      <c r="AL725" s="143"/>
      <c r="AM725" s="145"/>
      <c r="AN725" s="143"/>
      <c r="AO725" s="143"/>
    </row>
    <row r="726" spans="3:41">
      <c r="C726" s="136"/>
      <c r="D726" s="136"/>
      <c r="E726" s="19"/>
      <c r="F726" s="15"/>
      <c r="G726" s="138"/>
      <c r="H726" s="138"/>
      <c r="I726" s="126"/>
      <c r="J726" s="15"/>
      <c r="K726" s="15"/>
      <c r="L726" s="20"/>
      <c r="M726" s="20"/>
      <c r="N726" s="126"/>
      <c r="O726" s="126"/>
      <c r="P726" s="126"/>
      <c r="Q726" s="171"/>
      <c r="R726" s="172"/>
      <c r="S726" s="172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43"/>
      <c r="AF726" s="143"/>
      <c r="AG726" s="143"/>
      <c r="AH726" s="143"/>
      <c r="AI726" s="143"/>
      <c r="AJ726" s="143"/>
      <c r="AK726" s="143"/>
      <c r="AL726" s="143"/>
      <c r="AM726" s="143"/>
      <c r="AN726" s="143"/>
      <c r="AO726" s="143"/>
    </row>
    <row r="727" spans="3:41">
      <c r="C727" s="136"/>
      <c r="D727" s="136"/>
      <c r="E727" s="19"/>
      <c r="F727" s="15"/>
      <c r="G727" s="138"/>
      <c r="H727" s="138"/>
      <c r="I727" s="126"/>
      <c r="J727" s="15"/>
      <c r="K727" s="15"/>
      <c r="L727" s="20"/>
      <c r="M727" s="20"/>
      <c r="N727" s="126"/>
      <c r="O727" s="126"/>
      <c r="P727" s="126"/>
      <c r="Q727" s="171"/>
      <c r="R727" s="172"/>
      <c r="S727" s="172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43"/>
      <c r="AF727" s="143"/>
      <c r="AG727" s="143"/>
      <c r="AH727" s="143"/>
      <c r="AI727" s="143"/>
      <c r="AJ727" s="143"/>
      <c r="AK727" s="143"/>
      <c r="AL727" s="158"/>
      <c r="AM727" s="143"/>
      <c r="AN727" s="143"/>
      <c r="AO727" s="143"/>
    </row>
    <row r="728" spans="3:41">
      <c r="C728" s="136"/>
      <c r="D728" s="136"/>
      <c r="E728" s="19"/>
      <c r="F728" s="15"/>
      <c r="G728" s="138"/>
      <c r="H728" s="138"/>
      <c r="I728" s="126"/>
      <c r="J728" s="15"/>
      <c r="K728" s="15"/>
      <c r="L728" s="20"/>
      <c r="M728" s="20"/>
      <c r="N728" s="126"/>
      <c r="O728" s="126"/>
      <c r="P728" s="126"/>
      <c r="Q728" s="171"/>
      <c r="R728" s="172"/>
      <c r="S728" s="172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43"/>
      <c r="AF728" s="143"/>
      <c r="AG728" s="143"/>
      <c r="AH728" s="143"/>
      <c r="AI728" s="143"/>
      <c r="AJ728" s="143"/>
      <c r="AK728" s="143"/>
      <c r="AL728" s="158"/>
      <c r="AM728" s="143"/>
      <c r="AN728" s="143"/>
      <c r="AO728" s="143"/>
    </row>
    <row r="729" spans="3:41">
      <c r="C729" s="136"/>
      <c r="D729" s="136"/>
      <c r="E729" s="19"/>
      <c r="F729" s="15"/>
      <c r="G729" s="138"/>
      <c r="H729" s="138"/>
      <c r="I729" s="126"/>
      <c r="J729" s="15"/>
      <c r="K729" s="15"/>
      <c r="L729" s="20"/>
      <c r="M729" s="20"/>
      <c r="N729" s="126"/>
      <c r="O729" s="126"/>
      <c r="P729" s="126"/>
      <c r="Q729" s="171"/>
      <c r="R729" s="172"/>
      <c r="S729" s="172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43"/>
      <c r="AF729" s="143"/>
      <c r="AG729" s="143"/>
      <c r="AH729" s="143"/>
      <c r="AI729" s="143"/>
      <c r="AJ729" s="143"/>
      <c r="AK729" s="143"/>
      <c r="AL729" s="158"/>
      <c r="AM729" s="143"/>
      <c r="AN729" s="143"/>
      <c r="AO729" s="144"/>
    </row>
    <row r="730" spans="3:41">
      <c r="C730" s="136"/>
      <c r="D730" s="136"/>
      <c r="E730" s="19"/>
      <c r="F730" s="15"/>
      <c r="G730" s="138"/>
      <c r="H730" s="138"/>
      <c r="I730" s="126"/>
      <c r="J730" s="15"/>
      <c r="K730" s="15"/>
      <c r="L730" s="20"/>
      <c r="M730" s="20"/>
      <c r="N730" s="126"/>
      <c r="O730" s="126"/>
      <c r="P730" s="126"/>
      <c r="Q730" s="171"/>
      <c r="R730" s="172"/>
      <c r="S730" s="172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43"/>
      <c r="AF730" s="143"/>
      <c r="AG730" s="143"/>
      <c r="AH730" s="143"/>
      <c r="AI730" s="143"/>
      <c r="AJ730" s="143"/>
      <c r="AK730" s="143"/>
      <c r="AL730" s="143"/>
      <c r="AM730" s="143"/>
      <c r="AN730" s="143"/>
      <c r="AO730" s="144"/>
    </row>
    <row r="731" spans="3:41">
      <c r="C731" s="136"/>
      <c r="D731" s="136"/>
      <c r="E731" s="19"/>
      <c r="F731" s="15"/>
      <c r="G731" s="138"/>
      <c r="H731" s="138"/>
      <c r="I731" s="126"/>
      <c r="J731" s="15"/>
      <c r="K731" s="15"/>
      <c r="L731" s="20"/>
      <c r="M731" s="20"/>
      <c r="N731" s="126"/>
      <c r="O731" s="126"/>
      <c r="P731" s="126"/>
      <c r="Q731" s="171"/>
      <c r="R731" s="172"/>
      <c r="S731" s="172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43"/>
      <c r="AF731" s="143"/>
      <c r="AG731" s="143"/>
      <c r="AH731" s="143"/>
      <c r="AI731" s="143"/>
      <c r="AJ731" s="143"/>
      <c r="AK731" s="143"/>
      <c r="AL731" s="143"/>
      <c r="AM731" s="145"/>
      <c r="AN731" s="143"/>
      <c r="AO731" s="144"/>
    </row>
    <row r="732" spans="3:41">
      <c r="C732" s="136"/>
      <c r="D732" s="136"/>
      <c r="E732" s="19"/>
      <c r="F732" s="15"/>
      <c r="G732" s="138"/>
      <c r="H732" s="138"/>
      <c r="I732" s="126"/>
      <c r="J732" s="15"/>
      <c r="K732" s="15"/>
      <c r="L732" s="20"/>
      <c r="M732" s="20"/>
      <c r="N732" s="126"/>
      <c r="O732" s="126"/>
      <c r="P732" s="126"/>
      <c r="Q732" s="171"/>
      <c r="R732" s="172"/>
      <c r="S732" s="172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43"/>
      <c r="AF732" s="143"/>
      <c r="AG732" s="143"/>
      <c r="AH732" s="143"/>
      <c r="AI732" s="143"/>
      <c r="AJ732" s="143"/>
      <c r="AK732" s="143"/>
      <c r="AL732" s="143"/>
      <c r="AM732" s="145"/>
      <c r="AN732" s="143"/>
      <c r="AO732" s="144"/>
    </row>
    <row r="733" spans="3:41">
      <c r="C733" s="136"/>
      <c r="D733" s="136"/>
      <c r="E733" s="19"/>
      <c r="F733" s="15"/>
      <c r="G733" s="138"/>
      <c r="H733" s="138"/>
      <c r="I733" s="126"/>
      <c r="J733" s="15"/>
      <c r="K733" s="15"/>
      <c r="L733" s="20"/>
      <c r="M733" s="20"/>
      <c r="N733" s="126"/>
      <c r="O733" s="126"/>
      <c r="P733" s="126"/>
      <c r="Q733" s="171"/>
      <c r="R733" s="172"/>
      <c r="S733" s="172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43"/>
      <c r="AF733" s="143"/>
      <c r="AG733" s="143"/>
      <c r="AH733" s="143"/>
      <c r="AI733" s="143"/>
      <c r="AJ733" s="143"/>
      <c r="AK733" s="143"/>
      <c r="AL733" s="143"/>
      <c r="AM733" s="145"/>
      <c r="AN733" s="143"/>
      <c r="AO733" s="144"/>
    </row>
    <row r="734" spans="3:41">
      <c r="C734" s="136"/>
      <c r="D734" s="136"/>
      <c r="E734" s="19"/>
      <c r="F734" s="15"/>
      <c r="G734" s="138"/>
      <c r="H734" s="138"/>
      <c r="I734" s="126"/>
      <c r="J734" s="15"/>
      <c r="K734" s="15"/>
      <c r="L734" s="20"/>
      <c r="M734" s="20"/>
      <c r="N734" s="126"/>
      <c r="O734" s="126"/>
      <c r="P734" s="126"/>
      <c r="Q734" s="171"/>
      <c r="R734" s="172"/>
      <c r="S734" s="172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43"/>
      <c r="AF734" s="143"/>
      <c r="AG734" s="143"/>
      <c r="AH734" s="143"/>
      <c r="AI734" s="143"/>
      <c r="AJ734" s="143"/>
      <c r="AK734" s="143"/>
      <c r="AL734" s="143"/>
      <c r="AM734" s="143"/>
      <c r="AN734" s="143"/>
      <c r="AO734" s="147"/>
    </row>
    <row r="735" spans="3:41">
      <c r="C735" s="136"/>
      <c r="D735" s="136"/>
      <c r="E735" s="19"/>
      <c r="F735" s="15"/>
      <c r="G735" s="138"/>
      <c r="H735" s="138"/>
      <c r="I735" s="126"/>
      <c r="J735" s="15"/>
      <c r="K735" s="15"/>
      <c r="L735" s="20"/>
      <c r="M735" s="20"/>
      <c r="N735" s="126"/>
      <c r="O735" s="126"/>
      <c r="P735" s="126"/>
      <c r="Q735" s="171"/>
      <c r="R735" s="172"/>
      <c r="S735" s="172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43"/>
      <c r="AF735" s="143"/>
      <c r="AG735" s="143"/>
      <c r="AH735" s="143"/>
      <c r="AI735" s="143"/>
      <c r="AJ735" s="143"/>
      <c r="AK735" s="143"/>
      <c r="AL735" s="158"/>
      <c r="AM735" s="145"/>
      <c r="AN735" s="143"/>
      <c r="AO735" s="147"/>
    </row>
    <row r="736" spans="3:41">
      <c r="C736" s="136"/>
      <c r="D736" s="136"/>
      <c r="E736" s="19"/>
      <c r="F736" s="15"/>
      <c r="G736" s="138"/>
      <c r="H736" s="138"/>
      <c r="I736" s="126"/>
      <c r="J736" s="15"/>
      <c r="K736" s="15"/>
      <c r="L736" s="20"/>
      <c r="M736" s="20"/>
      <c r="N736" s="126"/>
      <c r="O736" s="126"/>
      <c r="P736" s="126"/>
      <c r="Q736" s="171"/>
      <c r="R736" s="172"/>
      <c r="S736" s="172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43"/>
      <c r="AF736" s="143"/>
      <c r="AG736" s="143"/>
      <c r="AH736" s="143"/>
      <c r="AI736" s="143"/>
      <c r="AJ736" s="143"/>
      <c r="AK736" s="143"/>
      <c r="AL736" s="143"/>
      <c r="AM736" s="145"/>
      <c r="AN736" s="143"/>
      <c r="AO736" s="147"/>
    </row>
    <row r="737" spans="3:41">
      <c r="C737" s="136"/>
      <c r="D737" s="136"/>
      <c r="E737" s="19"/>
      <c r="F737" s="15"/>
      <c r="G737" s="138"/>
      <c r="H737" s="138"/>
      <c r="I737" s="126"/>
      <c r="J737" s="15"/>
      <c r="K737" s="15"/>
      <c r="L737" s="20"/>
      <c r="M737" s="20"/>
      <c r="N737" s="126"/>
      <c r="O737" s="126"/>
      <c r="P737" s="126"/>
      <c r="Q737" s="171"/>
      <c r="R737" s="172"/>
      <c r="S737" s="172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43"/>
      <c r="AF737" s="143"/>
      <c r="AG737" s="143"/>
      <c r="AH737" s="143"/>
      <c r="AI737" s="143"/>
      <c r="AJ737" s="143"/>
      <c r="AK737" s="143"/>
      <c r="AL737" s="143"/>
      <c r="AM737" s="145"/>
      <c r="AN737" s="151"/>
      <c r="AO737" s="147"/>
    </row>
    <row r="738" spans="3:41">
      <c r="C738" s="136"/>
      <c r="D738" s="136"/>
      <c r="E738" s="19"/>
      <c r="F738" s="15"/>
      <c r="G738" s="138"/>
      <c r="H738" s="138"/>
      <c r="I738" s="126"/>
      <c r="J738" s="15"/>
      <c r="K738" s="15"/>
      <c r="L738" s="20"/>
      <c r="M738" s="20"/>
      <c r="N738" s="126"/>
      <c r="O738" s="126"/>
      <c r="P738" s="126"/>
      <c r="Q738" s="171"/>
      <c r="R738" s="172"/>
      <c r="S738" s="172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43"/>
      <c r="AF738" s="143"/>
      <c r="AG738" s="143"/>
      <c r="AH738" s="143"/>
      <c r="AI738" s="143"/>
      <c r="AJ738" s="143"/>
      <c r="AK738" s="143"/>
      <c r="AL738" s="158"/>
      <c r="AM738" s="143"/>
      <c r="AN738" s="143"/>
      <c r="AO738" s="144"/>
    </row>
    <row r="739" spans="3:41">
      <c r="C739" s="136"/>
      <c r="D739" s="136"/>
      <c r="E739" s="19"/>
      <c r="F739" s="15"/>
      <c r="G739" s="138"/>
      <c r="H739" s="138"/>
      <c r="I739" s="126"/>
      <c r="J739" s="15"/>
      <c r="K739" s="15"/>
      <c r="L739" s="20"/>
      <c r="M739" s="20"/>
      <c r="N739" s="126"/>
      <c r="O739" s="126"/>
      <c r="P739" s="126"/>
      <c r="Q739" s="171"/>
      <c r="R739" s="172"/>
      <c r="S739" s="172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43"/>
      <c r="AF739" s="143"/>
      <c r="AG739" s="143"/>
      <c r="AH739" s="143"/>
      <c r="AI739" s="143"/>
      <c r="AJ739" s="143"/>
      <c r="AK739" s="143"/>
      <c r="AL739" s="158"/>
      <c r="AM739" s="145"/>
      <c r="AN739" s="143"/>
      <c r="AO739" s="144"/>
    </row>
    <row r="740" spans="3:41">
      <c r="C740" s="136"/>
      <c r="D740" s="136"/>
      <c r="E740" s="19"/>
      <c r="F740" s="15"/>
      <c r="G740" s="138"/>
      <c r="H740" s="138"/>
      <c r="I740" s="126"/>
      <c r="J740" s="15"/>
      <c r="K740" s="15"/>
      <c r="L740" s="20"/>
      <c r="M740" s="20"/>
      <c r="N740" s="126"/>
      <c r="O740" s="126"/>
      <c r="P740" s="126"/>
      <c r="Q740" s="171"/>
      <c r="R740" s="172"/>
      <c r="S740" s="172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43"/>
      <c r="AF740" s="143"/>
      <c r="AG740" s="143"/>
      <c r="AH740" s="143"/>
      <c r="AI740" s="186"/>
      <c r="AJ740" s="143"/>
      <c r="AK740" s="143"/>
      <c r="AL740" s="158"/>
      <c r="AM740" s="145"/>
      <c r="AN740" s="143"/>
      <c r="AO740" s="144"/>
    </row>
    <row r="741" spans="3:41">
      <c r="C741" s="136"/>
      <c r="D741" s="136"/>
      <c r="E741" s="19"/>
      <c r="F741" s="15"/>
      <c r="G741" s="138"/>
      <c r="H741" s="138"/>
      <c r="I741" s="126"/>
      <c r="J741" s="15"/>
      <c r="K741" s="15"/>
      <c r="L741" s="20"/>
      <c r="M741" s="20"/>
      <c r="N741" s="126"/>
      <c r="O741" s="126"/>
      <c r="P741" s="126"/>
      <c r="Q741" s="171"/>
      <c r="R741" s="172"/>
      <c r="S741" s="172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43"/>
      <c r="AF741" s="143"/>
      <c r="AG741" s="143"/>
      <c r="AH741" s="143"/>
      <c r="AI741" s="186"/>
      <c r="AJ741" s="143"/>
      <c r="AK741" s="143"/>
      <c r="AL741" s="143"/>
      <c r="AM741" s="145"/>
      <c r="AN741" s="143"/>
      <c r="AO741" s="144"/>
    </row>
    <row r="742" spans="3:41">
      <c r="C742" s="136"/>
      <c r="D742" s="136"/>
      <c r="E742" s="19"/>
      <c r="F742" s="15"/>
      <c r="G742" s="138"/>
      <c r="H742" s="138"/>
      <c r="I742" s="126"/>
      <c r="J742" s="15"/>
      <c r="K742" s="15"/>
      <c r="L742" s="20"/>
      <c r="M742" s="20"/>
      <c r="N742" s="126"/>
      <c r="O742" s="126"/>
      <c r="P742" s="126"/>
      <c r="Q742" s="171"/>
      <c r="R742" s="172"/>
      <c r="S742" s="172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43"/>
      <c r="AF742" s="143"/>
      <c r="AG742" s="143"/>
      <c r="AH742" s="143"/>
      <c r="AI742" s="186"/>
      <c r="AJ742" s="143"/>
      <c r="AK742" s="143"/>
      <c r="AL742" s="143"/>
      <c r="AM742" s="145"/>
      <c r="AN742" s="143"/>
      <c r="AO742" s="147"/>
    </row>
    <row r="743" spans="3:41">
      <c r="C743" s="136"/>
      <c r="D743" s="136"/>
      <c r="E743" s="19"/>
      <c r="F743" s="15"/>
      <c r="G743" s="138"/>
      <c r="H743" s="138"/>
      <c r="I743" s="126"/>
      <c r="J743" s="15"/>
      <c r="K743" s="15"/>
      <c r="L743" s="20"/>
      <c r="M743" s="20"/>
      <c r="N743" s="126"/>
      <c r="O743" s="126"/>
      <c r="P743" s="126"/>
      <c r="Q743" s="171"/>
      <c r="R743" s="172"/>
      <c r="S743" s="172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43"/>
      <c r="AF743" s="143"/>
      <c r="AG743" s="143"/>
      <c r="AH743" s="143"/>
      <c r="AI743" s="186"/>
      <c r="AJ743" s="143"/>
      <c r="AK743" s="143"/>
      <c r="AL743" s="143"/>
      <c r="AM743" s="145"/>
      <c r="AN743" s="143"/>
      <c r="AO743" s="144"/>
    </row>
    <row r="744" spans="3:41">
      <c r="C744" s="136"/>
      <c r="D744" s="136"/>
      <c r="E744" s="19"/>
      <c r="F744" s="15"/>
      <c r="G744" s="138"/>
      <c r="H744" s="138"/>
      <c r="I744" s="126"/>
      <c r="J744" s="15"/>
      <c r="K744" s="15"/>
      <c r="L744" s="20"/>
      <c r="M744" s="20"/>
      <c r="N744" s="126"/>
      <c r="O744" s="126"/>
      <c r="P744" s="126"/>
      <c r="Q744" s="171"/>
      <c r="R744" s="172"/>
      <c r="S744" s="172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43"/>
      <c r="AF744" s="143"/>
      <c r="AG744" s="143"/>
      <c r="AH744" s="143"/>
      <c r="AI744" s="186"/>
      <c r="AJ744" s="143"/>
      <c r="AK744" s="143"/>
      <c r="AL744" s="143"/>
      <c r="AM744" s="145"/>
      <c r="AN744" s="143"/>
      <c r="AO744" s="144"/>
    </row>
    <row r="745" spans="3:41">
      <c r="C745" s="136"/>
      <c r="D745" s="136"/>
      <c r="E745" s="19"/>
      <c r="F745" s="15"/>
      <c r="G745" s="138"/>
      <c r="H745" s="138"/>
      <c r="I745" s="126"/>
      <c r="J745" s="15"/>
      <c r="K745" s="15"/>
      <c r="L745" s="20"/>
      <c r="M745" s="20"/>
      <c r="N745" s="126"/>
      <c r="O745" s="126"/>
      <c r="P745" s="126"/>
      <c r="Q745" s="171"/>
      <c r="R745" s="172"/>
      <c r="S745" s="172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43"/>
      <c r="AF745" s="143"/>
      <c r="AG745" s="143"/>
      <c r="AH745" s="143"/>
      <c r="AI745" s="186"/>
      <c r="AJ745" s="143"/>
      <c r="AK745" s="143"/>
      <c r="AL745" s="143"/>
      <c r="AM745" s="145"/>
      <c r="AN745" s="143"/>
      <c r="AO745" s="147"/>
    </row>
    <row r="746" spans="3:41">
      <c r="C746" s="136"/>
      <c r="D746" s="136"/>
      <c r="E746" s="19"/>
      <c r="F746" s="15"/>
      <c r="G746" s="138"/>
      <c r="H746" s="138"/>
      <c r="I746" s="126"/>
      <c r="J746" s="15"/>
      <c r="K746" s="15"/>
      <c r="L746" s="20"/>
      <c r="M746" s="20"/>
      <c r="N746" s="126"/>
      <c r="O746" s="126"/>
      <c r="P746" s="126"/>
      <c r="Q746" s="171"/>
      <c r="R746" s="172"/>
      <c r="S746" s="172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43"/>
      <c r="AF746" s="143"/>
      <c r="AG746" s="143"/>
      <c r="AH746" s="143"/>
      <c r="AI746" s="143"/>
      <c r="AJ746" s="143"/>
      <c r="AK746" s="143"/>
      <c r="AL746" s="143"/>
      <c r="AM746" s="145"/>
      <c r="AN746" s="143"/>
      <c r="AO746" s="144"/>
    </row>
    <row r="747" spans="3:41">
      <c r="C747" s="136"/>
      <c r="D747" s="136"/>
      <c r="E747" s="19"/>
      <c r="F747" s="15"/>
      <c r="G747" s="138"/>
      <c r="H747" s="138"/>
      <c r="I747" s="126"/>
      <c r="J747" s="15"/>
      <c r="K747" s="15"/>
      <c r="L747" s="20"/>
      <c r="M747" s="20"/>
      <c r="N747" s="126"/>
      <c r="O747" s="126"/>
      <c r="P747" s="126"/>
      <c r="Q747" s="171"/>
      <c r="R747" s="172"/>
      <c r="S747" s="172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43"/>
      <c r="AF747" s="143"/>
      <c r="AG747" s="143"/>
      <c r="AH747" s="143"/>
      <c r="AI747" s="143"/>
      <c r="AJ747" s="143"/>
      <c r="AK747" s="143"/>
      <c r="AL747" s="143"/>
      <c r="AM747" s="145"/>
      <c r="AN747" s="143"/>
      <c r="AO747" s="147"/>
    </row>
    <row r="748" spans="3:41">
      <c r="C748" s="136"/>
      <c r="D748" s="136"/>
      <c r="E748" s="19"/>
      <c r="F748" s="15"/>
      <c r="G748" s="138"/>
      <c r="H748" s="138"/>
      <c r="I748" s="126"/>
      <c r="J748" s="15"/>
      <c r="K748" s="15"/>
      <c r="L748" s="20"/>
      <c r="M748" s="20"/>
      <c r="N748" s="126"/>
      <c r="O748" s="126"/>
      <c r="P748" s="126"/>
      <c r="Q748" s="171"/>
      <c r="R748" s="172"/>
      <c r="S748" s="172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43"/>
      <c r="AF748" s="143"/>
      <c r="AG748" s="143"/>
      <c r="AH748" s="143"/>
      <c r="AI748" s="143"/>
      <c r="AJ748" s="143"/>
      <c r="AK748" s="143"/>
      <c r="AL748" s="143"/>
      <c r="AM748" s="145"/>
      <c r="AN748" s="143"/>
      <c r="AO748" s="144"/>
    </row>
    <row r="749" spans="3:41">
      <c r="C749" s="136"/>
      <c r="D749" s="136"/>
      <c r="E749" s="19"/>
      <c r="F749" s="15"/>
      <c r="G749" s="138"/>
      <c r="H749" s="138"/>
      <c r="I749" s="126"/>
      <c r="J749" s="15"/>
      <c r="K749" s="15"/>
      <c r="L749" s="20"/>
      <c r="M749" s="20"/>
      <c r="N749" s="126"/>
      <c r="O749" s="126"/>
      <c r="P749" s="126"/>
      <c r="Q749" s="171"/>
      <c r="R749" s="172"/>
      <c r="S749" s="172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43"/>
      <c r="AF749" s="143"/>
      <c r="AG749" s="143"/>
      <c r="AH749" s="143"/>
      <c r="AI749" s="143"/>
      <c r="AJ749" s="143"/>
      <c r="AK749" s="143"/>
      <c r="AL749" s="143"/>
      <c r="AM749" s="145"/>
      <c r="AN749" s="143"/>
      <c r="AO749" s="144"/>
    </row>
    <row r="750" spans="3:41">
      <c r="C750" s="136"/>
      <c r="D750" s="136"/>
      <c r="E750" s="19"/>
      <c r="F750" s="15"/>
      <c r="G750" s="138"/>
      <c r="H750" s="138"/>
      <c r="I750" s="126"/>
      <c r="J750" s="15"/>
      <c r="K750" s="15"/>
      <c r="L750" s="20"/>
      <c r="M750" s="20"/>
      <c r="N750" s="126"/>
      <c r="O750" s="126"/>
      <c r="P750" s="126"/>
      <c r="Q750" s="171"/>
      <c r="R750" s="172"/>
      <c r="S750" s="172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43"/>
      <c r="AF750" s="143"/>
      <c r="AG750" s="143"/>
      <c r="AH750" s="143"/>
      <c r="AI750" s="143"/>
      <c r="AJ750" s="143"/>
      <c r="AK750" s="143"/>
      <c r="AL750" s="143"/>
      <c r="AM750" s="145"/>
      <c r="AN750" s="143"/>
      <c r="AO750" s="144"/>
    </row>
    <row r="751" spans="3:41">
      <c r="C751" s="136"/>
      <c r="D751" s="136"/>
      <c r="E751" s="19"/>
      <c r="F751" s="15"/>
      <c r="G751" s="138"/>
      <c r="H751" s="138"/>
      <c r="I751" s="126"/>
      <c r="J751" s="15"/>
      <c r="K751" s="15"/>
      <c r="L751" s="20"/>
      <c r="M751" s="20"/>
      <c r="N751" s="126"/>
      <c r="O751" s="126"/>
      <c r="P751" s="126"/>
      <c r="Q751" s="171"/>
      <c r="R751" s="172"/>
      <c r="S751" s="172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43"/>
      <c r="AF751" s="143"/>
      <c r="AG751" s="143"/>
      <c r="AH751" s="143"/>
      <c r="AI751" s="143"/>
      <c r="AJ751" s="143"/>
      <c r="AK751" s="143"/>
      <c r="AL751" s="143"/>
      <c r="AM751" s="145"/>
      <c r="AN751" s="143"/>
      <c r="AO751" s="144"/>
    </row>
    <row r="752" spans="3:41">
      <c r="C752" s="136"/>
      <c r="D752" s="136"/>
      <c r="E752" s="19"/>
      <c r="F752" s="15"/>
      <c r="G752" s="138"/>
      <c r="H752" s="138"/>
      <c r="I752" s="126"/>
      <c r="J752" s="15"/>
      <c r="K752" s="15"/>
      <c r="L752" s="20"/>
      <c r="M752" s="20"/>
      <c r="N752" s="126"/>
      <c r="O752" s="126"/>
      <c r="P752" s="126"/>
      <c r="Q752" s="171"/>
      <c r="R752" s="172"/>
      <c r="S752" s="172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43"/>
      <c r="AF752" s="143"/>
      <c r="AG752" s="143"/>
      <c r="AH752" s="143"/>
      <c r="AI752" s="143"/>
      <c r="AJ752" s="143"/>
      <c r="AK752" s="143"/>
      <c r="AL752" s="143"/>
      <c r="AM752" s="145"/>
      <c r="AN752" s="143"/>
      <c r="AO752" s="147"/>
    </row>
    <row r="753" spans="3:41">
      <c r="C753" s="136"/>
      <c r="D753" s="136"/>
      <c r="E753" s="19"/>
      <c r="F753" s="15"/>
      <c r="G753" s="138"/>
      <c r="H753" s="138"/>
      <c r="I753" s="126"/>
      <c r="J753" s="15"/>
      <c r="K753" s="15"/>
      <c r="L753" s="20"/>
      <c r="M753" s="20"/>
      <c r="N753" s="126"/>
      <c r="O753" s="126"/>
      <c r="P753" s="126"/>
      <c r="Q753" s="171"/>
      <c r="R753" s="172"/>
      <c r="S753" s="172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43"/>
      <c r="AF753" s="143"/>
      <c r="AG753" s="143"/>
      <c r="AH753" s="143"/>
      <c r="AI753" s="143"/>
      <c r="AJ753" s="143"/>
      <c r="AK753" s="143"/>
      <c r="AL753" s="143"/>
      <c r="AM753" s="145"/>
      <c r="AN753" s="143"/>
      <c r="AO753" s="157"/>
    </row>
    <row r="754" spans="3:41">
      <c r="C754" s="136"/>
      <c r="D754" s="136"/>
      <c r="E754" s="19"/>
      <c r="F754" s="15"/>
      <c r="G754" s="138"/>
      <c r="H754" s="138"/>
      <c r="I754" s="126"/>
      <c r="J754" s="15"/>
      <c r="K754" s="15"/>
      <c r="L754" s="20"/>
      <c r="M754" s="20"/>
      <c r="N754" s="126"/>
      <c r="O754" s="126"/>
      <c r="P754" s="126"/>
      <c r="Q754" s="171"/>
      <c r="R754" s="172"/>
      <c r="S754" s="172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43"/>
      <c r="AF754" s="143"/>
      <c r="AG754" s="143"/>
      <c r="AH754" s="143"/>
      <c r="AI754" s="143"/>
      <c r="AJ754" s="143"/>
      <c r="AK754" s="143"/>
      <c r="AL754" s="143"/>
      <c r="AM754" s="145"/>
      <c r="AN754" s="143"/>
      <c r="AO754" s="147"/>
    </row>
    <row r="755" spans="3:41">
      <c r="C755" s="136"/>
      <c r="D755" s="136"/>
      <c r="E755" s="19"/>
      <c r="F755" s="15"/>
      <c r="G755" s="138"/>
      <c r="H755" s="138"/>
      <c r="I755" s="126"/>
      <c r="J755" s="15"/>
      <c r="K755" s="15"/>
      <c r="L755" s="20"/>
      <c r="M755" s="20"/>
      <c r="N755" s="126"/>
      <c r="O755" s="126"/>
      <c r="P755" s="126"/>
      <c r="Q755" s="171"/>
      <c r="R755" s="172"/>
      <c r="S755" s="172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43"/>
      <c r="AF755" s="143"/>
      <c r="AG755" s="143"/>
      <c r="AH755" s="143"/>
      <c r="AI755" s="143"/>
      <c r="AJ755" s="143"/>
      <c r="AK755" s="143"/>
      <c r="AL755" s="143"/>
      <c r="AM755" s="143"/>
      <c r="AN755" s="143"/>
      <c r="AO755" s="144"/>
    </row>
    <row r="756" spans="3:41">
      <c r="C756" s="136"/>
      <c r="D756" s="136"/>
      <c r="E756" s="19"/>
      <c r="F756" s="15"/>
      <c r="G756" s="138"/>
      <c r="H756" s="138"/>
      <c r="I756" s="126"/>
      <c r="J756" s="15"/>
      <c r="K756" s="15"/>
      <c r="L756" s="20"/>
      <c r="M756" s="20"/>
      <c r="N756" s="126"/>
      <c r="O756" s="126"/>
      <c r="P756" s="126"/>
      <c r="Q756" s="171"/>
      <c r="R756" s="172"/>
      <c r="S756" s="172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43"/>
      <c r="AF756" s="143"/>
      <c r="AG756" s="143"/>
      <c r="AH756" s="143"/>
      <c r="AI756" s="143"/>
      <c r="AJ756" s="143"/>
      <c r="AK756" s="143"/>
      <c r="AL756" s="143"/>
      <c r="AM756" s="143"/>
      <c r="AN756" s="143"/>
      <c r="AO756" s="143"/>
    </row>
    <row r="757" spans="3:41">
      <c r="C757" s="136"/>
      <c r="D757" s="136"/>
      <c r="E757" s="19"/>
      <c r="F757" s="15"/>
      <c r="G757" s="138"/>
      <c r="H757" s="138"/>
      <c r="I757" s="126"/>
      <c r="J757" s="15"/>
      <c r="K757" s="15"/>
      <c r="L757" s="20"/>
      <c r="M757" s="20"/>
      <c r="N757" s="126"/>
      <c r="O757" s="126"/>
      <c r="P757" s="126"/>
      <c r="Q757" s="171"/>
      <c r="R757" s="172"/>
      <c r="S757" s="172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43"/>
      <c r="AF757" s="143"/>
      <c r="AG757" s="143"/>
      <c r="AH757" s="143"/>
      <c r="AI757" s="143"/>
      <c r="AJ757" s="143"/>
      <c r="AK757" s="143"/>
      <c r="AL757" s="143"/>
      <c r="AM757" s="143"/>
      <c r="AN757" s="143"/>
      <c r="AO757" s="147"/>
    </row>
    <row r="758" spans="3:41">
      <c r="C758" s="136"/>
      <c r="D758" s="136"/>
      <c r="E758" s="19"/>
      <c r="F758" s="15"/>
      <c r="G758" s="138"/>
      <c r="H758" s="138"/>
      <c r="I758" s="126"/>
      <c r="J758" s="15"/>
      <c r="K758" s="15"/>
      <c r="L758" s="20"/>
      <c r="M758" s="20"/>
      <c r="N758" s="126"/>
      <c r="O758" s="126"/>
      <c r="P758" s="126"/>
      <c r="Q758" s="171"/>
      <c r="R758" s="172"/>
      <c r="S758" s="172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43"/>
      <c r="AF758" s="143"/>
      <c r="AG758" s="143"/>
      <c r="AH758" s="143"/>
      <c r="AI758" s="143"/>
      <c r="AJ758" s="143"/>
      <c r="AK758" s="143"/>
      <c r="AL758" s="143"/>
      <c r="AM758" s="143"/>
      <c r="AN758" s="143"/>
      <c r="AO758" s="147"/>
    </row>
    <row r="759" spans="3:41">
      <c r="C759" s="136"/>
      <c r="D759" s="136"/>
      <c r="E759" s="19"/>
      <c r="F759" s="15"/>
      <c r="G759" s="138"/>
      <c r="H759" s="138"/>
      <c r="I759" s="126"/>
      <c r="J759" s="15"/>
      <c r="K759" s="15"/>
      <c r="L759" s="20"/>
      <c r="M759" s="20"/>
      <c r="N759" s="126"/>
      <c r="O759" s="126"/>
      <c r="P759" s="126"/>
      <c r="Q759" s="171"/>
      <c r="R759" s="172"/>
      <c r="S759" s="172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43"/>
      <c r="AF759" s="143"/>
      <c r="AG759" s="143"/>
      <c r="AH759" s="143"/>
      <c r="AI759" s="143"/>
      <c r="AJ759" s="143"/>
      <c r="AK759" s="143"/>
      <c r="AL759" s="143"/>
      <c r="AM759" s="145"/>
      <c r="AN759" s="143"/>
      <c r="AO759" s="147"/>
    </row>
    <row r="760" spans="3:41">
      <c r="C760" s="136"/>
      <c r="D760" s="136"/>
      <c r="E760" s="19"/>
      <c r="F760" s="15"/>
      <c r="G760" s="138"/>
      <c r="H760" s="138"/>
      <c r="I760" s="126"/>
      <c r="J760" s="15"/>
      <c r="K760" s="15"/>
      <c r="L760" s="20"/>
      <c r="M760" s="20"/>
      <c r="N760" s="126"/>
      <c r="O760" s="126"/>
      <c r="P760" s="126"/>
      <c r="Q760" s="171"/>
      <c r="R760" s="172"/>
      <c r="S760" s="172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43"/>
      <c r="AF760" s="143"/>
      <c r="AG760" s="143"/>
      <c r="AH760" s="143"/>
      <c r="AI760" s="143"/>
      <c r="AJ760" s="143"/>
      <c r="AK760" s="143"/>
      <c r="AL760" s="143"/>
      <c r="AM760" s="145"/>
      <c r="AN760" s="143"/>
      <c r="AO760" s="147"/>
    </row>
    <row r="761" spans="3:41">
      <c r="C761" s="136"/>
      <c r="D761" s="136"/>
      <c r="E761" s="19"/>
      <c r="F761" s="15"/>
      <c r="G761" s="138"/>
      <c r="H761" s="138"/>
      <c r="I761" s="126"/>
      <c r="J761" s="15"/>
      <c r="K761" s="15"/>
      <c r="L761" s="20"/>
      <c r="M761" s="20"/>
      <c r="N761" s="126"/>
      <c r="O761" s="126"/>
      <c r="P761" s="126"/>
      <c r="Q761" s="171"/>
      <c r="R761" s="172"/>
      <c r="S761" s="172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43"/>
      <c r="AF761" s="143"/>
      <c r="AG761" s="143"/>
      <c r="AH761" s="143"/>
      <c r="AI761" s="143"/>
      <c r="AJ761" s="143"/>
      <c r="AK761" s="143"/>
      <c r="AL761" s="143"/>
      <c r="AM761" s="145"/>
      <c r="AN761" s="143"/>
      <c r="AO761" s="143"/>
    </row>
    <row r="762" spans="3:41">
      <c r="C762" s="136"/>
      <c r="D762" s="136"/>
      <c r="E762" s="19"/>
      <c r="F762" s="15"/>
      <c r="G762" s="138"/>
      <c r="H762" s="138"/>
      <c r="I762" s="126"/>
      <c r="J762" s="15"/>
      <c r="K762" s="15"/>
      <c r="L762" s="20"/>
      <c r="M762" s="20"/>
      <c r="N762" s="126"/>
      <c r="O762" s="126"/>
      <c r="P762" s="126"/>
      <c r="Q762" s="171"/>
      <c r="R762" s="172"/>
      <c r="S762" s="172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43"/>
      <c r="AF762" s="143"/>
      <c r="AG762" s="143"/>
      <c r="AH762" s="143"/>
      <c r="AI762" s="143"/>
      <c r="AJ762" s="143"/>
      <c r="AK762" s="143"/>
      <c r="AL762" s="143"/>
      <c r="AM762" s="145"/>
      <c r="AN762" s="143"/>
      <c r="AO762" s="147"/>
    </row>
    <row r="763" spans="3:41">
      <c r="C763" s="136"/>
      <c r="D763" s="136"/>
      <c r="E763" s="19"/>
      <c r="F763" s="15"/>
      <c r="G763" s="138"/>
      <c r="H763" s="138"/>
      <c r="I763" s="126"/>
      <c r="J763" s="15"/>
      <c r="K763" s="15"/>
      <c r="L763" s="20"/>
      <c r="M763" s="20"/>
      <c r="N763" s="126"/>
      <c r="O763" s="126"/>
      <c r="P763" s="126"/>
      <c r="Q763" s="171"/>
      <c r="R763" s="172"/>
      <c r="S763" s="172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43"/>
      <c r="AF763" s="143"/>
      <c r="AG763" s="143"/>
      <c r="AH763" s="143"/>
      <c r="AI763" s="143"/>
      <c r="AJ763" s="143"/>
      <c r="AK763" s="143"/>
      <c r="AL763" s="143"/>
      <c r="AM763" s="145"/>
      <c r="AN763" s="143"/>
      <c r="AO763" s="147"/>
    </row>
    <row r="764" spans="3:41">
      <c r="C764" s="136"/>
      <c r="D764" s="136"/>
      <c r="E764" s="19"/>
      <c r="F764" s="15"/>
      <c r="G764" s="138"/>
      <c r="H764" s="138"/>
      <c r="I764" s="126"/>
      <c r="J764" s="15"/>
      <c r="K764" s="15"/>
      <c r="L764" s="20"/>
      <c r="M764" s="20"/>
      <c r="N764" s="126"/>
      <c r="O764" s="126"/>
      <c r="P764" s="126"/>
      <c r="Q764" s="171"/>
      <c r="R764" s="172"/>
      <c r="S764" s="172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43"/>
      <c r="AF764" s="143"/>
      <c r="AG764" s="143"/>
      <c r="AH764" s="143"/>
      <c r="AI764" s="143"/>
      <c r="AJ764" s="143"/>
      <c r="AK764" s="143"/>
      <c r="AL764" s="143"/>
      <c r="AM764" s="145"/>
      <c r="AN764" s="143"/>
      <c r="AO764" s="143"/>
    </row>
    <row r="765" spans="3:41">
      <c r="C765" s="136"/>
      <c r="D765" s="136"/>
      <c r="E765" s="19"/>
      <c r="F765" s="15"/>
      <c r="G765" s="138"/>
      <c r="H765" s="138"/>
      <c r="I765" s="126"/>
      <c r="J765" s="15"/>
      <c r="K765" s="15"/>
      <c r="L765" s="20"/>
      <c r="M765" s="20"/>
      <c r="N765" s="126"/>
      <c r="O765" s="126"/>
      <c r="P765" s="126"/>
      <c r="Q765" s="171"/>
      <c r="R765" s="172"/>
      <c r="S765" s="172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43"/>
      <c r="AF765" s="143"/>
      <c r="AG765" s="143"/>
      <c r="AH765" s="143"/>
      <c r="AI765" s="143"/>
      <c r="AJ765" s="143"/>
      <c r="AK765" s="143"/>
      <c r="AL765" s="143"/>
      <c r="AM765" s="145"/>
      <c r="AN765" s="143"/>
      <c r="AO765" s="147"/>
    </row>
    <row r="766" spans="3:41">
      <c r="C766" s="136"/>
      <c r="D766" s="136"/>
      <c r="E766" s="19"/>
      <c r="F766" s="15"/>
      <c r="G766" s="138"/>
      <c r="H766" s="138"/>
      <c r="I766" s="126"/>
      <c r="J766" s="15"/>
      <c r="K766" s="15"/>
      <c r="L766" s="20"/>
      <c r="M766" s="20"/>
      <c r="N766" s="126"/>
      <c r="O766" s="126"/>
      <c r="P766" s="126"/>
      <c r="Q766" s="171"/>
      <c r="R766" s="172"/>
      <c r="S766" s="172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43"/>
      <c r="AF766" s="143"/>
      <c r="AG766" s="143"/>
      <c r="AH766" s="143"/>
      <c r="AI766" s="143"/>
      <c r="AJ766" s="143"/>
      <c r="AK766" s="143"/>
      <c r="AL766" s="143"/>
      <c r="AM766" s="145"/>
      <c r="AN766" s="143"/>
      <c r="AO766" s="144"/>
    </row>
    <row r="767" spans="3:41">
      <c r="C767" s="136"/>
      <c r="D767" s="136"/>
      <c r="E767" s="19"/>
      <c r="F767" s="15"/>
      <c r="G767" s="138"/>
      <c r="H767" s="138"/>
      <c r="I767" s="126"/>
      <c r="J767" s="15"/>
      <c r="K767" s="15"/>
      <c r="L767" s="20"/>
      <c r="M767" s="20"/>
      <c r="N767" s="126"/>
      <c r="O767" s="126"/>
      <c r="P767" s="126"/>
      <c r="Q767" s="171"/>
      <c r="R767" s="173"/>
      <c r="S767" s="172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43"/>
      <c r="AF767" s="143"/>
      <c r="AG767" s="143"/>
      <c r="AH767" s="143"/>
      <c r="AI767" s="143"/>
      <c r="AJ767" s="143"/>
      <c r="AK767" s="143"/>
      <c r="AL767" s="143"/>
      <c r="AM767" s="145"/>
      <c r="AN767" s="143"/>
      <c r="AO767" s="143"/>
    </row>
    <row r="768" spans="3:41">
      <c r="C768" s="136"/>
      <c r="D768" s="136"/>
      <c r="E768" s="19"/>
      <c r="F768" s="15"/>
      <c r="G768" s="138"/>
      <c r="H768" s="138"/>
      <c r="I768" s="126"/>
      <c r="J768" s="15"/>
      <c r="K768" s="15"/>
      <c r="L768" s="20"/>
      <c r="M768" s="20"/>
      <c r="N768" s="126"/>
      <c r="O768" s="126"/>
      <c r="P768" s="126"/>
      <c r="Q768" s="171"/>
      <c r="R768" s="173"/>
      <c r="S768" s="172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43"/>
      <c r="AF768" s="143"/>
      <c r="AG768" s="143"/>
      <c r="AH768" s="143"/>
      <c r="AI768" s="143"/>
      <c r="AJ768" s="143"/>
      <c r="AK768" s="143"/>
      <c r="AL768" s="143"/>
      <c r="AM768" s="145"/>
      <c r="AN768" s="143"/>
      <c r="AO768" s="147"/>
    </row>
    <row r="769" spans="3:41">
      <c r="C769" s="136"/>
      <c r="D769" s="136"/>
      <c r="E769" s="19"/>
      <c r="F769" s="15"/>
      <c r="G769" s="138"/>
      <c r="H769" s="138"/>
      <c r="I769" s="126"/>
      <c r="J769" s="15"/>
      <c r="K769" s="15"/>
      <c r="L769" s="20"/>
      <c r="M769" s="20"/>
      <c r="N769" s="126"/>
      <c r="O769" s="126"/>
      <c r="P769" s="126"/>
      <c r="Q769" s="171"/>
      <c r="R769" s="173"/>
      <c r="S769" s="172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43"/>
      <c r="AF769" s="143"/>
      <c r="AG769" s="143"/>
      <c r="AH769" s="143"/>
      <c r="AI769" s="143"/>
      <c r="AJ769" s="143"/>
      <c r="AK769" s="143"/>
      <c r="AL769" s="143"/>
      <c r="AM769" s="145"/>
      <c r="AN769" s="143"/>
      <c r="AO769" s="147"/>
    </row>
    <row r="770" spans="3:41">
      <c r="C770" s="136"/>
      <c r="D770" s="136"/>
      <c r="E770" s="19"/>
      <c r="F770" s="15"/>
      <c r="G770" s="138"/>
      <c r="H770" s="138"/>
      <c r="I770" s="126"/>
      <c r="J770" s="15"/>
      <c r="K770" s="15"/>
      <c r="L770" s="20"/>
      <c r="M770" s="20"/>
      <c r="N770" s="126"/>
      <c r="O770" s="126"/>
      <c r="P770" s="126"/>
      <c r="Q770" s="171"/>
      <c r="R770" s="172"/>
      <c r="S770" s="172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43"/>
      <c r="AF770" s="143"/>
      <c r="AG770" s="143"/>
      <c r="AH770" s="143"/>
      <c r="AI770" s="143"/>
      <c r="AJ770" s="143"/>
      <c r="AK770" s="143"/>
      <c r="AL770" s="143"/>
      <c r="AM770" s="145"/>
      <c r="AN770" s="143"/>
      <c r="AO770" s="147"/>
    </row>
    <row r="771" spans="3:41">
      <c r="C771" s="136"/>
      <c r="D771" s="136"/>
      <c r="E771" s="19"/>
      <c r="F771" s="15"/>
      <c r="G771" s="138"/>
      <c r="H771" s="138"/>
      <c r="I771" s="126"/>
      <c r="J771" s="15"/>
      <c r="K771" s="15"/>
      <c r="L771" s="20"/>
      <c r="M771" s="20"/>
      <c r="N771" s="126"/>
      <c r="O771" s="126"/>
      <c r="P771" s="126"/>
      <c r="Q771" s="171"/>
      <c r="R771" s="172"/>
      <c r="S771" s="172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43"/>
      <c r="AF771" s="143"/>
      <c r="AG771" s="143"/>
      <c r="AH771" s="143"/>
      <c r="AI771" s="143"/>
      <c r="AJ771" s="143"/>
      <c r="AK771" s="143"/>
      <c r="AL771" s="143"/>
      <c r="AM771" s="145"/>
      <c r="AN771" s="143"/>
      <c r="AO771" s="143"/>
    </row>
    <row r="772" spans="3:41">
      <c r="C772" s="136"/>
      <c r="D772" s="136"/>
      <c r="E772" s="19"/>
      <c r="F772" s="15"/>
      <c r="G772" s="138"/>
      <c r="H772" s="138"/>
      <c r="I772" s="126"/>
      <c r="J772" s="15"/>
      <c r="K772" s="15"/>
      <c r="L772" s="20"/>
      <c r="M772" s="20"/>
      <c r="N772" s="126"/>
      <c r="O772" s="126"/>
      <c r="P772" s="126"/>
      <c r="Q772" s="171"/>
      <c r="R772" s="172"/>
      <c r="S772" s="172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43"/>
      <c r="AF772" s="143"/>
      <c r="AG772" s="143"/>
      <c r="AH772" s="143"/>
      <c r="AI772" s="143"/>
      <c r="AJ772" s="143"/>
      <c r="AK772" s="143"/>
      <c r="AL772" s="143"/>
      <c r="AM772" s="143"/>
      <c r="AN772" s="143"/>
      <c r="AO772" s="147"/>
    </row>
    <row r="773" spans="3:41">
      <c r="C773" s="136"/>
      <c r="D773" s="136"/>
      <c r="E773" s="19"/>
      <c r="F773" s="15"/>
      <c r="G773" s="138"/>
      <c r="H773" s="138"/>
      <c r="I773" s="126"/>
      <c r="J773" s="15"/>
      <c r="K773" s="15"/>
      <c r="L773" s="20"/>
      <c r="M773" s="20"/>
      <c r="N773" s="126"/>
      <c r="O773" s="126"/>
      <c r="P773" s="126"/>
      <c r="Q773" s="171"/>
      <c r="R773" s="172"/>
      <c r="S773" s="172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43"/>
      <c r="AF773" s="143"/>
      <c r="AG773" s="143"/>
      <c r="AH773" s="143"/>
      <c r="AI773" s="143"/>
      <c r="AJ773" s="143"/>
      <c r="AK773" s="143"/>
      <c r="AL773" s="143"/>
      <c r="AM773" s="143"/>
      <c r="AN773" s="143"/>
      <c r="AO773" s="147"/>
    </row>
    <row r="774" spans="3:41">
      <c r="C774" s="136"/>
      <c r="D774" s="136"/>
      <c r="E774" s="19"/>
      <c r="F774" s="15"/>
      <c r="G774" s="138"/>
      <c r="H774" s="138"/>
      <c r="I774" s="126"/>
      <c r="J774" s="15"/>
      <c r="K774" s="15"/>
      <c r="L774" s="20"/>
      <c r="M774" s="20"/>
      <c r="N774" s="126"/>
      <c r="O774" s="126"/>
      <c r="P774" s="126"/>
      <c r="Q774" s="171"/>
      <c r="R774" s="172"/>
      <c r="S774" s="172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43"/>
      <c r="AF774" s="143"/>
      <c r="AG774" s="143"/>
      <c r="AH774" s="143"/>
      <c r="AI774" s="143"/>
      <c r="AJ774" s="143"/>
      <c r="AK774" s="143"/>
      <c r="AL774" s="143"/>
      <c r="AM774" s="145"/>
      <c r="AN774" s="143"/>
      <c r="AO774" s="143"/>
    </row>
    <row r="775" spans="3:41">
      <c r="C775" s="136"/>
      <c r="D775" s="136"/>
      <c r="E775" s="19"/>
      <c r="F775" s="15"/>
      <c r="G775" s="138"/>
      <c r="H775" s="138"/>
      <c r="I775" s="126"/>
      <c r="J775" s="15"/>
      <c r="K775" s="15"/>
      <c r="L775" s="20"/>
      <c r="M775" s="20"/>
      <c r="N775" s="126"/>
      <c r="O775" s="126"/>
      <c r="P775" s="126"/>
      <c r="Q775" s="171"/>
      <c r="R775" s="172"/>
      <c r="S775" s="172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43"/>
      <c r="AF775" s="143"/>
      <c r="AG775" s="143"/>
      <c r="AH775" s="143"/>
      <c r="AI775" s="143"/>
      <c r="AJ775" s="143"/>
      <c r="AK775" s="143"/>
      <c r="AL775" s="143"/>
      <c r="AM775" s="145"/>
      <c r="AN775" s="147"/>
      <c r="AO775" s="147"/>
    </row>
    <row r="776" spans="3:41">
      <c r="C776" s="136"/>
      <c r="D776" s="136"/>
      <c r="E776" s="19"/>
      <c r="F776" s="15"/>
      <c r="G776" s="138"/>
      <c r="H776" s="138"/>
      <c r="I776" s="126"/>
      <c r="J776" s="15"/>
      <c r="K776" s="15"/>
      <c r="L776" s="20"/>
      <c r="M776" s="20"/>
      <c r="N776" s="126"/>
      <c r="O776" s="126"/>
      <c r="P776" s="126"/>
      <c r="Q776" s="171"/>
      <c r="R776" s="172"/>
      <c r="S776" s="172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43"/>
      <c r="AF776" s="143"/>
      <c r="AG776" s="143"/>
      <c r="AH776" s="143"/>
      <c r="AI776" s="143"/>
      <c r="AJ776" s="143"/>
      <c r="AK776" s="143"/>
      <c r="AL776" s="143"/>
      <c r="AM776" s="145"/>
      <c r="AN776" s="143"/>
      <c r="AO776" s="143"/>
    </row>
    <row r="777" spans="3:41">
      <c r="C777" s="136"/>
      <c r="D777" s="136"/>
      <c r="E777" s="19"/>
      <c r="F777" s="15"/>
      <c r="G777" s="138"/>
      <c r="H777" s="138"/>
      <c r="I777" s="126"/>
      <c r="J777" s="15"/>
      <c r="K777" s="15"/>
      <c r="L777" s="20"/>
      <c r="M777" s="20"/>
      <c r="N777" s="126"/>
      <c r="O777" s="126"/>
      <c r="P777" s="126"/>
      <c r="Q777" s="171"/>
      <c r="R777" s="172"/>
      <c r="S777" s="172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43"/>
      <c r="AF777" s="143"/>
      <c r="AG777" s="143"/>
      <c r="AH777" s="143"/>
      <c r="AI777" s="143"/>
      <c r="AJ777" s="143"/>
      <c r="AK777" s="143"/>
      <c r="AL777" s="143"/>
      <c r="AM777" s="145"/>
      <c r="AN777" s="143"/>
      <c r="AO777" s="147"/>
    </row>
    <row r="778" spans="3:41">
      <c r="C778" s="136"/>
      <c r="D778" s="136"/>
      <c r="E778" s="19"/>
      <c r="F778" s="15"/>
      <c r="G778" s="138"/>
      <c r="H778" s="138"/>
      <c r="I778" s="126"/>
      <c r="J778" s="15"/>
      <c r="K778" s="15"/>
      <c r="L778" s="20"/>
      <c r="M778" s="20"/>
      <c r="N778" s="126"/>
      <c r="O778" s="126"/>
      <c r="P778" s="126"/>
      <c r="Q778" s="171"/>
      <c r="R778" s="172"/>
      <c r="S778" s="172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43"/>
      <c r="AF778" s="143"/>
      <c r="AG778" s="143"/>
      <c r="AH778" s="143"/>
      <c r="AI778" s="143"/>
      <c r="AJ778" s="143"/>
      <c r="AK778" s="143"/>
      <c r="AL778" s="143"/>
      <c r="AM778" s="145"/>
      <c r="AN778" s="143"/>
      <c r="AO778" s="143"/>
    </row>
    <row r="779" spans="3:41">
      <c r="C779" s="136"/>
      <c r="D779" s="136"/>
      <c r="E779" s="19"/>
      <c r="F779" s="15"/>
      <c r="G779" s="138"/>
      <c r="H779" s="138"/>
      <c r="I779" s="126"/>
      <c r="J779" s="15"/>
      <c r="K779" s="15"/>
      <c r="L779" s="20"/>
      <c r="M779" s="20"/>
      <c r="N779" s="126"/>
      <c r="O779" s="126"/>
      <c r="P779" s="126"/>
      <c r="Q779" s="171"/>
      <c r="R779" s="173"/>
      <c r="S779" s="172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43"/>
      <c r="AF779" s="143"/>
      <c r="AG779" s="143"/>
      <c r="AH779" s="143"/>
      <c r="AI779" s="143"/>
      <c r="AJ779" s="143"/>
      <c r="AK779" s="143"/>
      <c r="AL779" s="143"/>
      <c r="AM779" s="145"/>
      <c r="AN779" s="147"/>
      <c r="AO779" s="147"/>
    </row>
    <row r="780" spans="3:41">
      <c r="C780" s="136"/>
      <c r="D780" s="136"/>
      <c r="E780" s="19"/>
      <c r="F780" s="15"/>
      <c r="G780" s="138"/>
      <c r="H780" s="138"/>
      <c r="I780" s="126"/>
      <c r="J780" s="15"/>
      <c r="K780" s="15"/>
      <c r="L780" s="20"/>
      <c r="M780" s="20"/>
      <c r="N780" s="126"/>
      <c r="O780" s="126"/>
      <c r="P780" s="126"/>
      <c r="Q780" s="171"/>
      <c r="R780" s="172"/>
      <c r="S780" s="172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43"/>
      <c r="AF780" s="143"/>
      <c r="AG780" s="143"/>
      <c r="AH780" s="143"/>
      <c r="AI780" s="143"/>
      <c r="AJ780" s="143"/>
      <c r="AK780" s="143"/>
      <c r="AL780" s="143"/>
      <c r="AM780" s="145"/>
      <c r="AN780" s="143"/>
      <c r="AO780" s="144"/>
    </row>
    <row r="781" spans="3:41">
      <c r="C781" s="136"/>
      <c r="D781" s="136"/>
      <c r="E781" s="19"/>
      <c r="F781" s="15"/>
      <c r="G781" s="138"/>
      <c r="H781" s="138"/>
      <c r="I781" s="126"/>
      <c r="J781" s="15"/>
      <c r="K781" s="15"/>
      <c r="L781" s="20"/>
      <c r="M781" s="20"/>
      <c r="N781" s="126"/>
      <c r="O781" s="126"/>
      <c r="P781" s="126"/>
      <c r="Q781" s="171"/>
      <c r="R781" s="172"/>
      <c r="S781" s="172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43"/>
      <c r="AF781" s="143"/>
      <c r="AG781" s="143"/>
      <c r="AH781" s="143"/>
      <c r="AI781" s="143"/>
      <c r="AJ781" s="143"/>
      <c r="AK781" s="143"/>
      <c r="AL781" s="143"/>
      <c r="AM781" s="145"/>
      <c r="AN781" s="143"/>
      <c r="AO781" s="143"/>
    </row>
    <row r="782" spans="3:41">
      <c r="C782" s="136"/>
      <c r="D782" s="136"/>
      <c r="E782" s="19"/>
      <c r="F782" s="15"/>
      <c r="G782" s="138"/>
      <c r="H782" s="138"/>
      <c r="I782" s="126"/>
      <c r="J782" s="15"/>
      <c r="K782" s="15"/>
      <c r="L782" s="20"/>
      <c r="M782" s="20"/>
      <c r="N782" s="126"/>
      <c r="O782" s="126"/>
      <c r="P782" s="126"/>
      <c r="Q782" s="171"/>
      <c r="R782" s="172"/>
      <c r="S782" s="172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43"/>
      <c r="AF782" s="143"/>
      <c r="AG782" s="143"/>
      <c r="AH782" s="143"/>
      <c r="AI782" s="143"/>
      <c r="AJ782" s="143"/>
      <c r="AK782" s="143"/>
      <c r="AL782" s="143"/>
      <c r="AM782" s="145"/>
      <c r="AN782" s="143"/>
      <c r="AO782" s="147"/>
    </row>
    <row r="783" spans="3:41">
      <c r="C783" s="136"/>
      <c r="D783" s="136"/>
      <c r="E783" s="19"/>
      <c r="F783" s="15"/>
      <c r="G783" s="138"/>
      <c r="H783" s="138"/>
      <c r="I783" s="126"/>
      <c r="J783" s="15"/>
      <c r="K783" s="15"/>
      <c r="L783" s="20"/>
      <c r="M783" s="20"/>
      <c r="N783" s="126"/>
      <c r="O783" s="126"/>
      <c r="P783" s="126"/>
      <c r="Q783" s="171"/>
      <c r="R783" s="172"/>
      <c r="S783" s="172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43"/>
      <c r="AF783" s="143"/>
      <c r="AG783" s="143"/>
      <c r="AH783" s="143"/>
      <c r="AI783" s="143"/>
      <c r="AJ783" s="143"/>
      <c r="AK783" s="143"/>
      <c r="AL783" s="143"/>
      <c r="AM783" s="145"/>
      <c r="AN783" s="143"/>
      <c r="AO783" s="147"/>
    </row>
    <row r="784" spans="3:41">
      <c r="C784" s="136"/>
      <c r="D784" s="136"/>
      <c r="E784" s="19"/>
      <c r="F784" s="15"/>
      <c r="G784" s="138"/>
      <c r="H784" s="138"/>
      <c r="I784" s="126"/>
      <c r="J784" s="15"/>
      <c r="K784" s="15"/>
      <c r="L784" s="20"/>
      <c r="M784" s="20"/>
      <c r="N784" s="126"/>
      <c r="O784" s="126"/>
      <c r="P784" s="126"/>
      <c r="Q784" s="171"/>
      <c r="R784" s="172"/>
      <c r="S784" s="172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43"/>
      <c r="AF784" s="143"/>
      <c r="AG784" s="143"/>
      <c r="AH784" s="143"/>
      <c r="AI784" s="143"/>
      <c r="AJ784" s="143"/>
      <c r="AK784" s="143"/>
      <c r="AL784" s="143"/>
      <c r="AM784" s="145"/>
      <c r="AN784" s="143"/>
      <c r="AO784" s="147"/>
    </row>
    <row r="785" spans="3:41">
      <c r="C785" s="136"/>
      <c r="D785" s="136"/>
      <c r="E785" s="19"/>
      <c r="F785" s="15"/>
      <c r="G785" s="138"/>
      <c r="H785" s="138"/>
      <c r="I785" s="126"/>
      <c r="J785" s="15"/>
      <c r="K785" s="15"/>
      <c r="L785" s="20"/>
      <c r="M785" s="20"/>
      <c r="N785" s="126"/>
      <c r="O785" s="126"/>
      <c r="P785" s="126"/>
      <c r="Q785" s="171"/>
      <c r="R785" s="172"/>
      <c r="S785" s="172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43"/>
      <c r="AF785" s="143"/>
      <c r="AG785" s="143"/>
      <c r="AH785" s="143"/>
      <c r="AI785" s="143"/>
      <c r="AJ785" s="143"/>
      <c r="AK785" s="143"/>
      <c r="AL785" s="143"/>
      <c r="AM785" s="145"/>
      <c r="AN785" s="153"/>
      <c r="AO785" s="143"/>
    </row>
    <row r="786" spans="3:41">
      <c r="C786" s="136"/>
      <c r="D786" s="136"/>
      <c r="E786" s="19"/>
      <c r="F786" s="15"/>
      <c r="G786" s="138"/>
      <c r="H786" s="138"/>
      <c r="I786" s="126"/>
      <c r="J786" s="15"/>
      <c r="K786" s="15"/>
      <c r="L786" s="20"/>
      <c r="M786" s="20"/>
      <c r="N786" s="126"/>
      <c r="O786" s="126"/>
      <c r="P786" s="126"/>
      <c r="Q786" s="171"/>
      <c r="R786" s="172"/>
      <c r="S786" s="172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43"/>
      <c r="AF786" s="143"/>
      <c r="AG786" s="143"/>
      <c r="AH786" s="143"/>
      <c r="AI786" s="143"/>
      <c r="AJ786" s="143"/>
      <c r="AK786" s="143"/>
      <c r="AL786" s="143"/>
      <c r="AM786" s="145"/>
      <c r="AN786" s="143"/>
      <c r="AO786" s="147"/>
    </row>
    <row r="787" spans="3:41">
      <c r="C787" s="136"/>
      <c r="D787" s="136"/>
      <c r="E787" s="19"/>
      <c r="F787" s="15"/>
      <c r="G787" s="138"/>
      <c r="H787" s="138"/>
      <c r="I787" s="126"/>
      <c r="J787" s="15"/>
      <c r="K787" s="15"/>
      <c r="L787" s="20"/>
      <c r="M787" s="20"/>
      <c r="N787" s="126"/>
      <c r="O787" s="126"/>
      <c r="P787" s="126"/>
      <c r="Q787" s="171"/>
      <c r="R787" s="172"/>
      <c r="S787" s="172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43"/>
      <c r="AF787" s="143"/>
      <c r="AG787" s="143"/>
      <c r="AH787" s="143"/>
      <c r="AI787" s="143"/>
      <c r="AJ787" s="143"/>
      <c r="AK787" s="143"/>
      <c r="AL787" s="143"/>
      <c r="AM787" s="145"/>
      <c r="AN787" s="153"/>
      <c r="AO787" s="147"/>
    </row>
    <row r="788" spans="3:41">
      <c r="C788" s="136"/>
      <c r="D788" s="136"/>
      <c r="E788" s="19"/>
      <c r="F788" s="15"/>
      <c r="G788" s="138"/>
      <c r="H788" s="138"/>
      <c r="I788" s="126"/>
      <c r="J788" s="15"/>
      <c r="K788" s="15"/>
      <c r="L788" s="20"/>
      <c r="M788" s="20"/>
      <c r="N788" s="126"/>
      <c r="O788" s="126"/>
      <c r="P788" s="126"/>
      <c r="Q788" s="171"/>
      <c r="R788" s="172"/>
      <c r="S788" s="172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43"/>
      <c r="AF788" s="143"/>
      <c r="AG788" s="143"/>
      <c r="AH788" s="143"/>
      <c r="AI788" s="143"/>
      <c r="AJ788" s="143"/>
      <c r="AK788" s="143"/>
      <c r="AL788" s="143"/>
      <c r="AM788" s="145"/>
      <c r="AN788" s="153"/>
      <c r="AO788" s="143"/>
    </row>
    <row r="789" spans="3:41">
      <c r="C789" s="136"/>
      <c r="D789" s="136"/>
      <c r="E789" s="19"/>
      <c r="F789" s="15"/>
      <c r="G789" s="138"/>
      <c r="H789" s="138"/>
      <c r="I789" s="126"/>
      <c r="J789" s="15"/>
      <c r="K789" s="15"/>
      <c r="L789" s="20"/>
      <c r="M789" s="20"/>
      <c r="N789" s="126"/>
      <c r="O789" s="126"/>
      <c r="P789" s="126"/>
      <c r="Q789" s="171"/>
      <c r="R789" s="172"/>
      <c r="S789" s="172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43"/>
      <c r="AF789" s="143"/>
      <c r="AG789" s="143"/>
      <c r="AH789" s="143"/>
      <c r="AI789" s="143"/>
      <c r="AJ789" s="143"/>
      <c r="AK789" s="143"/>
      <c r="AL789" s="143"/>
      <c r="AM789" s="145"/>
      <c r="AN789" s="153"/>
      <c r="AO789" s="147"/>
    </row>
    <row r="790" spans="3:41">
      <c r="C790" s="136"/>
      <c r="D790" s="136"/>
      <c r="E790" s="19"/>
      <c r="F790" s="15"/>
      <c r="G790" s="138"/>
      <c r="H790" s="138"/>
      <c r="I790" s="126"/>
      <c r="J790" s="15"/>
      <c r="K790" s="15"/>
      <c r="L790" s="20"/>
      <c r="M790" s="20"/>
      <c r="N790" s="126"/>
      <c r="O790" s="126"/>
      <c r="P790" s="126"/>
      <c r="Q790" s="171"/>
      <c r="R790" s="172"/>
      <c r="S790" s="172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43"/>
      <c r="AF790" s="143"/>
      <c r="AG790" s="143"/>
      <c r="AH790" s="143"/>
      <c r="AI790" s="143"/>
      <c r="AJ790" s="143"/>
      <c r="AK790" s="143"/>
      <c r="AL790" s="143"/>
      <c r="AM790" s="145"/>
      <c r="AN790" s="147"/>
      <c r="AO790" s="143"/>
    </row>
    <row r="791" spans="3:41">
      <c r="C791" s="136"/>
      <c r="D791" s="136"/>
      <c r="E791" s="19"/>
      <c r="F791" s="15"/>
      <c r="G791" s="138"/>
      <c r="H791" s="138"/>
      <c r="I791" s="126"/>
      <c r="J791" s="15"/>
      <c r="K791" s="15"/>
      <c r="L791" s="20"/>
      <c r="M791" s="20"/>
      <c r="N791" s="126"/>
      <c r="O791" s="126"/>
      <c r="P791" s="126"/>
      <c r="Q791" s="171"/>
      <c r="R791" s="172"/>
      <c r="S791" s="172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43"/>
      <c r="AF791" s="143"/>
      <c r="AG791" s="143"/>
      <c r="AH791" s="143"/>
      <c r="AI791" s="143"/>
      <c r="AJ791" s="143"/>
      <c r="AK791" s="143"/>
      <c r="AL791" s="143"/>
      <c r="AM791" s="143"/>
      <c r="AN791" s="153"/>
      <c r="AO791" s="147"/>
    </row>
    <row r="792" spans="3:41">
      <c r="C792" s="136"/>
      <c r="D792" s="136"/>
      <c r="E792" s="19"/>
      <c r="F792" s="15"/>
      <c r="G792" s="138"/>
      <c r="H792" s="138"/>
      <c r="I792" s="126"/>
      <c r="J792" s="15"/>
      <c r="K792" s="15"/>
      <c r="L792" s="20"/>
      <c r="M792" s="20"/>
      <c r="N792" s="126"/>
      <c r="O792" s="126"/>
      <c r="P792" s="126"/>
      <c r="Q792" s="171"/>
      <c r="R792" s="172"/>
      <c r="S792" s="172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43"/>
      <c r="AF792" s="143"/>
      <c r="AG792" s="143"/>
      <c r="AH792" s="143"/>
      <c r="AI792" s="143"/>
      <c r="AJ792" s="143"/>
      <c r="AK792" s="143"/>
      <c r="AL792" s="143"/>
      <c r="AM792" s="145"/>
      <c r="AN792" s="147"/>
      <c r="AO792" s="143"/>
    </row>
    <row r="793" spans="3:41">
      <c r="C793" s="136"/>
      <c r="D793" s="136"/>
      <c r="E793" s="19"/>
      <c r="F793" s="15"/>
      <c r="G793" s="138"/>
      <c r="H793" s="138"/>
      <c r="I793" s="126"/>
      <c r="J793" s="15"/>
      <c r="K793" s="15"/>
      <c r="L793" s="20"/>
      <c r="M793" s="20"/>
      <c r="N793" s="126"/>
      <c r="O793" s="126"/>
      <c r="P793" s="126"/>
      <c r="Q793" s="171"/>
      <c r="R793" s="172"/>
      <c r="S793" s="172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43"/>
      <c r="AF793" s="143"/>
      <c r="AG793" s="143"/>
      <c r="AH793" s="143"/>
      <c r="AI793" s="143"/>
      <c r="AJ793" s="143"/>
      <c r="AK793" s="143"/>
      <c r="AL793" s="143"/>
      <c r="AM793" s="145"/>
      <c r="AN793" s="153"/>
      <c r="AO793" s="147"/>
    </row>
    <row r="794" spans="3:41">
      <c r="C794" s="136"/>
      <c r="D794" s="136"/>
      <c r="E794" s="19"/>
      <c r="F794" s="15"/>
      <c r="G794" s="138"/>
      <c r="H794" s="138"/>
      <c r="I794" s="126"/>
      <c r="J794" s="15"/>
      <c r="K794" s="15"/>
      <c r="L794" s="20"/>
      <c r="M794" s="20"/>
      <c r="N794" s="126"/>
      <c r="O794" s="126"/>
      <c r="P794" s="126"/>
      <c r="Q794" s="171"/>
      <c r="R794" s="172"/>
      <c r="S794" s="172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43"/>
      <c r="AF794" s="143"/>
      <c r="AG794" s="143"/>
      <c r="AH794" s="143"/>
      <c r="AI794" s="143"/>
      <c r="AJ794" s="143"/>
      <c r="AK794" s="143"/>
      <c r="AL794" s="143"/>
      <c r="AM794" s="145"/>
      <c r="AN794" s="153"/>
      <c r="AO794" s="144"/>
    </row>
    <row r="795" spans="3:41">
      <c r="C795" s="136"/>
      <c r="D795" s="136"/>
      <c r="E795" s="19"/>
      <c r="F795" s="15"/>
      <c r="G795" s="138"/>
      <c r="H795" s="138"/>
      <c r="I795" s="126"/>
      <c r="J795" s="15"/>
      <c r="K795" s="15"/>
      <c r="L795" s="20"/>
      <c r="M795" s="20"/>
      <c r="N795" s="126"/>
      <c r="O795" s="126"/>
      <c r="P795" s="126"/>
      <c r="Q795" s="171"/>
      <c r="R795" s="172"/>
      <c r="S795" s="172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43"/>
      <c r="AF795" s="143"/>
      <c r="AG795" s="143"/>
      <c r="AH795" s="143"/>
      <c r="AI795" s="143"/>
      <c r="AJ795" s="143"/>
      <c r="AK795" s="143"/>
      <c r="AL795" s="143"/>
      <c r="AM795" s="145"/>
      <c r="AN795" s="153"/>
      <c r="AO795" s="143"/>
    </row>
    <row r="796" spans="3:41">
      <c r="C796" s="136"/>
      <c r="D796" s="136"/>
      <c r="E796" s="19"/>
      <c r="F796" s="15"/>
      <c r="G796" s="138"/>
      <c r="H796" s="138"/>
      <c r="I796" s="126"/>
      <c r="J796" s="15"/>
      <c r="K796" s="15"/>
      <c r="L796" s="20"/>
      <c r="M796" s="20"/>
      <c r="N796" s="126"/>
      <c r="O796" s="126"/>
      <c r="P796" s="126"/>
      <c r="Q796" s="171"/>
      <c r="R796" s="172"/>
      <c r="S796" s="172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43"/>
      <c r="AF796" s="143"/>
      <c r="AG796" s="143"/>
      <c r="AH796" s="143"/>
      <c r="AI796" s="143"/>
      <c r="AJ796" s="143"/>
      <c r="AK796" s="143"/>
      <c r="AL796" s="143"/>
      <c r="AM796" s="143"/>
      <c r="AN796" s="153"/>
      <c r="AO796" s="147"/>
    </row>
    <row r="797" spans="3:41">
      <c r="C797" s="136"/>
      <c r="D797" s="136"/>
      <c r="E797" s="19"/>
      <c r="F797" s="15"/>
      <c r="G797" s="138"/>
      <c r="H797" s="138"/>
      <c r="I797" s="126"/>
      <c r="J797" s="15"/>
      <c r="K797" s="15"/>
      <c r="L797" s="20"/>
      <c r="M797" s="20"/>
      <c r="N797" s="126"/>
      <c r="O797" s="126"/>
      <c r="P797" s="126"/>
      <c r="Q797" s="171"/>
      <c r="R797" s="172"/>
      <c r="S797" s="172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43"/>
      <c r="AF797" s="143"/>
      <c r="AG797" s="143"/>
      <c r="AH797" s="143"/>
      <c r="AI797" s="143"/>
      <c r="AJ797" s="143"/>
      <c r="AK797" s="143"/>
      <c r="AL797" s="143"/>
      <c r="AM797" s="145"/>
      <c r="AN797" s="143"/>
      <c r="AO797" s="147"/>
    </row>
    <row r="798" spans="3:41">
      <c r="C798" s="136"/>
      <c r="D798" s="136"/>
      <c r="E798" s="19"/>
      <c r="F798" s="15"/>
      <c r="G798" s="138"/>
      <c r="H798" s="138"/>
      <c r="I798" s="126"/>
      <c r="J798" s="15"/>
      <c r="K798" s="15"/>
      <c r="L798" s="20"/>
      <c r="M798" s="20"/>
      <c r="N798" s="126"/>
      <c r="O798" s="126"/>
      <c r="P798" s="126"/>
      <c r="Q798" s="171"/>
      <c r="R798" s="172"/>
      <c r="S798" s="172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43"/>
      <c r="AF798" s="143"/>
      <c r="AG798" s="143"/>
      <c r="AH798" s="143"/>
      <c r="AI798" s="143"/>
      <c r="AJ798" s="143"/>
      <c r="AK798" s="143"/>
      <c r="AL798" s="143"/>
      <c r="AM798" s="145"/>
      <c r="AN798" s="153"/>
      <c r="AO798" s="147"/>
    </row>
    <row r="799" spans="3:41">
      <c r="C799" s="136"/>
      <c r="D799" s="136"/>
      <c r="E799" s="19"/>
      <c r="F799" s="15"/>
      <c r="G799" s="138"/>
      <c r="H799" s="138"/>
      <c r="I799" s="126"/>
      <c r="J799" s="15"/>
      <c r="K799" s="15"/>
      <c r="L799" s="20"/>
      <c r="M799" s="20"/>
      <c r="N799" s="126"/>
      <c r="O799" s="126"/>
      <c r="P799" s="126"/>
      <c r="Q799" s="171"/>
      <c r="R799" s="172"/>
      <c r="S799" s="172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43"/>
      <c r="AF799" s="143"/>
      <c r="AG799" s="143"/>
      <c r="AH799" s="143"/>
      <c r="AI799" s="143"/>
      <c r="AJ799" s="143"/>
      <c r="AK799" s="143"/>
      <c r="AL799" s="143"/>
      <c r="AM799" s="145"/>
      <c r="AN799" s="153"/>
      <c r="AO799" s="143"/>
    </row>
    <row r="800" spans="3:41">
      <c r="C800" s="136"/>
      <c r="D800" s="136"/>
      <c r="E800" s="19"/>
      <c r="F800" s="15"/>
      <c r="G800" s="138"/>
      <c r="H800" s="138"/>
      <c r="I800" s="126"/>
      <c r="J800" s="15"/>
      <c r="K800" s="15"/>
      <c r="L800" s="20"/>
      <c r="M800" s="20"/>
      <c r="N800" s="126"/>
      <c r="O800" s="126"/>
      <c r="P800" s="126"/>
      <c r="Q800" s="171"/>
      <c r="R800" s="172"/>
      <c r="S800" s="172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43"/>
      <c r="AF800" s="143"/>
      <c r="AG800" s="143"/>
      <c r="AH800" s="143"/>
      <c r="AI800" s="143"/>
      <c r="AJ800" s="143"/>
      <c r="AK800" s="143"/>
      <c r="AL800" s="143"/>
      <c r="AM800" s="145"/>
      <c r="AN800" s="143"/>
      <c r="AO800" s="147"/>
    </row>
    <row r="801" spans="3:41">
      <c r="C801" s="136"/>
      <c r="D801" s="136"/>
      <c r="E801" s="19"/>
      <c r="F801" s="15"/>
      <c r="G801" s="138"/>
      <c r="H801" s="138"/>
      <c r="I801" s="126"/>
      <c r="J801" s="15"/>
      <c r="K801" s="15"/>
      <c r="L801" s="20"/>
      <c r="M801" s="20"/>
      <c r="N801" s="126"/>
      <c r="O801" s="126"/>
      <c r="P801" s="126"/>
      <c r="Q801" s="171"/>
      <c r="R801" s="172"/>
      <c r="S801" s="172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43"/>
      <c r="AF801" s="143"/>
      <c r="AG801" s="143"/>
      <c r="AH801" s="143"/>
      <c r="AI801" s="143"/>
      <c r="AJ801" s="143"/>
      <c r="AK801" s="143"/>
      <c r="AL801" s="143"/>
      <c r="AM801" s="145"/>
      <c r="AN801" s="143"/>
      <c r="AO801" s="147"/>
    </row>
    <row r="802" spans="3:41">
      <c r="C802" s="136"/>
      <c r="D802" s="136"/>
      <c r="E802" s="19"/>
      <c r="F802" s="15"/>
      <c r="G802" s="138"/>
      <c r="H802" s="138"/>
      <c r="I802" s="126"/>
      <c r="J802" s="15"/>
      <c r="K802" s="15"/>
      <c r="L802" s="20"/>
      <c r="M802" s="20"/>
      <c r="N802" s="126"/>
      <c r="O802" s="126"/>
      <c r="P802" s="126"/>
      <c r="Q802" s="171"/>
      <c r="R802" s="172"/>
      <c r="S802" s="172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43"/>
      <c r="AF802" s="143"/>
      <c r="AG802" s="143"/>
      <c r="AH802" s="143"/>
      <c r="AI802" s="143"/>
      <c r="AJ802" s="143"/>
      <c r="AK802" s="143"/>
      <c r="AL802" s="143"/>
      <c r="AM802" s="145"/>
      <c r="AN802" s="143"/>
      <c r="AO802" s="143"/>
    </row>
    <row r="803" spans="3:41">
      <c r="C803" s="136"/>
      <c r="D803" s="136"/>
      <c r="E803" s="19"/>
      <c r="F803" s="15"/>
      <c r="G803" s="138"/>
      <c r="H803" s="138"/>
      <c r="I803" s="126"/>
      <c r="J803" s="15"/>
      <c r="K803" s="15"/>
      <c r="L803" s="20"/>
      <c r="M803" s="20"/>
      <c r="N803" s="126"/>
      <c r="O803" s="126"/>
      <c r="P803" s="126"/>
      <c r="Q803" s="171"/>
      <c r="R803" s="172"/>
      <c r="S803" s="172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43"/>
      <c r="AF803" s="143"/>
      <c r="AG803" s="143"/>
      <c r="AH803" s="143"/>
      <c r="AI803" s="143"/>
      <c r="AJ803" s="143"/>
      <c r="AK803" s="143"/>
      <c r="AL803" s="143"/>
      <c r="AM803" s="145"/>
      <c r="AN803" s="143"/>
      <c r="AO803" s="147"/>
    </row>
    <row r="804" spans="3:41">
      <c r="C804" s="136"/>
      <c r="D804" s="136"/>
      <c r="E804" s="19"/>
      <c r="F804" s="15"/>
      <c r="G804" s="138"/>
      <c r="H804" s="138"/>
      <c r="I804" s="126"/>
      <c r="J804" s="15"/>
      <c r="K804" s="15"/>
      <c r="L804" s="20"/>
      <c r="M804" s="20"/>
      <c r="N804" s="126"/>
      <c r="O804" s="126"/>
      <c r="P804" s="126"/>
      <c r="Q804" s="171"/>
      <c r="R804" s="172"/>
      <c r="S804" s="172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43"/>
      <c r="AF804" s="143"/>
      <c r="AG804" s="143"/>
      <c r="AH804" s="143"/>
      <c r="AI804" s="143"/>
      <c r="AJ804" s="143"/>
      <c r="AK804" s="143"/>
      <c r="AL804" s="144"/>
      <c r="AM804" s="145"/>
      <c r="AN804" s="153"/>
      <c r="AO804" s="143"/>
    </row>
    <row r="805" spans="3:41">
      <c r="C805" s="136"/>
      <c r="D805" s="136"/>
      <c r="E805" s="19"/>
      <c r="F805" s="15"/>
      <c r="G805" s="138"/>
      <c r="H805" s="138"/>
      <c r="I805" s="126"/>
      <c r="J805" s="15"/>
      <c r="K805" s="15"/>
      <c r="L805" s="20"/>
      <c r="M805" s="20"/>
      <c r="N805" s="126"/>
      <c r="O805" s="126"/>
      <c r="P805" s="126"/>
      <c r="Q805" s="171"/>
      <c r="R805" s="173"/>
      <c r="S805" s="172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43"/>
      <c r="AF805" s="143"/>
      <c r="AG805" s="143"/>
      <c r="AH805" s="143"/>
      <c r="AI805" s="143"/>
      <c r="AJ805" s="143"/>
      <c r="AK805" s="143"/>
      <c r="AL805" s="144"/>
      <c r="AM805" s="144"/>
      <c r="AN805" s="153"/>
      <c r="AO805" s="147"/>
    </row>
    <row r="806" spans="3:41">
      <c r="C806" s="136"/>
      <c r="D806" s="136"/>
      <c r="E806" s="19"/>
      <c r="F806" s="15"/>
      <c r="G806" s="138"/>
      <c r="H806" s="138"/>
      <c r="I806" s="126"/>
      <c r="J806" s="15"/>
      <c r="K806" s="15"/>
      <c r="L806" s="20"/>
      <c r="M806" s="20"/>
      <c r="N806" s="126"/>
      <c r="O806" s="126"/>
      <c r="P806" s="126"/>
      <c r="Q806" s="171"/>
      <c r="R806" s="172"/>
      <c r="S806" s="172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43"/>
      <c r="AF806" s="143"/>
      <c r="AG806" s="143"/>
      <c r="AH806" s="143"/>
      <c r="AI806" s="143"/>
      <c r="AJ806" s="143"/>
      <c r="AK806" s="143"/>
      <c r="AL806" s="144"/>
      <c r="AM806" s="145"/>
      <c r="AN806" s="153"/>
      <c r="AO806" s="147"/>
    </row>
    <row r="807" spans="3:41">
      <c r="C807" s="136"/>
      <c r="D807" s="136"/>
      <c r="E807" s="19"/>
      <c r="F807" s="15"/>
      <c r="G807" s="138"/>
      <c r="H807" s="138"/>
      <c r="I807" s="126"/>
      <c r="J807" s="15"/>
      <c r="K807" s="15"/>
      <c r="L807" s="20"/>
      <c r="M807" s="20"/>
      <c r="N807" s="126"/>
      <c r="O807" s="126"/>
      <c r="P807" s="126"/>
      <c r="Q807" s="171"/>
      <c r="R807" s="173"/>
      <c r="S807" s="172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43"/>
      <c r="AF807" s="143"/>
      <c r="AG807" s="143"/>
      <c r="AH807" s="143"/>
      <c r="AI807" s="143"/>
      <c r="AJ807" s="143"/>
      <c r="AK807" s="143"/>
      <c r="AL807" s="144"/>
      <c r="AM807" s="145"/>
      <c r="AN807" s="153"/>
      <c r="AO807" s="143"/>
    </row>
    <row r="808" spans="3:41">
      <c r="C808" s="136"/>
      <c r="D808" s="136"/>
      <c r="E808" s="19"/>
      <c r="F808" s="15"/>
      <c r="G808" s="138"/>
      <c r="H808" s="138"/>
      <c r="I808" s="126"/>
      <c r="J808" s="15"/>
      <c r="K808" s="15"/>
      <c r="L808" s="20"/>
      <c r="M808" s="20"/>
      <c r="N808" s="126"/>
      <c r="O808" s="126"/>
      <c r="P808" s="126"/>
      <c r="Q808" s="171"/>
      <c r="R808" s="173"/>
      <c r="S808" s="172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43"/>
      <c r="AF808" s="143"/>
      <c r="AG808" s="143"/>
      <c r="AH808" s="143"/>
      <c r="AI808" s="143"/>
      <c r="AJ808" s="143"/>
      <c r="AK808" s="143"/>
      <c r="AL808" s="143"/>
      <c r="AM808" s="145"/>
      <c r="AN808" s="153"/>
      <c r="AO808" s="143"/>
    </row>
    <row r="809" spans="3:41">
      <c r="C809" s="136"/>
      <c r="D809" s="136"/>
      <c r="E809" s="19"/>
      <c r="F809" s="15"/>
      <c r="G809" s="138"/>
      <c r="H809" s="138"/>
      <c r="I809" s="126"/>
      <c r="J809" s="15"/>
      <c r="K809" s="15"/>
      <c r="L809" s="20"/>
      <c r="M809" s="20"/>
      <c r="N809" s="126"/>
      <c r="O809" s="126"/>
      <c r="P809" s="126"/>
      <c r="Q809" s="171"/>
      <c r="R809" s="173"/>
      <c r="S809" s="172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43"/>
      <c r="AF809" s="143"/>
      <c r="AG809" s="143"/>
      <c r="AH809" s="143"/>
      <c r="AI809" s="143"/>
      <c r="AJ809" s="143"/>
      <c r="AK809" s="143"/>
      <c r="AL809" s="143"/>
      <c r="AM809" s="145"/>
      <c r="AN809" s="153"/>
      <c r="AO809" s="147"/>
    </row>
    <row r="810" spans="3:41">
      <c r="C810" s="136"/>
      <c r="D810" s="136"/>
      <c r="E810" s="19"/>
      <c r="F810" s="15"/>
      <c r="G810" s="138"/>
      <c r="H810" s="138"/>
      <c r="I810" s="126"/>
      <c r="J810" s="15"/>
      <c r="K810" s="15"/>
      <c r="L810" s="20"/>
      <c r="M810" s="20"/>
      <c r="N810" s="126"/>
      <c r="O810" s="126"/>
      <c r="P810" s="126"/>
      <c r="Q810" s="171"/>
      <c r="R810" s="172"/>
      <c r="S810" s="172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43"/>
      <c r="AF810" s="143"/>
      <c r="AG810" s="143"/>
      <c r="AH810" s="143"/>
      <c r="AI810" s="143"/>
      <c r="AJ810" s="143"/>
      <c r="AK810" s="143"/>
      <c r="AL810" s="144"/>
      <c r="AM810" s="145"/>
      <c r="AN810" s="147"/>
      <c r="AO810" s="143"/>
    </row>
    <row r="811" spans="3:41">
      <c r="C811" s="136"/>
      <c r="D811" s="136"/>
      <c r="E811" s="19"/>
      <c r="F811" s="15"/>
      <c r="G811" s="138"/>
      <c r="H811" s="138"/>
      <c r="I811" s="126"/>
      <c r="J811" s="15"/>
      <c r="K811" s="15"/>
      <c r="L811" s="20"/>
      <c r="M811" s="20"/>
      <c r="N811" s="126"/>
      <c r="O811" s="126"/>
      <c r="P811" s="126"/>
      <c r="Q811" s="171"/>
      <c r="R811" s="173"/>
      <c r="S811" s="172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43"/>
      <c r="AF811" s="143"/>
      <c r="AG811" s="143"/>
      <c r="AH811" s="143"/>
      <c r="AI811" s="143"/>
      <c r="AJ811" s="143"/>
      <c r="AK811" s="143"/>
      <c r="AL811" s="144"/>
      <c r="AM811" s="145"/>
      <c r="AN811" s="153"/>
      <c r="AO811" s="143"/>
    </row>
    <row r="812" spans="3:41">
      <c r="C812" s="136"/>
      <c r="D812" s="136"/>
      <c r="E812" s="19"/>
      <c r="F812" s="15"/>
      <c r="G812" s="138"/>
      <c r="H812" s="138"/>
      <c r="I812" s="126"/>
      <c r="J812" s="15"/>
      <c r="K812" s="15"/>
      <c r="L812" s="20"/>
      <c r="M812" s="20"/>
      <c r="N812" s="126"/>
      <c r="O812" s="126"/>
      <c r="P812" s="126"/>
      <c r="Q812" s="171"/>
      <c r="R812" s="173"/>
      <c r="S812" s="172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43"/>
      <c r="AF812" s="143"/>
      <c r="AG812" s="143"/>
      <c r="AH812" s="143"/>
      <c r="AI812" s="143"/>
      <c r="AJ812" s="143"/>
      <c r="AK812" s="143"/>
      <c r="AL812" s="144"/>
      <c r="AM812" s="145"/>
      <c r="AN812" s="153"/>
      <c r="AO812" s="143"/>
    </row>
    <row r="813" spans="3:41">
      <c r="C813" s="136"/>
      <c r="D813" s="136"/>
      <c r="E813" s="19"/>
      <c r="F813" s="15"/>
      <c r="G813" s="138"/>
      <c r="H813" s="138"/>
      <c r="I813" s="126"/>
      <c r="J813" s="15"/>
      <c r="K813" s="15"/>
      <c r="L813" s="20"/>
      <c r="M813" s="20"/>
      <c r="N813" s="126"/>
      <c r="O813" s="126"/>
      <c r="P813" s="126"/>
      <c r="Q813" s="171"/>
      <c r="R813" s="173"/>
      <c r="S813" s="172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43"/>
      <c r="AF813" s="143"/>
      <c r="AG813" s="143"/>
      <c r="AH813" s="143"/>
      <c r="AI813" s="143"/>
      <c r="AJ813" s="143"/>
      <c r="AK813" s="143"/>
      <c r="AL813" s="144"/>
      <c r="AM813" s="145"/>
      <c r="AN813" s="153"/>
      <c r="AO813" s="143"/>
    </row>
    <row r="814" spans="3:41">
      <c r="C814" s="136"/>
      <c r="D814" s="136"/>
      <c r="E814" s="19"/>
      <c r="F814" s="15"/>
      <c r="G814" s="138"/>
      <c r="H814" s="138"/>
      <c r="I814" s="126"/>
      <c r="J814" s="15"/>
      <c r="K814" s="15"/>
      <c r="L814" s="20"/>
      <c r="M814" s="20"/>
      <c r="N814" s="126"/>
      <c r="O814" s="126"/>
      <c r="P814" s="126"/>
      <c r="Q814" s="171"/>
      <c r="R814" s="173"/>
      <c r="S814" s="172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43"/>
      <c r="AF814" s="143"/>
      <c r="AG814" s="143"/>
      <c r="AH814" s="143"/>
      <c r="AI814" s="143"/>
      <c r="AJ814" s="143"/>
      <c r="AK814" s="143"/>
      <c r="AL814" s="144"/>
      <c r="AM814" s="145"/>
      <c r="AN814" s="153"/>
      <c r="AO814" s="143"/>
    </row>
    <row r="815" spans="3:41">
      <c r="C815" s="136"/>
      <c r="D815" s="136"/>
      <c r="E815" s="19"/>
      <c r="F815" s="15"/>
      <c r="G815" s="138"/>
      <c r="H815" s="138"/>
      <c r="I815" s="126"/>
      <c r="J815" s="15"/>
      <c r="K815" s="15"/>
      <c r="L815" s="20"/>
      <c r="M815" s="20"/>
      <c r="N815" s="126"/>
      <c r="O815" s="126"/>
      <c r="P815" s="126"/>
      <c r="Q815" s="171"/>
      <c r="R815" s="173"/>
      <c r="S815" s="172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43"/>
      <c r="AF815" s="143"/>
      <c r="AG815" s="143"/>
      <c r="AH815" s="143"/>
      <c r="AI815" s="143"/>
      <c r="AJ815" s="143"/>
      <c r="AK815" s="143"/>
      <c r="AL815" s="144"/>
      <c r="AM815" s="145"/>
      <c r="AN815" s="153"/>
      <c r="AO815" s="143"/>
    </row>
    <row r="816" spans="3:41">
      <c r="C816" s="136"/>
      <c r="D816" s="136"/>
      <c r="E816" s="19"/>
      <c r="F816" s="15"/>
      <c r="G816" s="138"/>
      <c r="H816" s="138"/>
      <c r="I816" s="126"/>
      <c r="J816" s="15"/>
      <c r="K816" s="15"/>
      <c r="L816" s="20"/>
      <c r="M816" s="20"/>
      <c r="N816" s="126"/>
      <c r="O816" s="126"/>
      <c r="P816" s="126"/>
      <c r="Q816" s="171"/>
      <c r="R816" s="173"/>
      <c r="S816" s="172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43"/>
      <c r="AF816" s="143"/>
      <c r="AG816" s="143"/>
      <c r="AH816" s="143"/>
      <c r="AI816" s="143"/>
      <c r="AJ816" s="143"/>
      <c r="AK816" s="143"/>
      <c r="AL816" s="144"/>
      <c r="AM816" s="145"/>
      <c r="AN816" s="153"/>
      <c r="AO816" s="143"/>
    </row>
    <row r="817" spans="3:41">
      <c r="C817" s="136"/>
      <c r="D817" s="136"/>
      <c r="E817" s="19"/>
      <c r="F817" s="15"/>
      <c r="G817" s="138"/>
      <c r="H817" s="138"/>
      <c r="I817" s="126"/>
      <c r="J817" s="15"/>
      <c r="K817" s="15"/>
      <c r="L817" s="20"/>
      <c r="M817" s="20"/>
      <c r="N817" s="126"/>
      <c r="O817" s="126"/>
      <c r="P817" s="126"/>
      <c r="Q817" s="171"/>
      <c r="R817" s="173"/>
      <c r="S817" s="172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43"/>
      <c r="AF817" s="143"/>
      <c r="AG817" s="143"/>
      <c r="AH817" s="143"/>
      <c r="AI817" s="143"/>
      <c r="AJ817" s="143"/>
      <c r="AK817" s="143"/>
      <c r="AL817" s="143"/>
      <c r="AM817" s="145"/>
      <c r="AN817" s="153"/>
      <c r="AO817" s="143"/>
    </row>
    <row r="818" spans="3:41">
      <c r="C818" s="136"/>
      <c r="D818" s="136"/>
      <c r="E818" s="19"/>
      <c r="F818" s="15"/>
      <c r="G818" s="138"/>
      <c r="H818" s="138"/>
      <c r="I818" s="126"/>
      <c r="J818" s="15"/>
      <c r="K818" s="15"/>
      <c r="L818" s="20"/>
      <c r="M818" s="20"/>
      <c r="N818" s="126"/>
      <c r="O818" s="126"/>
      <c r="P818" s="126"/>
      <c r="Q818" s="171"/>
      <c r="R818" s="173"/>
      <c r="S818" s="172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43"/>
      <c r="AF818" s="143"/>
      <c r="AG818" s="143"/>
      <c r="AH818" s="143"/>
      <c r="AI818" s="143"/>
      <c r="AJ818" s="143"/>
      <c r="AK818" s="143"/>
      <c r="AL818" s="144"/>
      <c r="AM818" s="145"/>
      <c r="AN818" s="153"/>
      <c r="AO818" s="143"/>
    </row>
    <row r="819" spans="3:41">
      <c r="C819" s="136"/>
      <c r="D819" s="136"/>
      <c r="E819" s="19"/>
      <c r="F819" s="15"/>
      <c r="G819" s="138"/>
      <c r="H819" s="138"/>
      <c r="I819" s="126"/>
      <c r="J819" s="15"/>
      <c r="K819" s="15"/>
      <c r="L819" s="20"/>
      <c r="M819" s="20"/>
      <c r="N819" s="126"/>
      <c r="O819" s="126"/>
      <c r="P819" s="126"/>
      <c r="Q819" s="171"/>
      <c r="R819" s="172"/>
      <c r="S819" s="172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43"/>
      <c r="AF819" s="143"/>
      <c r="AG819" s="143"/>
      <c r="AH819" s="143"/>
      <c r="AI819" s="143"/>
      <c r="AJ819" s="143"/>
      <c r="AK819" s="143"/>
      <c r="AL819" s="144"/>
      <c r="AM819" s="145"/>
      <c r="AN819" s="153"/>
      <c r="AO819" s="143"/>
    </row>
    <row r="820" spans="3:41">
      <c r="C820" s="136"/>
      <c r="D820" s="136"/>
      <c r="E820" s="19"/>
      <c r="F820" s="15"/>
      <c r="G820" s="138"/>
      <c r="H820" s="138"/>
      <c r="I820" s="126"/>
      <c r="J820" s="15"/>
      <c r="K820" s="15"/>
      <c r="L820" s="20"/>
      <c r="M820" s="20"/>
      <c r="N820" s="126"/>
      <c r="O820" s="126"/>
      <c r="P820" s="126"/>
      <c r="Q820" s="171"/>
      <c r="R820" s="173"/>
      <c r="S820" s="172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43"/>
      <c r="AF820" s="143"/>
      <c r="AG820" s="143"/>
      <c r="AH820" s="143"/>
      <c r="AI820" s="143"/>
      <c r="AJ820" s="143"/>
      <c r="AK820" s="143"/>
      <c r="AL820" s="144"/>
      <c r="AM820" s="145"/>
      <c r="AN820" s="153"/>
      <c r="AO820" s="143"/>
    </row>
    <row r="821" spans="3:41">
      <c r="C821" s="136"/>
      <c r="D821" s="136"/>
      <c r="E821" s="19"/>
      <c r="F821" s="15"/>
      <c r="G821" s="138"/>
      <c r="H821" s="138"/>
      <c r="I821" s="126"/>
      <c r="J821" s="15"/>
      <c r="K821" s="15"/>
      <c r="L821" s="20"/>
      <c r="M821" s="20"/>
      <c r="N821" s="126"/>
      <c r="O821" s="126"/>
      <c r="P821" s="126"/>
      <c r="Q821" s="171"/>
      <c r="R821" s="172"/>
      <c r="S821" s="172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43"/>
      <c r="AF821" s="143"/>
      <c r="AG821" s="143"/>
      <c r="AH821" s="143"/>
      <c r="AI821" s="143"/>
      <c r="AJ821" s="143"/>
      <c r="AK821" s="143"/>
      <c r="AL821" s="144"/>
      <c r="AM821" s="145"/>
      <c r="AN821" s="153"/>
      <c r="AO821" s="147"/>
    </row>
    <row r="822" spans="3:41">
      <c r="C822" s="136"/>
      <c r="D822" s="136"/>
      <c r="E822" s="19"/>
      <c r="F822" s="15"/>
      <c r="G822" s="138"/>
      <c r="H822" s="138"/>
      <c r="I822" s="126"/>
      <c r="J822" s="15"/>
      <c r="K822" s="15"/>
      <c r="L822" s="20"/>
      <c r="M822" s="20"/>
      <c r="N822" s="126"/>
      <c r="O822" s="126"/>
      <c r="P822" s="126"/>
      <c r="Q822" s="171"/>
      <c r="R822" s="172"/>
      <c r="S822" s="172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43"/>
      <c r="AF822" s="143"/>
      <c r="AG822" s="143"/>
      <c r="AH822" s="143"/>
      <c r="AI822" s="143"/>
      <c r="AJ822" s="143"/>
      <c r="AK822" s="143"/>
      <c r="AL822" s="144"/>
      <c r="AM822" s="145"/>
      <c r="AN822" s="153"/>
      <c r="AO822" s="143"/>
    </row>
    <row r="823" spans="3:41">
      <c r="C823" s="136"/>
      <c r="D823" s="136"/>
      <c r="E823" s="19"/>
      <c r="F823" s="15"/>
      <c r="G823" s="138"/>
      <c r="H823" s="138"/>
      <c r="I823" s="126"/>
      <c r="J823" s="15"/>
      <c r="K823" s="15"/>
      <c r="L823" s="20"/>
      <c r="M823" s="20"/>
      <c r="N823" s="126"/>
      <c r="O823" s="126"/>
      <c r="P823" s="126"/>
      <c r="Q823" s="171"/>
      <c r="R823" s="172"/>
      <c r="S823" s="172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43"/>
      <c r="AF823" s="143"/>
      <c r="AG823" s="143"/>
      <c r="AH823" s="143"/>
      <c r="AI823" s="143"/>
      <c r="AJ823" s="143"/>
      <c r="AK823" s="143"/>
      <c r="AL823" s="144"/>
      <c r="AM823" s="157"/>
      <c r="AN823" s="153"/>
      <c r="AO823" s="143"/>
    </row>
    <row r="824" spans="3:41">
      <c r="C824" s="136"/>
      <c r="D824" s="136"/>
      <c r="E824" s="19"/>
      <c r="F824" s="15"/>
      <c r="G824" s="138"/>
      <c r="H824" s="138"/>
      <c r="I824" s="126"/>
      <c r="J824" s="15"/>
      <c r="K824" s="15"/>
      <c r="L824" s="20"/>
      <c r="M824" s="20"/>
      <c r="N824" s="126"/>
      <c r="O824" s="126"/>
      <c r="P824" s="126"/>
      <c r="Q824" s="171"/>
      <c r="R824" s="172"/>
      <c r="S824" s="172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43"/>
      <c r="AF824" s="143"/>
      <c r="AG824" s="143"/>
      <c r="AH824" s="143"/>
      <c r="AI824" s="143"/>
      <c r="AJ824" s="143"/>
      <c r="AK824" s="143"/>
      <c r="AL824" s="143"/>
      <c r="AM824" s="145"/>
      <c r="AN824" s="143"/>
      <c r="AO824" s="143"/>
    </row>
    <row r="825" spans="3:41">
      <c r="C825" s="136"/>
      <c r="D825" s="136"/>
      <c r="E825" s="19"/>
      <c r="F825" s="15"/>
      <c r="G825" s="138"/>
      <c r="H825" s="138"/>
      <c r="I825" s="126"/>
      <c r="J825" s="15"/>
      <c r="K825" s="15"/>
      <c r="L825" s="20"/>
      <c r="M825" s="20"/>
      <c r="N825" s="126"/>
      <c r="O825" s="126"/>
      <c r="P825" s="126"/>
      <c r="Q825" s="171"/>
      <c r="R825" s="172"/>
      <c r="S825" s="172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43"/>
      <c r="AF825" s="143"/>
      <c r="AG825" s="143"/>
      <c r="AH825" s="143"/>
      <c r="AI825" s="143"/>
      <c r="AJ825" s="143"/>
      <c r="AK825" s="143"/>
      <c r="AL825" s="144"/>
      <c r="AM825" s="157"/>
      <c r="AN825" s="153"/>
      <c r="AO825" s="143"/>
    </row>
    <row r="826" spans="3:41">
      <c r="C826" s="136"/>
      <c r="D826" s="136"/>
      <c r="E826" s="19"/>
      <c r="F826" s="15"/>
      <c r="G826" s="138"/>
      <c r="H826" s="138"/>
      <c r="I826" s="126"/>
      <c r="J826" s="15"/>
      <c r="K826" s="15"/>
      <c r="L826" s="20"/>
      <c r="M826" s="20"/>
      <c r="N826" s="126"/>
      <c r="O826" s="126"/>
      <c r="P826" s="126"/>
      <c r="Q826" s="171"/>
      <c r="R826" s="172"/>
      <c r="S826" s="172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43"/>
      <c r="AF826" s="143"/>
      <c r="AG826" s="143"/>
      <c r="AH826" s="143"/>
      <c r="AI826" s="143"/>
      <c r="AJ826" s="143"/>
      <c r="AK826" s="143"/>
      <c r="AL826" s="144"/>
      <c r="AM826" s="145"/>
      <c r="AN826" s="144"/>
      <c r="AO826" s="143"/>
    </row>
    <row r="827" spans="3:41">
      <c r="C827" s="136"/>
      <c r="D827" s="136"/>
      <c r="E827" s="19"/>
      <c r="F827" s="15"/>
      <c r="G827" s="138"/>
      <c r="H827" s="138"/>
      <c r="I827" s="126"/>
      <c r="J827" s="15"/>
      <c r="K827" s="15"/>
      <c r="L827" s="20"/>
      <c r="M827" s="20"/>
      <c r="N827" s="126"/>
      <c r="O827" s="126"/>
      <c r="P827" s="126"/>
      <c r="Q827" s="171"/>
      <c r="R827" s="172"/>
      <c r="S827" s="172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43"/>
      <c r="AF827" s="143"/>
      <c r="AG827" s="143"/>
      <c r="AH827" s="143"/>
      <c r="AI827" s="143"/>
      <c r="AJ827" s="143"/>
      <c r="AK827" s="143"/>
      <c r="AL827" s="144"/>
      <c r="AM827" s="145"/>
      <c r="AN827" s="153"/>
      <c r="AO827" s="143"/>
    </row>
    <row r="828" spans="3:41">
      <c r="C828" s="136"/>
      <c r="D828" s="136"/>
      <c r="E828" s="19"/>
      <c r="F828" s="15"/>
      <c r="G828" s="138"/>
      <c r="H828" s="138"/>
      <c r="I828" s="126"/>
      <c r="J828" s="15"/>
      <c r="K828" s="15"/>
      <c r="L828" s="20"/>
      <c r="M828" s="20"/>
      <c r="N828" s="126"/>
      <c r="O828" s="126"/>
      <c r="P828" s="126"/>
      <c r="Q828" s="171"/>
      <c r="R828" s="172"/>
      <c r="S828" s="172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43"/>
      <c r="AF828" s="143"/>
      <c r="AG828" s="143"/>
      <c r="AH828" s="143"/>
      <c r="AI828" s="143"/>
      <c r="AJ828" s="143"/>
      <c r="AK828" s="143"/>
      <c r="AL828" s="144"/>
      <c r="AM828" s="145"/>
      <c r="AN828" s="153"/>
      <c r="AO828" s="143"/>
    </row>
    <row r="829" spans="3:41">
      <c r="C829" s="136"/>
      <c r="D829" s="136"/>
      <c r="E829" s="19"/>
      <c r="F829" s="15"/>
      <c r="G829" s="138"/>
      <c r="H829" s="138"/>
      <c r="I829" s="126"/>
      <c r="J829" s="15"/>
      <c r="K829" s="15"/>
      <c r="L829" s="20"/>
      <c r="M829" s="20"/>
      <c r="N829" s="126"/>
      <c r="O829" s="126"/>
      <c r="P829" s="126"/>
      <c r="Q829" s="171"/>
      <c r="R829" s="172"/>
      <c r="S829" s="172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43"/>
      <c r="AF829" s="143"/>
      <c r="AG829" s="143"/>
      <c r="AH829" s="143"/>
      <c r="AI829" s="143"/>
      <c r="AJ829" s="143"/>
      <c r="AK829" s="143"/>
      <c r="AL829" s="143"/>
      <c r="AM829" s="145"/>
      <c r="AN829" s="143"/>
      <c r="AO829" s="147"/>
    </row>
    <row r="830" spans="3:41">
      <c r="C830" s="136"/>
      <c r="D830" s="136"/>
      <c r="E830" s="19"/>
      <c r="F830" s="15"/>
      <c r="G830" s="138"/>
      <c r="H830" s="138"/>
      <c r="I830" s="126"/>
      <c r="J830" s="15"/>
      <c r="K830" s="15"/>
      <c r="L830" s="20"/>
      <c r="M830" s="20"/>
      <c r="N830" s="126"/>
      <c r="O830" s="126"/>
      <c r="P830" s="126"/>
      <c r="Q830" s="171"/>
      <c r="R830" s="172"/>
      <c r="S830" s="172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43"/>
      <c r="AF830" s="143"/>
      <c r="AG830" s="143"/>
      <c r="AH830" s="143"/>
      <c r="AI830" s="143"/>
      <c r="AJ830" s="143"/>
      <c r="AK830" s="143"/>
      <c r="AL830" s="144"/>
      <c r="AM830" s="145"/>
      <c r="AN830" s="144"/>
      <c r="AO830" s="147"/>
    </row>
    <row r="831" spans="3:41">
      <c r="C831" s="136"/>
      <c r="D831" s="136"/>
      <c r="E831" s="19"/>
      <c r="F831" s="15"/>
      <c r="G831" s="138"/>
      <c r="H831" s="138"/>
      <c r="I831" s="126"/>
      <c r="J831" s="15"/>
      <c r="K831" s="15"/>
      <c r="L831" s="20"/>
      <c r="M831" s="20"/>
      <c r="N831" s="126"/>
      <c r="O831" s="126"/>
      <c r="P831" s="126"/>
      <c r="Q831" s="171"/>
      <c r="R831" s="172"/>
      <c r="S831" s="172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43"/>
      <c r="AF831" s="143"/>
      <c r="AG831" s="143"/>
      <c r="AH831" s="143"/>
      <c r="AI831" s="143"/>
      <c r="AJ831" s="143"/>
      <c r="AK831" s="143"/>
      <c r="AL831" s="144"/>
      <c r="AM831" s="145"/>
      <c r="AN831" s="153"/>
      <c r="AO831" s="147"/>
    </row>
    <row r="832" spans="3:41">
      <c r="C832" s="136"/>
      <c r="D832" s="136"/>
      <c r="E832" s="19"/>
      <c r="F832" s="15"/>
      <c r="G832" s="138"/>
      <c r="H832" s="138"/>
      <c r="I832" s="126"/>
      <c r="J832" s="15"/>
      <c r="K832" s="15"/>
      <c r="L832" s="20"/>
      <c r="M832" s="20"/>
      <c r="N832" s="126"/>
      <c r="O832" s="126"/>
      <c r="P832" s="126"/>
      <c r="Q832" s="171"/>
      <c r="R832" s="172"/>
      <c r="S832" s="172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43"/>
      <c r="AF832" s="143"/>
      <c r="AG832" s="143"/>
      <c r="AH832" s="143"/>
      <c r="AI832" s="143"/>
      <c r="AJ832" s="143"/>
      <c r="AK832" s="143"/>
      <c r="AL832" s="144"/>
      <c r="AM832" s="145"/>
      <c r="AN832" s="143"/>
      <c r="AO832" s="147"/>
    </row>
    <row r="833" spans="3:41">
      <c r="C833" s="136"/>
      <c r="D833" s="136"/>
      <c r="E833" s="19"/>
      <c r="F833" s="15"/>
      <c r="G833" s="138"/>
      <c r="H833" s="138"/>
      <c r="I833" s="126"/>
      <c r="J833" s="15"/>
      <c r="K833" s="15"/>
      <c r="L833" s="20"/>
      <c r="M833" s="20"/>
      <c r="N833" s="126"/>
      <c r="O833" s="126"/>
      <c r="P833" s="126"/>
      <c r="Q833" s="171"/>
      <c r="R833" s="172"/>
      <c r="S833" s="172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43"/>
      <c r="AF833" s="143"/>
      <c r="AG833" s="143"/>
      <c r="AH833" s="143"/>
      <c r="AI833" s="143"/>
      <c r="AJ833" s="143"/>
      <c r="AK833" s="143"/>
      <c r="AL833" s="143"/>
      <c r="AM833" s="157"/>
      <c r="AN833" s="153"/>
      <c r="AO833" s="147"/>
    </row>
    <row r="834" spans="3:41">
      <c r="C834" s="136"/>
      <c r="D834" s="136"/>
      <c r="E834" s="19"/>
      <c r="F834" s="15"/>
      <c r="G834" s="138"/>
      <c r="H834" s="138"/>
      <c r="I834" s="126"/>
      <c r="J834" s="15"/>
      <c r="K834" s="15"/>
      <c r="L834" s="20"/>
      <c r="M834" s="20"/>
      <c r="N834" s="126"/>
      <c r="O834" s="126"/>
      <c r="P834" s="126"/>
      <c r="Q834" s="171"/>
      <c r="R834" s="172"/>
      <c r="S834" s="172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43"/>
      <c r="AF834" s="143"/>
      <c r="AG834" s="143"/>
      <c r="AH834" s="143"/>
      <c r="AI834" s="143"/>
      <c r="AJ834" s="143"/>
      <c r="AK834" s="143"/>
      <c r="AL834" s="144"/>
      <c r="AM834" s="145"/>
      <c r="AN834" s="153"/>
      <c r="AO834" s="147"/>
    </row>
    <row r="835" spans="3:41">
      <c r="C835" s="136"/>
      <c r="D835" s="136"/>
      <c r="E835" s="19"/>
      <c r="F835" s="15"/>
      <c r="G835" s="138"/>
      <c r="H835" s="138"/>
      <c r="I835" s="126"/>
      <c r="J835" s="15"/>
      <c r="K835" s="15"/>
      <c r="L835" s="20"/>
      <c r="M835" s="20"/>
      <c r="N835" s="126"/>
      <c r="O835" s="126"/>
      <c r="P835" s="126"/>
      <c r="Q835" s="171"/>
      <c r="R835" s="172"/>
      <c r="S835" s="172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43"/>
      <c r="AF835" s="143"/>
      <c r="AG835" s="143"/>
      <c r="AH835" s="143"/>
      <c r="AI835" s="143"/>
      <c r="AJ835" s="143"/>
      <c r="AK835" s="143"/>
      <c r="AL835" s="144"/>
      <c r="AM835" s="145"/>
      <c r="AN835" s="153"/>
      <c r="AO835" s="143"/>
    </row>
    <row r="836" spans="3:41">
      <c r="C836" s="136"/>
      <c r="D836" s="136"/>
      <c r="E836" s="19"/>
      <c r="F836" s="15"/>
      <c r="G836" s="138"/>
      <c r="H836" s="138"/>
      <c r="I836" s="126"/>
      <c r="J836" s="15"/>
      <c r="K836" s="15"/>
      <c r="L836" s="20"/>
      <c r="M836" s="20"/>
      <c r="N836" s="126"/>
      <c r="O836" s="126"/>
      <c r="P836" s="126"/>
      <c r="Q836" s="171"/>
      <c r="R836" s="172"/>
      <c r="S836" s="172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43"/>
      <c r="AF836" s="143"/>
      <c r="AG836" s="143"/>
      <c r="AH836" s="143"/>
      <c r="AI836" s="143"/>
      <c r="AJ836" s="143"/>
      <c r="AK836" s="143"/>
      <c r="AL836" s="144"/>
      <c r="AM836" s="145"/>
      <c r="AN836" s="153"/>
      <c r="AO836" s="143"/>
    </row>
    <row r="837" spans="3:41">
      <c r="C837" s="136"/>
      <c r="D837" s="136"/>
      <c r="E837" s="19"/>
      <c r="F837" s="15"/>
      <c r="G837" s="138"/>
      <c r="H837" s="138"/>
      <c r="I837" s="126"/>
      <c r="J837" s="15"/>
      <c r="K837" s="15"/>
      <c r="L837" s="20"/>
      <c r="M837" s="20"/>
      <c r="N837" s="126"/>
      <c r="O837" s="126"/>
      <c r="P837" s="126"/>
      <c r="Q837" s="171"/>
      <c r="R837" s="172"/>
      <c r="S837" s="172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43"/>
      <c r="AF837" s="143"/>
      <c r="AG837" s="143"/>
      <c r="AH837" s="143"/>
      <c r="AI837" s="143"/>
      <c r="AJ837" s="143"/>
      <c r="AK837" s="143"/>
      <c r="AL837" s="144"/>
      <c r="AM837" s="145"/>
      <c r="AN837" s="153"/>
      <c r="AO837" s="147"/>
    </row>
    <row r="838" spans="3:41">
      <c r="C838" s="136"/>
      <c r="D838" s="136"/>
      <c r="E838" s="19"/>
      <c r="F838" s="15"/>
      <c r="G838" s="138"/>
      <c r="H838" s="138"/>
      <c r="I838" s="126"/>
      <c r="J838" s="15"/>
      <c r="K838" s="15"/>
      <c r="L838" s="20"/>
      <c r="M838" s="20"/>
      <c r="N838" s="126"/>
      <c r="O838" s="126"/>
      <c r="P838" s="126"/>
      <c r="Q838" s="171"/>
      <c r="R838" s="172"/>
      <c r="S838" s="172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43"/>
      <c r="AF838" s="143"/>
      <c r="AG838" s="143"/>
      <c r="AH838" s="143"/>
      <c r="AI838" s="143"/>
      <c r="AJ838" s="143"/>
      <c r="AK838" s="143"/>
      <c r="AL838" s="143"/>
      <c r="AM838" s="145"/>
      <c r="AN838" s="153"/>
      <c r="AO838" s="147"/>
    </row>
    <row r="839" spans="3:41">
      <c r="C839" s="136"/>
      <c r="D839" s="136"/>
      <c r="E839" s="19"/>
      <c r="F839" s="15"/>
      <c r="G839" s="138"/>
      <c r="H839" s="138"/>
      <c r="I839" s="126"/>
      <c r="J839" s="15"/>
      <c r="K839" s="15"/>
      <c r="L839" s="20"/>
      <c r="M839" s="20"/>
      <c r="N839" s="126"/>
      <c r="O839" s="126"/>
      <c r="P839" s="126"/>
      <c r="Q839" s="171"/>
      <c r="R839" s="172"/>
      <c r="S839" s="172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43"/>
      <c r="AF839" s="143"/>
      <c r="AG839" s="143"/>
      <c r="AH839" s="143"/>
      <c r="AI839" s="143"/>
      <c r="AJ839" s="143"/>
      <c r="AK839" s="143"/>
      <c r="AL839" s="143"/>
      <c r="AM839" s="145"/>
      <c r="AN839" s="153"/>
      <c r="AO839" s="143"/>
    </row>
    <row r="840" spans="3:41">
      <c r="C840" s="136"/>
      <c r="D840" s="136"/>
      <c r="E840" s="19"/>
      <c r="F840" s="15"/>
      <c r="G840" s="138"/>
      <c r="H840" s="138"/>
      <c r="I840" s="126"/>
      <c r="J840" s="15"/>
      <c r="K840" s="15"/>
      <c r="L840" s="20"/>
      <c r="M840" s="20"/>
      <c r="N840" s="126"/>
      <c r="O840" s="126"/>
      <c r="P840" s="126"/>
      <c r="Q840" s="171"/>
      <c r="R840" s="172"/>
      <c r="S840" s="172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43"/>
      <c r="AF840" s="143"/>
      <c r="AG840" s="143"/>
      <c r="AH840" s="143"/>
      <c r="AI840" s="143"/>
      <c r="AJ840" s="143"/>
      <c r="AK840" s="143"/>
      <c r="AL840" s="143"/>
      <c r="AM840" s="145"/>
      <c r="AN840" s="153"/>
      <c r="AO840" s="147"/>
    </row>
    <row r="841" spans="3:41">
      <c r="C841" s="136"/>
      <c r="D841" s="136"/>
      <c r="E841" s="19"/>
      <c r="F841" s="15"/>
      <c r="G841" s="138"/>
      <c r="H841" s="138"/>
      <c r="I841" s="126"/>
      <c r="J841" s="15"/>
      <c r="K841" s="15"/>
      <c r="L841" s="20"/>
      <c r="M841" s="20"/>
      <c r="N841" s="126"/>
      <c r="O841" s="126"/>
      <c r="P841" s="126"/>
      <c r="Q841" s="171"/>
      <c r="R841" s="172"/>
      <c r="S841" s="172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43"/>
      <c r="AF841" s="143"/>
      <c r="AG841" s="143"/>
      <c r="AH841" s="143"/>
      <c r="AI841" s="143"/>
      <c r="AJ841" s="143"/>
      <c r="AK841" s="143"/>
      <c r="AL841" s="143"/>
      <c r="AM841" s="145"/>
      <c r="AN841" s="153"/>
      <c r="AO841" s="143"/>
    </row>
    <row r="842" spans="3:41">
      <c r="C842" s="136"/>
      <c r="D842" s="136"/>
      <c r="E842" s="19"/>
      <c r="F842" s="15"/>
      <c r="G842" s="138"/>
      <c r="H842" s="138"/>
      <c r="I842" s="126"/>
      <c r="J842" s="15"/>
      <c r="K842" s="15"/>
      <c r="L842" s="20"/>
      <c r="M842" s="20"/>
      <c r="N842" s="126"/>
      <c r="O842" s="126"/>
      <c r="P842" s="126"/>
      <c r="Q842" s="171"/>
      <c r="R842" s="172"/>
      <c r="S842" s="172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43"/>
      <c r="AF842" s="143"/>
      <c r="AG842" s="143"/>
      <c r="AH842" s="143"/>
      <c r="AI842" s="143"/>
      <c r="AJ842" s="143"/>
      <c r="AK842" s="143"/>
      <c r="AL842" s="143"/>
      <c r="AM842" s="145"/>
      <c r="AN842" s="153"/>
      <c r="AO842" s="143"/>
    </row>
    <row r="843" spans="3:41">
      <c r="C843" s="136"/>
      <c r="D843" s="136"/>
      <c r="E843" s="19"/>
      <c r="F843" s="15"/>
      <c r="G843" s="138"/>
      <c r="H843" s="138"/>
      <c r="I843" s="126"/>
      <c r="J843" s="15"/>
      <c r="K843" s="15"/>
      <c r="L843" s="20"/>
      <c r="M843" s="20"/>
      <c r="N843" s="126"/>
      <c r="O843" s="126"/>
      <c r="P843" s="126"/>
      <c r="Q843" s="171"/>
      <c r="R843" s="172"/>
      <c r="S843" s="172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43"/>
      <c r="AF843" s="143"/>
      <c r="AG843" s="143"/>
      <c r="AH843" s="143"/>
      <c r="AI843" s="143"/>
      <c r="AJ843" s="143"/>
      <c r="AK843" s="143"/>
      <c r="AL843" s="143"/>
      <c r="AM843" s="145"/>
      <c r="AN843" s="143"/>
      <c r="AO843" s="143"/>
    </row>
    <row r="844" spans="3:41">
      <c r="C844" s="136"/>
      <c r="D844" s="136"/>
      <c r="E844" s="19"/>
      <c r="F844" s="15"/>
      <c r="G844" s="138"/>
      <c r="H844" s="138"/>
      <c r="I844" s="126"/>
      <c r="J844" s="15"/>
      <c r="K844" s="15"/>
      <c r="L844" s="20"/>
      <c r="M844" s="20"/>
      <c r="N844" s="126"/>
      <c r="O844" s="126"/>
      <c r="P844" s="126"/>
      <c r="Q844" s="171"/>
      <c r="R844" s="172"/>
      <c r="S844" s="172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43"/>
      <c r="AF844" s="143"/>
      <c r="AG844" s="143"/>
      <c r="AH844" s="143"/>
      <c r="AI844" s="143"/>
      <c r="AJ844" s="143"/>
      <c r="AK844" s="143"/>
      <c r="AL844" s="144"/>
      <c r="AM844" s="145"/>
      <c r="AN844" s="153"/>
      <c r="AO844" s="143"/>
    </row>
    <row r="845" spans="3:41">
      <c r="C845" s="136"/>
      <c r="D845" s="136"/>
      <c r="E845" s="19"/>
      <c r="F845" s="15"/>
      <c r="G845" s="138"/>
      <c r="H845" s="138"/>
      <c r="I845" s="126"/>
      <c r="J845" s="15"/>
      <c r="K845" s="15"/>
      <c r="L845" s="20"/>
      <c r="M845" s="20"/>
      <c r="N845" s="126"/>
      <c r="O845" s="126"/>
      <c r="P845" s="126"/>
      <c r="Q845" s="171"/>
      <c r="R845" s="172"/>
      <c r="S845" s="172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43"/>
      <c r="AF845" s="143"/>
      <c r="AG845" s="143"/>
      <c r="AH845" s="143"/>
      <c r="AI845" s="143"/>
      <c r="AJ845" s="143"/>
      <c r="AK845" s="143"/>
      <c r="AL845" s="143"/>
      <c r="AM845" s="145"/>
      <c r="AN845" s="143"/>
      <c r="AO845" s="143"/>
    </row>
    <row r="846" spans="3:41">
      <c r="C846" s="136"/>
      <c r="D846" s="136"/>
      <c r="E846" s="19"/>
      <c r="F846" s="15"/>
      <c r="G846" s="138"/>
      <c r="H846" s="138"/>
      <c r="I846" s="126"/>
      <c r="J846" s="15"/>
      <c r="K846" s="15"/>
      <c r="L846" s="20"/>
      <c r="M846" s="20"/>
      <c r="N846" s="126"/>
      <c r="O846" s="126"/>
      <c r="P846" s="126"/>
      <c r="Q846" s="171"/>
      <c r="R846" s="172"/>
      <c r="S846" s="172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43"/>
      <c r="AF846" s="143"/>
      <c r="AG846" s="143"/>
      <c r="AH846" s="143"/>
      <c r="AI846" s="143"/>
      <c r="AJ846" s="143"/>
      <c r="AK846" s="143"/>
      <c r="AL846" s="143"/>
      <c r="AM846" s="157"/>
      <c r="AN846" s="153"/>
      <c r="AO846" s="147"/>
    </row>
    <row r="847" spans="3:41">
      <c r="C847" s="136"/>
      <c r="D847" s="136"/>
      <c r="E847" s="19"/>
      <c r="F847" s="15"/>
      <c r="G847" s="138"/>
      <c r="H847" s="138"/>
      <c r="I847" s="126"/>
      <c r="J847" s="15"/>
      <c r="K847" s="15"/>
      <c r="L847" s="20"/>
      <c r="M847" s="20"/>
      <c r="N847" s="126"/>
      <c r="O847" s="126"/>
      <c r="P847" s="126"/>
      <c r="Q847" s="171"/>
      <c r="R847" s="172"/>
      <c r="S847" s="172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43"/>
      <c r="AF847" s="143"/>
      <c r="AG847" s="143"/>
      <c r="AH847" s="143"/>
      <c r="AI847" s="143"/>
      <c r="AJ847" s="143"/>
      <c r="AK847" s="143"/>
      <c r="AL847" s="143"/>
      <c r="AM847" s="145"/>
      <c r="AN847" s="153"/>
      <c r="AO847" s="153"/>
    </row>
    <row r="848" spans="3:41">
      <c r="C848" s="136"/>
      <c r="D848" s="136"/>
      <c r="E848" s="19"/>
      <c r="F848" s="15"/>
      <c r="G848" s="138"/>
      <c r="H848" s="138"/>
      <c r="I848" s="126"/>
      <c r="J848" s="15"/>
      <c r="K848" s="15"/>
      <c r="L848" s="20"/>
      <c r="M848" s="20"/>
      <c r="N848" s="126"/>
      <c r="O848" s="126"/>
      <c r="P848" s="126"/>
      <c r="Q848" s="171"/>
      <c r="R848" s="172"/>
      <c r="S848" s="172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43"/>
      <c r="AF848" s="143"/>
      <c r="AG848" s="143"/>
      <c r="AH848" s="143"/>
      <c r="AI848" s="143"/>
      <c r="AJ848" s="143"/>
      <c r="AK848" s="143"/>
      <c r="AL848" s="143"/>
      <c r="AM848" s="145"/>
      <c r="AN848" s="153"/>
      <c r="AO848" s="143"/>
    </row>
    <row r="849" spans="3:41">
      <c r="C849" s="136"/>
      <c r="D849" s="136"/>
      <c r="E849" s="19"/>
      <c r="F849" s="15"/>
      <c r="G849" s="138"/>
      <c r="H849" s="138"/>
      <c r="I849" s="126"/>
      <c r="J849" s="15"/>
      <c r="K849" s="15"/>
      <c r="L849" s="20"/>
      <c r="M849" s="20"/>
      <c r="N849" s="126"/>
      <c r="O849" s="126"/>
      <c r="P849" s="126"/>
      <c r="Q849" s="171"/>
      <c r="R849" s="172"/>
      <c r="S849" s="172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43"/>
      <c r="AF849" s="143"/>
      <c r="AG849" s="143"/>
      <c r="AH849" s="143"/>
      <c r="AI849" s="143"/>
      <c r="AJ849" s="143"/>
      <c r="AK849" s="143"/>
      <c r="AL849" s="192"/>
      <c r="AM849" s="145"/>
      <c r="AN849" s="143"/>
      <c r="AO849" s="153"/>
    </row>
    <row r="850" spans="3:41">
      <c r="C850" s="136"/>
      <c r="D850" s="136"/>
      <c r="E850" s="19"/>
      <c r="F850" s="15"/>
      <c r="G850" s="138"/>
      <c r="H850" s="138"/>
      <c r="I850" s="126"/>
      <c r="J850" s="15"/>
      <c r="K850" s="15"/>
      <c r="L850" s="20"/>
      <c r="M850" s="20"/>
      <c r="N850" s="126"/>
      <c r="O850" s="126"/>
      <c r="P850" s="126"/>
      <c r="Q850" s="171"/>
      <c r="R850" s="173"/>
      <c r="S850" s="172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43"/>
      <c r="AF850" s="143"/>
      <c r="AG850" s="143"/>
      <c r="AH850" s="143"/>
      <c r="AI850" s="143"/>
      <c r="AJ850" s="143"/>
      <c r="AK850" s="143"/>
      <c r="AL850" s="192"/>
      <c r="AM850" s="192"/>
      <c r="AN850" s="153"/>
      <c r="AO850" s="153"/>
    </row>
    <row r="851" spans="3:41">
      <c r="C851" s="136"/>
      <c r="D851" s="136"/>
      <c r="E851" s="19"/>
      <c r="F851" s="15"/>
      <c r="G851" s="138"/>
      <c r="H851" s="138"/>
      <c r="I851" s="126"/>
      <c r="J851" s="15"/>
      <c r="K851" s="15"/>
      <c r="L851" s="20"/>
      <c r="M851" s="20"/>
      <c r="N851" s="126"/>
      <c r="O851" s="126"/>
      <c r="P851" s="126"/>
      <c r="Q851" s="171"/>
      <c r="R851" s="172"/>
      <c r="S851" s="172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43"/>
      <c r="AF851" s="143"/>
      <c r="AG851" s="143"/>
      <c r="AH851" s="143"/>
      <c r="AI851" s="143"/>
      <c r="AJ851" s="143"/>
      <c r="AK851" s="143"/>
      <c r="AL851" s="192"/>
      <c r="AM851" s="192"/>
      <c r="AN851" s="153"/>
      <c r="AO851" s="153"/>
    </row>
    <row r="852" spans="3:41">
      <c r="C852" s="136"/>
      <c r="D852" s="136"/>
      <c r="E852" s="19"/>
      <c r="F852" s="15"/>
      <c r="G852" s="138"/>
      <c r="H852" s="138"/>
      <c r="I852" s="126"/>
      <c r="J852" s="15"/>
      <c r="K852" s="15"/>
      <c r="L852" s="20"/>
      <c r="M852" s="20"/>
      <c r="N852" s="126"/>
      <c r="O852" s="126"/>
      <c r="P852" s="126"/>
      <c r="Q852" s="171"/>
      <c r="R852" s="172"/>
      <c r="S852" s="172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43"/>
      <c r="AF852" s="143"/>
      <c r="AG852" s="143"/>
      <c r="AH852" s="143"/>
      <c r="AI852" s="143"/>
      <c r="AJ852" s="143"/>
      <c r="AK852" s="143"/>
      <c r="AL852" s="192"/>
      <c r="AM852" s="192"/>
      <c r="AN852" s="153"/>
      <c r="AO852" s="153"/>
    </row>
    <row r="853" spans="3:41">
      <c r="C853" s="136"/>
      <c r="D853" s="136"/>
      <c r="E853" s="19"/>
      <c r="F853" s="15"/>
      <c r="G853" s="138"/>
      <c r="H853" s="138"/>
      <c r="I853" s="126"/>
      <c r="J853" s="15"/>
      <c r="K853" s="15"/>
      <c r="L853" s="20"/>
      <c r="M853" s="20"/>
      <c r="N853" s="126"/>
      <c r="O853" s="126"/>
      <c r="P853" s="126"/>
      <c r="Q853" s="171"/>
      <c r="R853" s="172"/>
      <c r="S853" s="172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43"/>
      <c r="AF853" s="143"/>
      <c r="AG853" s="143"/>
      <c r="AH853" s="143"/>
      <c r="AI853" s="143"/>
      <c r="AJ853" s="143"/>
      <c r="AK853" s="143"/>
      <c r="AL853" s="192"/>
      <c r="AM853" s="145"/>
      <c r="AN853" s="192"/>
      <c r="AO853" s="143"/>
    </row>
    <row r="854" spans="3:41">
      <c r="C854" s="136"/>
      <c r="D854" s="136"/>
      <c r="E854" s="19"/>
      <c r="F854" s="15"/>
      <c r="G854" s="138"/>
      <c r="H854" s="138"/>
      <c r="I854" s="126"/>
      <c r="J854" s="15"/>
      <c r="K854" s="15"/>
      <c r="L854" s="20"/>
      <c r="M854" s="20"/>
      <c r="N854" s="126"/>
      <c r="O854" s="126"/>
      <c r="P854" s="126"/>
      <c r="Q854" s="171"/>
      <c r="R854" s="172"/>
      <c r="S854" s="172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43"/>
      <c r="AF854" s="143"/>
      <c r="AG854" s="143"/>
      <c r="AH854" s="143"/>
      <c r="AI854" s="143"/>
      <c r="AJ854" s="143"/>
      <c r="AK854" s="143"/>
      <c r="AL854" s="192"/>
      <c r="AM854" s="145"/>
      <c r="AN854" s="192"/>
      <c r="AO854" s="143"/>
    </row>
    <row r="855" spans="3:41">
      <c r="C855" s="136"/>
      <c r="D855" s="136"/>
      <c r="E855" s="19"/>
      <c r="F855" s="15"/>
      <c r="G855" s="138"/>
      <c r="H855" s="138"/>
      <c r="I855" s="126"/>
      <c r="J855" s="15"/>
      <c r="K855" s="15"/>
      <c r="L855" s="20"/>
      <c r="M855" s="20"/>
      <c r="N855" s="126"/>
      <c r="O855" s="126"/>
      <c r="P855" s="126"/>
      <c r="Q855" s="171"/>
      <c r="R855" s="172"/>
      <c r="S855" s="172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43"/>
      <c r="AF855" s="143"/>
      <c r="AG855" s="143"/>
      <c r="AH855" s="143"/>
      <c r="AI855" s="143"/>
      <c r="AJ855" s="143"/>
      <c r="AK855" s="193"/>
      <c r="AL855" s="192"/>
      <c r="AM855" s="192"/>
      <c r="AN855" s="192"/>
      <c r="AO855" s="143"/>
    </row>
    <row r="856" spans="3:41">
      <c r="C856" s="136"/>
      <c r="D856" s="136"/>
      <c r="E856" s="19"/>
      <c r="F856" s="15"/>
      <c r="G856" s="138"/>
      <c r="H856" s="138"/>
      <c r="I856" s="126"/>
      <c r="J856" s="15"/>
      <c r="K856" s="15"/>
      <c r="L856" s="20"/>
      <c r="M856" s="20"/>
      <c r="N856" s="126"/>
      <c r="O856" s="126"/>
      <c r="P856" s="126"/>
      <c r="Q856" s="171"/>
      <c r="R856" s="172"/>
      <c r="S856" s="172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43"/>
      <c r="AF856" s="143"/>
      <c r="AG856" s="143"/>
      <c r="AH856" s="143"/>
      <c r="AI856" s="143"/>
      <c r="AJ856" s="143"/>
      <c r="AK856" s="193"/>
      <c r="AL856" s="192"/>
      <c r="AM856" s="192"/>
      <c r="AN856" s="192"/>
      <c r="AO856" s="153"/>
    </row>
    <row r="857" spans="3:41">
      <c r="C857" s="136"/>
      <c r="D857" s="136"/>
      <c r="E857" s="19"/>
      <c r="F857" s="15"/>
      <c r="G857" s="138"/>
      <c r="H857" s="138"/>
      <c r="I857" s="126"/>
      <c r="J857" s="15"/>
      <c r="K857" s="15"/>
      <c r="L857" s="20"/>
      <c r="M857" s="20"/>
      <c r="N857" s="126"/>
      <c r="O857" s="126"/>
      <c r="P857" s="126"/>
      <c r="Q857" s="171"/>
      <c r="R857" s="172"/>
      <c r="S857" s="172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43"/>
      <c r="AF857" s="143"/>
      <c r="AG857" s="143"/>
      <c r="AH857" s="143"/>
      <c r="AI857" s="143"/>
      <c r="AJ857" s="143"/>
      <c r="AK857" s="193"/>
      <c r="AL857" s="192"/>
      <c r="AM857" s="192"/>
      <c r="AN857" s="192"/>
      <c r="AO857" s="153"/>
    </row>
    <row r="858" spans="3:41">
      <c r="C858" s="136"/>
      <c r="D858" s="136"/>
      <c r="E858" s="19"/>
      <c r="F858" s="15"/>
      <c r="G858" s="138"/>
      <c r="H858" s="138"/>
      <c r="I858" s="126"/>
      <c r="J858" s="15"/>
      <c r="K858" s="15"/>
      <c r="L858" s="20"/>
      <c r="M858" s="20"/>
      <c r="N858" s="126"/>
      <c r="O858" s="126"/>
      <c r="P858" s="126"/>
      <c r="Q858" s="171"/>
      <c r="R858" s="172"/>
      <c r="S858" s="172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43"/>
      <c r="AF858" s="143"/>
      <c r="AG858" s="143"/>
      <c r="AH858" s="143"/>
      <c r="AI858" s="143"/>
      <c r="AJ858" s="143"/>
      <c r="AK858" s="193"/>
      <c r="AL858" s="192"/>
      <c r="AM858" s="192"/>
      <c r="AN858" s="192"/>
      <c r="AO858" s="153"/>
    </row>
    <row r="859" spans="3:41">
      <c r="C859" s="136"/>
      <c r="D859" s="136"/>
      <c r="F859" s="15"/>
      <c r="G859" s="138"/>
      <c r="H859" s="138"/>
      <c r="I859" s="126"/>
      <c r="J859" s="15"/>
      <c r="K859" s="15"/>
      <c r="L859" s="20"/>
      <c r="M859" s="20"/>
      <c r="N859" s="126"/>
      <c r="O859" s="126"/>
      <c r="P859" s="126"/>
      <c r="Q859" s="171"/>
      <c r="R859" s="172"/>
      <c r="S859" s="172"/>
      <c r="AE859" s="143"/>
      <c r="AF859" s="143"/>
      <c r="AG859" s="143"/>
      <c r="AH859" s="143"/>
      <c r="AI859" s="143"/>
      <c r="AJ859" s="143"/>
      <c r="AK859" s="143"/>
      <c r="AL859" s="192"/>
      <c r="AM859" s="192"/>
      <c r="AN859" s="153"/>
      <c r="AO859" s="153"/>
    </row>
    <row r="860" spans="3:41">
      <c r="C860" s="136"/>
      <c r="D860" s="136"/>
      <c r="F860" s="15"/>
      <c r="G860" s="138"/>
      <c r="H860" s="138"/>
      <c r="I860" s="126"/>
      <c r="J860" s="15"/>
      <c r="K860" s="15"/>
      <c r="L860" s="20"/>
      <c r="M860" s="20"/>
      <c r="N860" s="126"/>
      <c r="O860" s="126"/>
      <c r="P860" s="126"/>
      <c r="Q860" s="171"/>
      <c r="R860" s="172"/>
      <c r="S860" s="172"/>
      <c r="AE860" s="143"/>
      <c r="AF860" s="143"/>
      <c r="AG860" s="143"/>
      <c r="AH860" s="143"/>
      <c r="AI860" s="143"/>
      <c r="AJ860" s="143"/>
      <c r="AK860" s="193"/>
      <c r="AL860" s="192"/>
      <c r="AM860" s="192"/>
      <c r="AN860" s="192"/>
      <c r="AO860" s="153"/>
    </row>
    <row r="861" spans="3:41">
      <c r="C861" s="136"/>
      <c r="D861" s="136"/>
      <c r="F861" s="15"/>
      <c r="G861" s="138"/>
      <c r="H861" s="138"/>
      <c r="I861" s="126"/>
      <c r="J861" s="15"/>
      <c r="K861" s="15"/>
      <c r="L861" s="20"/>
      <c r="M861" s="20"/>
      <c r="N861" s="126"/>
      <c r="O861" s="126"/>
      <c r="P861" s="126"/>
      <c r="Q861" s="171"/>
      <c r="R861" s="172"/>
      <c r="S861" s="172"/>
      <c r="AE861" s="143"/>
      <c r="AF861" s="143"/>
      <c r="AG861" s="143"/>
      <c r="AH861" s="143"/>
      <c r="AI861" s="143"/>
      <c r="AJ861" s="143"/>
      <c r="AK861" s="143"/>
      <c r="AL861" s="192"/>
      <c r="AM861" s="145"/>
      <c r="AN861" s="143"/>
      <c r="AO861" s="153"/>
    </row>
    <row r="862" spans="3:41">
      <c r="C862" s="136"/>
      <c r="D862" s="136"/>
      <c r="F862" s="15"/>
      <c r="G862" s="138"/>
      <c r="H862" s="138"/>
      <c r="I862" s="126"/>
      <c r="J862" s="15"/>
      <c r="K862" s="15"/>
      <c r="L862" s="20"/>
      <c r="M862" s="20"/>
      <c r="N862" s="126"/>
      <c r="O862" s="126"/>
      <c r="P862" s="126"/>
      <c r="Q862" s="171"/>
      <c r="R862" s="172"/>
      <c r="S862" s="172"/>
      <c r="AE862" s="143"/>
      <c r="AF862" s="143"/>
      <c r="AG862" s="143"/>
      <c r="AH862" s="143"/>
      <c r="AI862" s="143"/>
      <c r="AJ862" s="143"/>
      <c r="AK862" s="193"/>
      <c r="AL862" s="192"/>
      <c r="AM862" s="192"/>
      <c r="AN862" s="153"/>
      <c r="AO862" s="153"/>
    </row>
    <row r="863" spans="3:41">
      <c r="C863" s="136"/>
      <c r="D863" s="136"/>
      <c r="F863" s="15"/>
      <c r="G863" s="138"/>
      <c r="H863" s="138"/>
      <c r="I863" s="126"/>
      <c r="J863" s="15"/>
      <c r="K863" s="15"/>
      <c r="L863" s="20"/>
      <c r="M863" s="20"/>
      <c r="N863" s="126"/>
      <c r="O863" s="126"/>
      <c r="P863" s="126"/>
      <c r="Q863" s="171"/>
      <c r="R863" s="172"/>
      <c r="S863" s="172"/>
      <c r="AE863" s="143"/>
      <c r="AF863" s="143"/>
      <c r="AG863" s="143"/>
      <c r="AH863" s="143"/>
      <c r="AI863" s="143"/>
      <c r="AJ863" s="143"/>
      <c r="AK863" s="143"/>
      <c r="AL863" s="192"/>
      <c r="AM863" s="192"/>
      <c r="AN863" s="153"/>
      <c r="AO863" s="153"/>
    </row>
    <row r="864" spans="3:41">
      <c r="C864" s="136"/>
      <c r="D864" s="136"/>
      <c r="F864" s="15"/>
      <c r="G864" s="138"/>
      <c r="H864" s="138"/>
      <c r="I864" s="126"/>
      <c r="J864" s="15"/>
      <c r="K864" s="15"/>
      <c r="L864" s="20"/>
      <c r="M864" s="20"/>
      <c r="N864" s="126"/>
      <c r="O864" s="126"/>
      <c r="P864" s="126"/>
      <c r="Q864" s="171"/>
      <c r="R864" s="172"/>
      <c r="S864" s="172"/>
      <c r="AE864" s="143"/>
      <c r="AF864" s="143"/>
      <c r="AG864" s="143"/>
      <c r="AH864" s="143"/>
      <c r="AI864" s="143"/>
      <c r="AJ864" s="143"/>
      <c r="AK864" s="143"/>
      <c r="AL864" s="192"/>
      <c r="AM864" s="145"/>
      <c r="AN864" s="192"/>
      <c r="AO864" s="143"/>
    </row>
    <row r="865" spans="3:41">
      <c r="C865" s="136"/>
      <c r="D865" s="136"/>
      <c r="F865" s="15"/>
      <c r="G865" s="138"/>
      <c r="H865" s="138"/>
      <c r="I865" s="126"/>
      <c r="J865" s="15"/>
      <c r="K865" s="15"/>
      <c r="L865" s="20"/>
      <c r="M865" s="20"/>
      <c r="N865" s="126"/>
      <c r="O865" s="126"/>
      <c r="P865" s="126"/>
      <c r="Q865" s="171"/>
      <c r="R865" s="172"/>
      <c r="S865" s="172"/>
      <c r="AE865" s="143"/>
      <c r="AF865" s="143"/>
      <c r="AG865" s="143"/>
      <c r="AH865" s="143"/>
      <c r="AI865" s="143"/>
      <c r="AJ865" s="143"/>
      <c r="AK865" s="143"/>
      <c r="AL865" s="192"/>
      <c r="AM865" s="145"/>
      <c r="AN865" s="192"/>
      <c r="AO865" s="147"/>
    </row>
    <row r="866" spans="3:41">
      <c r="C866" s="136"/>
      <c r="D866" s="136"/>
      <c r="F866" s="15"/>
      <c r="G866" s="138"/>
      <c r="H866" s="138"/>
      <c r="I866" s="126"/>
      <c r="J866" s="15"/>
      <c r="K866" s="15"/>
      <c r="L866" s="20"/>
      <c r="M866" s="20"/>
      <c r="N866" s="126"/>
      <c r="O866" s="126"/>
      <c r="P866" s="126"/>
      <c r="Q866" s="171"/>
      <c r="R866" s="172"/>
      <c r="S866" s="172"/>
      <c r="AE866" s="143"/>
      <c r="AF866" s="143"/>
      <c r="AG866" s="143"/>
      <c r="AH866" s="143"/>
      <c r="AI866" s="143"/>
      <c r="AJ866" s="143"/>
      <c r="AK866" s="143"/>
      <c r="AL866" s="192"/>
      <c r="AM866" s="145"/>
      <c r="AN866" s="143"/>
      <c r="AO866" s="153"/>
    </row>
    <row r="867" spans="3:41">
      <c r="C867" s="136"/>
      <c r="D867" s="136"/>
      <c r="F867" s="15"/>
      <c r="G867" s="138"/>
      <c r="H867" s="138"/>
      <c r="I867" s="126"/>
      <c r="J867" s="15"/>
      <c r="K867" s="15"/>
      <c r="L867" s="20"/>
      <c r="M867" s="20"/>
      <c r="N867" s="126"/>
      <c r="O867" s="126"/>
      <c r="P867" s="126"/>
      <c r="Q867" s="171"/>
      <c r="R867" s="172"/>
      <c r="S867" s="172"/>
      <c r="AE867" s="143"/>
      <c r="AF867" s="143"/>
      <c r="AG867" s="143"/>
      <c r="AH867" s="143"/>
      <c r="AI867" s="143"/>
      <c r="AJ867" s="143"/>
      <c r="AK867" s="193"/>
      <c r="AL867" s="192"/>
      <c r="AM867" s="192"/>
      <c r="AN867" s="192"/>
      <c r="AO867" s="153"/>
    </row>
    <row r="868" spans="3:41">
      <c r="C868" s="136"/>
      <c r="D868" s="136"/>
      <c r="F868" s="15"/>
      <c r="G868" s="138"/>
      <c r="H868" s="138"/>
      <c r="I868" s="126"/>
      <c r="J868" s="15"/>
      <c r="K868" s="15"/>
      <c r="L868" s="20"/>
      <c r="M868" s="20"/>
      <c r="N868" s="126"/>
      <c r="O868" s="126"/>
      <c r="P868" s="126"/>
      <c r="Q868" s="171"/>
      <c r="R868" s="172"/>
      <c r="S868" s="172"/>
      <c r="AE868" s="143"/>
      <c r="AF868" s="143"/>
      <c r="AG868" s="143"/>
      <c r="AH868" s="143"/>
      <c r="AI868" s="143"/>
      <c r="AJ868" s="143"/>
      <c r="AK868" s="193"/>
      <c r="AL868" s="192"/>
      <c r="AM868" s="192"/>
      <c r="AN868" s="192"/>
      <c r="AO868" s="147"/>
    </row>
    <row r="869" spans="3:41">
      <c r="C869" s="136"/>
      <c r="D869" s="136"/>
      <c r="F869" s="15"/>
      <c r="G869" s="138"/>
      <c r="H869" s="138"/>
      <c r="I869" s="126"/>
      <c r="J869" s="15"/>
      <c r="K869" s="15"/>
      <c r="L869" s="20"/>
      <c r="M869" s="20"/>
      <c r="N869" s="126"/>
      <c r="O869" s="126"/>
      <c r="P869" s="126"/>
      <c r="Q869" s="171"/>
      <c r="R869" s="172"/>
      <c r="S869" s="172"/>
      <c r="AE869" s="143"/>
      <c r="AF869" s="143"/>
      <c r="AG869" s="143"/>
      <c r="AH869" s="143"/>
      <c r="AI869" s="143"/>
      <c r="AJ869" s="143"/>
      <c r="AK869" s="193"/>
      <c r="AL869" s="192"/>
      <c r="AM869" s="192"/>
      <c r="AN869" s="192"/>
      <c r="AO869" s="147"/>
    </row>
    <row r="870" spans="3:41">
      <c r="C870" s="136"/>
      <c r="D870" s="136"/>
      <c r="F870" s="15"/>
      <c r="G870" s="138"/>
      <c r="H870" s="138"/>
      <c r="I870" s="126"/>
      <c r="J870" s="15"/>
      <c r="K870" s="15"/>
      <c r="L870" s="20"/>
      <c r="M870" s="20"/>
      <c r="N870" s="126"/>
      <c r="O870" s="126"/>
      <c r="P870" s="126"/>
      <c r="Q870" s="171"/>
      <c r="R870" s="172"/>
      <c r="S870" s="172"/>
      <c r="AE870" s="143"/>
      <c r="AF870" s="143"/>
      <c r="AG870" s="143"/>
      <c r="AH870" s="143"/>
      <c r="AI870" s="143"/>
      <c r="AJ870" s="143"/>
      <c r="AK870" s="143"/>
      <c r="AL870" s="192"/>
      <c r="AM870" s="145"/>
      <c r="AN870" s="143"/>
      <c r="AO870" s="153"/>
    </row>
    <row r="871" spans="3:41">
      <c r="C871" s="136"/>
      <c r="D871" s="136"/>
      <c r="F871" s="15"/>
      <c r="G871" s="138"/>
      <c r="H871" s="138"/>
      <c r="I871" s="126"/>
      <c r="J871" s="15"/>
      <c r="K871" s="15"/>
      <c r="L871" s="20"/>
      <c r="M871" s="20"/>
      <c r="N871" s="126"/>
      <c r="O871" s="126"/>
      <c r="P871" s="126"/>
      <c r="Q871" s="171"/>
      <c r="R871" s="172"/>
      <c r="S871" s="172"/>
      <c r="AE871" s="143"/>
      <c r="AF871" s="143"/>
      <c r="AG871" s="143"/>
      <c r="AH871" s="143"/>
      <c r="AI871" s="143"/>
      <c r="AJ871" s="143"/>
      <c r="AK871" s="143"/>
      <c r="AL871" s="192"/>
      <c r="AM871" s="145"/>
      <c r="AN871" s="153"/>
      <c r="AO871" s="153"/>
    </row>
    <row r="872" spans="3:41">
      <c r="C872" s="136"/>
      <c r="D872" s="136"/>
      <c r="F872" s="15"/>
      <c r="G872" s="138"/>
      <c r="H872" s="138"/>
      <c r="I872" s="126"/>
      <c r="J872" s="15"/>
      <c r="K872" s="15"/>
      <c r="L872" s="20"/>
      <c r="M872" s="20"/>
      <c r="N872" s="126"/>
      <c r="O872" s="126"/>
      <c r="P872" s="126"/>
      <c r="Q872" s="171"/>
      <c r="R872" s="172"/>
      <c r="S872" s="172"/>
      <c r="AE872" s="143"/>
      <c r="AF872" s="143"/>
      <c r="AG872" s="143"/>
      <c r="AH872" s="143"/>
      <c r="AI872" s="143"/>
      <c r="AJ872" s="143"/>
      <c r="AK872" s="143"/>
      <c r="AL872" s="192"/>
      <c r="AM872" s="145"/>
      <c r="AN872" s="153"/>
      <c r="AO872" s="153"/>
    </row>
    <row r="873" spans="3:41">
      <c r="C873" s="136"/>
      <c r="D873" s="136"/>
      <c r="F873" s="15"/>
      <c r="G873" s="138"/>
      <c r="H873" s="138"/>
      <c r="I873" s="126"/>
      <c r="J873" s="15"/>
      <c r="K873" s="15"/>
      <c r="L873" s="20"/>
      <c r="M873" s="20"/>
      <c r="N873" s="126"/>
      <c r="O873" s="126"/>
      <c r="P873" s="126"/>
      <c r="Q873" s="171"/>
      <c r="R873" s="172"/>
      <c r="S873" s="172"/>
      <c r="AE873" s="143"/>
      <c r="AF873" s="143"/>
      <c r="AG873" s="143"/>
      <c r="AH873" s="143"/>
      <c r="AI873" s="143"/>
      <c r="AJ873" s="143"/>
      <c r="AK873" s="143"/>
      <c r="AL873" s="192"/>
      <c r="AM873" s="145"/>
      <c r="AN873" s="153"/>
      <c r="AO873" s="143"/>
    </row>
    <row r="874" spans="3:41">
      <c r="C874" s="136"/>
      <c r="D874" s="136"/>
      <c r="F874" s="15"/>
      <c r="G874" s="138"/>
      <c r="H874" s="138"/>
      <c r="I874" s="126"/>
      <c r="J874" s="15"/>
      <c r="K874" s="15"/>
      <c r="L874" s="20"/>
      <c r="M874" s="20"/>
      <c r="N874" s="126"/>
      <c r="O874" s="126"/>
      <c r="P874" s="126"/>
      <c r="Q874" s="171"/>
      <c r="R874" s="172"/>
      <c r="S874" s="172"/>
      <c r="AE874" s="143"/>
      <c r="AF874" s="143"/>
      <c r="AG874" s="143"/>
      <c r="AH874" s="143"/>
      <c r="AI874" s="143"/>
      <c r="AJ874" s="143"/>
      <c r="AK874" s="143"/>
      <c r="AL874" s="192"/>
      <c r="AM874" s="145"/>
      <c r="AN874" s="143"/>
      <c r="AO874" s="153"/>
    </row>
    <row r="875" spans="3:41">
      <c r="C875" s="136"/>
      <c r="D875" s="136"/>
      <c r="F875" s="15"/>
      <c r="G875" s="138"/>
      <c r="H875" s="138"/>
      <c r="I875" s="126"/>
      <c r="J875" s="15"/>
      <c r="K875" s="15"/>
      <c r="L875" s="20"/>
      <c r="M875" s="20"/>
      <c r="N875" s="126"/>
      <c r="O875" s="126"/>
      <c r="P875" s="126"/>
      <c r="Q875" s="171"/>
      <c r="R875" s="172"/>
      <c r="S875" s="172"/>
      <c r="AE875" s="143"/>
      <c r="AF875" s="143"/>
      <c r="AG875" s="143"/>
      <c r="AH875" s="143"/>
      <c r="AI875" s="143"/>
      <c r="AJ875" s="143"/>
      <c r="AK875" s="143"/>
      <c r="AL875" s="192"/>
      <c r="AM875" s="145"/>
      <c r="AN875" s="192"/>
      <c r="AO875" s="147"/>
    </row>
    <row r="876" spans="3:41">
      <c r="C876" s="136"/>
      <c r="D876" s="136"/>
      <c r="F876" s="15"/>
      <c r="G876" s="138"/>
      <c r="H876" s="138"/>
      <c r="I876" s="126"/>
      <c r="J876" s="15"/>
      <c r="K876" s="15"/>
      <c r="L876" s="20"/>
      <c r="M876" s="20"/>
      <c r="N876" s="126"/>
      <c r="O876" s="126"/>
      <c r="P876" s="126"/>
      <c r="Q876" s="171"/>
      <c r="R876" s="172"/>
      <c r="S876" s="172"/>
      <c r="AE876" s="143"/>
      <c r="AF876" s="143"/>
      <c r="AG876" s="143"/>
      <c r="AH876" s="143"/>
      <c r="AI876" s="143"/>
      <c r="AJ876" s="143"/>
      <c r="AK876" s="143"/>
      <c r="AL876" s="192"/>
      <c r="AM876" s="145"/>
      <c r="AN876" s="192"/>
      <c r="AO876" s="143"/>
    </row>
    <row r="877" spans="3:41">
      <c r="C877" s="136"/>
      <c r="D877" s="136"/>
      <c r="F877" s="15"/>
      <c r="G877" s="138"/>
      <c r="H877" s="138"/>
      <c r="I877" s="126"/>
      <c r="J877" s="15"/>
      <c r="K877" s="15"/>
      <c r="L877" s="20"/>
      <c r="M877" s="20"/>
      <c r="N877" s="126"/>
      <c r="O877" s="126"/>
      <c r="P877" s="126"/>
      <c r="Q877" s="171"/>
      <c r="R877" s="172"/>
      <c r="S877" s="172"/>
      <c r="AE877" s="143"/>
      <c r="AF877" s="143"/>
      <c r="AG877" s="143"/>
      <c r="AH877" s="143"/>
      <c r="AI877" s="143"/>
      <c r="AJ877" s="143"/>
      <c r="AK877" s="143"/>
      <c r="AL877" s="192"/>
      <c r="AM877" s="145"/>
      <c r="AN877" s="192"/>
      <c r="AO877" s="143"/>
    </row>
    <row r="878" spans="3:41">
      <c r="C878" s="136"/>
      <c r="D878" s="136"/>
      <c r="F878" s="15"/>
      <c r="G878" s="138"/>
      <c r="H878" s="138"/>
      <c r="I878" s="126"/>
      <c r="J878" s="15"/>
      <c r="K878" s="15"/>
      <c r="L878" s="20"/>
      <c r="M878" s="20"/>
      <c r="N878" s="126"/>
      <c r="O878" s="126"/>
      <c r="P878" s="126"/>
      <c r="Q878" s="171"/>
      <c r="R878" s="172"/>
      <c r="S878" s="172"/>
      <c r="AE878" s="143"/>
      <c r="AF878" s="143"/>
      <c r="AG878" s="143"/>
      <c r="AH878" s="143"/>
      <c r="AI878" s="143"/>
      <c r="AJ878" s="143"/>
      <c r="AK878" s="143"/>
      <c r="AL878" s="143"/>
      <c r="AM878" s="145"/>
      <c r="AN878" s="143"/>
      <c r="AO878" s="153"/>
    </row>
    <row r="879" spans="3:41">
      <c r="C879" s="136"/>
      <c r="D879" s="136"/>
      <c r="F879" s="15"/>
      <c r="G879" s="138"/>
      <c r="H879" s="138"/>
      <c r="I879" s="126"/>
      <c r="J879" s="15"/>
      <c r="K879" s="15"/>
      <c r="L879" s="20"/>
      <c r="M879" s="20"/>
      <c r="N879" s="126"/>
      <c r="O879" s="126"/>
      <c r="P879" s="126"/>
      <c r="Q879" s="171"/>
      <c r="R879" s="172"/>
      <c r="S879" s="172"/>
      <c r="AE879" s="143"/>
      <c r="AF879" s="143"/>
      <c r="AG879" s="143"/>
      <c r="AH879" s="143"/>
      <c r="AI879" s="143"/>
      <c r="AJ879" s="143"/>
      <c r="AK879" s="143"/>
      <c r="AL879" s="143"/>
      <c r="AM879" s="145"/>
      <c r="AN879" s="153"/>
      <c r="AO879" s="153"/>
    </row>
    <row r="880" spans="3:41">
      <c r="C880" s="136"/>
      <c r="D880" s="136"/>
      <c r="F880" s="15"/>
      <c r="G880" s="138"/>
      <c r="H880" s="138"/>
      <c r="I880" s="126"/>
      <c r="J880" s="15"/>
      <c r="K880" s="15"/>
      <c r="L880" s="20"/>
      <c r="M880" s="20"/>
      <c r="N880" s="126"/>
      <c r="O880" s="126"/>
      <c r="P880" s="126"/>
      <c r="Q880" s="171"/>
      <c r="R880" s="172"/>
      <c r="S880" s="172"/>
      <c r="AE880" s="143"/>
      <c r="AF880" s="143"/>
      <c r="AG880" s="143"/>
      <c r="AH880" s="143"/>
      <c r="AI880" s="143"/>
      <c r="AJ880" s="143"/>
      <c r="AK880" s="193"/>
      <c r="AL880" s="143"/>
      <c r="AM880" s="145"/>
      <c r="AN880" s="143"/>
      <c r="AO880" s="153"/>
    </row>
    <row r="881" spans="3:41">
      <c r="C881" s="136"/>
      <c r="D881" s="136"/>
      <c r="F881" s="15"/>
      <c r="G881" s="138"/>
      <c r="H881" s="138"/>
      <c r="I881" s="126"/>
      <c r="J881" s="15"/>
      <c r="K881" s="15"/>
      <c r="L881" s="20"/>
      <c r="M881" s="20"/>
      <c r="N881" s="126"/>
      <c r="O881" s="126"/>
      <c r="P881" s="126"/>
      <c r="Q881" s="171"/>
      <c r="R881" s="172"/>
      <c r="S881" s="172"/>
      <c r="AE881" s="143"/>
      <c r="AF881" s="143"/>
      <c r="AG881" s="143"/>
      <c r="AH881" s="143"/>
      <c r="AI881" s="143"/>
      <c r="AJ881" s="143"/>
      <c r="AK881" s="143"/>
      <c r="AL881" s="143"/>
      <c r="AM881" s="145"/>
      <c r="AN881" s="143"/>
      <c r="AO881" s="153"/>
    </row>
    <row r="882" spans="3:41">
      <c r="C882" s="136"/>
      <c r="D882" s="136"/>
      <c r="F882" s="15"/>
      <c r="G882" s="138"/>
      <c r="H882" s="138"/>
      <c r="I882" s="126"/>
      <c r="J882" s="15"/>
      <c r="K882" s="15"/>
      <c r="L882" s="20"/>
      <c r="M882" s="20"/>
      <c r="N882" s="126"/>
      <c r="O882" s="126"/>
      <c r="P882" s="126"/>
      <c r="Q882" s="171"/>
      <c r="R882" s="172"/>
      <c r="S882" s="172"/>
      <c r="AE882" s="143"/>
      <c r="AF882" s="143"/>
      <c r="AG882" s="143"/>
      <c r="AH882" s="143"/>
      <c r="AI882" s="143"/>
      <c r="AJ882" s="143"/>
      <c r="AK882" s="143"/>
      <c r="AL882" s="143"/>
      <c r="AM882" s="145"/>
      <c r="AN882" s="143"/>
      <c r="AO882" s="143"/>
    </row>
    <row r="883" spans="3:41">
      <c r="C883" s="136"/>
      <c r="D883" s="136"/>
      <c r="F883" s="15"/>
      <c r="G883" s="138"/>
      <c r="H883" s="138"/>
      <c r="I883" s="126"/>
      <c r="J883" s="15"/>
      <c r="K883" s="15"/>
      <c r="L883" s="20"/>
      <c r="M883" s="20"/>
      <c r="N883" s="126"/>
      <c r="O883" s="126"/>
      <c r="P883" s="126"/>
      <c r="Q883" s="171"/>
      <c r="R883" s="173"/>
      <c r="S883" s="172"/>
      <c r="AE883" s="143"/>
      <c r="AF883" s="143"/>
      <c r="AG883" s="143"/>
      <c r="AH883" s="143"/>
      <c r="AI883" s="143"/>
      <c r="AJ883" s="143"/>
      <c r="AK883" s="143"/>
      <c r="AL883" s="143"/>
      <c r="AM883" s="145"/>
      <c r="AN883" s="143"/>
      <c r="AO883" s="153"/>
    </row>
    <row r="884" spans="3:41">
      <c r="C884" s="136"/>
      <c r="D884" s="136"/>
      <c r="F884" s="15"/>
      <c r="G884" s="138"/>
      <c r="H884" s="138"/>
      <c r="I884" s="126"/>
      <c r="J884" s="15"/>
      <c r="K884" s="15"/>
      <c r="L884" s="20"/>
      <c r="M884" s="20"/>
      <c r="N884" s="126"/>
      <c r="O884" s="126"/>
      <c r="P884" s="126"/>
      <c r="Q884" s="171"/>
      <c r="R884" s="172"/>
      <c r="S884" s="172"/>
      <c r="AE884" s="143"/>
      <c r="AF884" s="143"/>
      <c r="AG884" s="143"/>
      <c r="AH884" s="143"/>
      <c r="AI884" s="143"/>
      <c r="AJ884" s="143"/>
      <c r="AK884" s="143"/>
      <c r="AL884" s="143"/>
      <c r="AM884" s="145"/>
      <c r="AN884" s="143"/>
      <c r="AO884" s="153"/>
    </row>
    <row r="885" spans="3:41">
      <c r="C885" s="136"/>
      <c r="D885" s="136"/>
      <c r="F885" s="15"/>
      <c r="G885" s="138"/>
      <c r="H885" s="138"/>
      <c r="I885" s="126"/>
      <c r="J885" s="15"/>
      <c r="K885" s="15"/>
      <c r="L885" s="20"/>
      <c r="M885" s="20"/>
      <c r="N885" s="126"/>
      <c r="O885" s="126"/>
      <c r="P885" s="126"/>
      <c r="Q885" s="171"/>
      <c r="R885" s="173"/>
      <c r="S885" s="172"/>
      <c r="AE885" s="143"/>
      <c r="AF885" s="143"/>
      <c r="AG885" s="143"/>
      <c r="AH885" s="143"/>
      <c r="AI885" s="143"/>
      <c r="AJ885" s="143"/>
      <c r="AK885" s="143"/>
      <c r="AL885" s="143"/>
      <c r="AM885" s="145"/>
      <c r="AN885" s="145"/>
      <c r="AO885" s="153"/>
    </row>
    <row r="886" spans="3:41">
      <c r="C886" s="136"/>
      <c r="D886" s="136"/>
      <c r="F886" s="15"/>
      <c r="G886" s="138"/>
      <c r="H886" s="138"/>
      <c r="I886" s="126"/>
      <c r="J886" s="15"/>
      <c r="K886" s="15"/>
      <c r="L886" s="20"/>
      <c r="M886" s="20"/>
      <c r="N886" s="126"/>
      <c r="O886" s="126"/>
      <c r="P886" s="126"/>
      <c r="Q886" s="171"/>
      <c r="R886" s="173"/>
      <c r="S886" s="172"/>
      <c r="AE886" s="143"/>
      <c r="AF886" s="143"/>
      <c r="AG886" s="143"/>
      <c r="AH886" s="143"/>
      <c r="AI886" s="143"/>
      <c r="AJ886" s="143"/>
      <c r="AK886" s="143"/>
      <c r="AL886" s="143"/>
      <c r="AM886" s="145"/>
      <c r="AN886" s="145"/>
      <c r="AO886" s="153"/>
    </row>
    <row r="887" spans="3:41">
      <c r="C887" s="136"/>
      <c r="D887" s="136"/>
      <c r="F887" s="15"/>
      <c r="G887" s="138"/>
      <c r="H887" s="138"/>
      <c r="I887" s="126"/>
      <c r="J887" s="15"/>
      <c r="K887" s="15"/>
      <c r="L887" s="20"/>
      <c r="M887" s="20"/>
      <c r="N887" s="126"/>
      <c r="O887" s="126"/>
      <c r="P887" s="126"/>
      <c r="Q887" s="171"/>
      <c r="R887" s="173"/>
      <c r="S887" s="172"/>
      <c r="AE887" s="143"/>
      <c r="AF887" s="143"/>
      <c r="AG887" s="143"/>
      <c r="AH887" s="143"/>
      <c r="AI887" s="143"/>
      <c r="AJ887" s="143"/>
      <c r="AK887" s="143"/>
      <c r="AL887" s="143"/>
      <c r="AM887" s="145"/>
      <c r="AN887" s="143"/>
      <c r="AO887" s="153"/>
    </row>
    <row r="888" spans="3:41">
      <c r="C888" s="136"/>
      <c r="D888" s="136"/>
      <c r="F888" s="15"/>
      <c r="G888" s="138"/>
      <c r="H888" s="138"/>
      <c r="I888" s="126"/>
      <c r="J888" s="15"/>
      <c r="K888" s="15"/>
      <c r="L888" s="20"/>
      <c r="M888" s="20"/>
      <c r="N888" s="126"/>
      <c r="O888" s="126"/>
      <c r="P888" s="126"/>
      <c r="Q888" s="171"/>
      <c r="R888" s="173"/>
      <c r="S888" s="172"/>
      <c r="AE888" s="143"/>
      <c r="AF888" s="143"/>
      <c r="AG888" s="143"/>
      <c r="AH888" s="143"/>
      <c r="AI888" s="143"/>
      <c r="AJ888" s="143"/>
      <c r="AK888" s="143"/>
      <c r="AL888" s="143"/>
      <c r="AM888" s="145"/>
      <c r="AN888" s="145"/>
      <c r="AO888" s="153"/>
    </row>
    <row r="889" spans="3:41">
      <c r="C889" s="136"/>
      <c r="D889" s="136"/>
      <c r="F889" s="15"/>
      <c r="G889" s="138"/>
      <c r="H889" s="138"/>
      <c r="I889" s="126"/>
      <c r="J889" s="15"/>
      <c r="K889" s="15"/>
      <c r="L889" s="20"/>
      <c r="M889" s="20"/>
      <c r="N889" s="126"/>
      <c r="O889" s="126"/>
      <c r="P889" s="126"/>
      <c r="Q889" s="171"/>
      <c r="R889" s="173"/>
      <c r="S889" s="172"/>
      <c r="AE889" s="143"/>
      <c r="AF889" s="143"/>
      <c r="AG889" s="143"/>
      <c r="AH889" s="143"/>
      <c r="AI889" s="143"/>
      <c r="AJ889" s="143"/>
      <c r="AK889" s="143"/>
      <c r="AL889" s="143"/>
      <c r="AM889" s="145"/>
      <c r="AN889" s="143"/>
      <c r="AO889" s="153"/>
    </row>
    <row r="890" spans="3:41">
      <c r="C890" s="136"/>
      <c r="D890" s="136"/>
      <c r="F890" s="15"/>
      <c r="G890" s="138"/>
      <c r="H890" s="138"/>
      <c r="I890" s="126"/>
      <c r="J890" s="15"/>
      <c r="K890" s="15"/>
      <c r="L890" s="20"/>
      <c r="M890" s="20"/>
      <c r="N890" s="126"/>
      <c r="O890" s="126"/>
      <c r="P890" s="126"/>
      <c r="Q890" s="171"/>
      <c r="R890" s="173"/>
      <c r="S890" s="172"/>
      <c r="AE890" s="143"/>
      <c r="AF890" s="143"/>
      <c r="AG890" s="143"/>
      <c r="AH890" s="143"/>
      <c r="AI890" s="143"/>
      <c r="AJ890" s="143"/>
      <c r="AK890" s="143"/>
      <c r="AL890" s="143"/>
      <c r="AM890" s="145"/>
      <c r="AN890" s="143"/>
      <c r="AO890" s="153"/>
    </row>
    <row r="891" spans="3:41">
      <c r="C891" s="136"/>
      <c r="D891" s="136"/>
      <c r="F891" s="15"/>
      <c r="G891" s="138"/>
      <c r="H891" s="138"/>
      <c r="I891" s="126"/>
      <c r="J891" s="15"/>
      <c r="K891" s="15"/>
      <c r="L891" s="20"/>
      <c r="M891" s="20"/>
      <c r="N891" s="126"/>
      <c r="O891" s="126"/>
      <c r="P891" s="126"/>
      <c r="Q891" s="171"/>
      <c r="R891" s="173"/>
      <c r="S891" s="172"/>
      <c r="AE891" s="143"/>
      <c r="AF891" s="143"/>
      <c r="AG891" s="143"/>
      <c r="AH891" s="143"/>
      <c r="AI891" s="143"/>
      <c r="AJ891" s="143"/>
      <c r="AK891" s="143"/>
      <c r="AL891" s="143"/>
      <c r="AM891" s="145"/>
      <c r="AN891" s="143"/>
      <c r="AO891" s="153"/>
    </row>
    <row r="892" spans="3:41">
      <c r="C892" s="136"/>
      <c r="D892" s="136"/>
      <c r="F892" s="15"/>
      <c r="G892" s="138"/>
      <c r="H892" s="138"/>
      <c r="I892" s="126"/>
      <c r="J892" s="15"/>
      <c r="K892" s="15"/>
      <c r="L892" s="20"/>
      <c r="M892" s="20"/>
      <c r="N892" s="126"/>
      <c r="O892" s="126"/>
      <c r="P892" s="126"/>
      <c r="Q892" s="171"/>
      <c r="R892" s="173"/>
      <c r="S892" s="172"/>
      <c r="AE892" s="143"/>
      <c r="AF892" s="143"/>
      <c r="AG892" s="143"/>
      <c r="AH892" s="143"/>
      <c r="AI892" s="143"/>
      <c r="AJ892" s="143"/>
      <c r="AK892" s="143"/>
      <c r="AL892" s="143"/>
      <c r="AM892" s="145"/>
      <c r="AN892" s="143"/>
      <c r="AO892" s="143"/>
    </row>
    <row r="893" spans="3:41">
      <c r="C893" s="136"/>
      <c r="D893" s="136"/>
      <c r="F893" s="15"/>
      <c r="G893" s="138"/>
      <c r="H893" s="138"/>
      <c r="I893" s="126"/>
      <c r="J893" s="15"/>
      <c r="K893" s="15"/>
      <c r="L893" s="20"/>
      <c r="M893" s="20"/>
      <c r="N893" s="126"/>
      <c r="O893" s="126"/>
      <c r="P893" s="126"/>
      <c r="Q893" s="171"/>
      <c r="R893" s="173"/>
      <c r="S893" s="172"/>
      <c r="AE893" s="143"/>
      <c r="AF893" s="143"/>
      <c r="AG893" s="143"/>
      <c r="AH893" s="143"/>
      <c r="AI893" s="143"/>
      <c r="AJ893" s="143"/>
      <c r="AK893" s="143"/>
      <c r="AL893" s="143"/>
      <c r="AM893" s="145"/>
      <c r="AN893" s="143"/>
      <c r="AO893" s="153"/>
    </row>
    <row r="894" spans="3:41">
      <c r="C894" s="136"/>
      <c r="D894" s="136"/>
      <c r="F894" s="15"/>
      <c r="G894" s="138"/>
      <c r="H894" s="138"/>
      <c r="I894" s="126"/>
      <c r="J894" s="15"/>
      <c r="K894" s="15"/>
      <c r="L894" s="20"/>
      <c r="M894" s="20"/>
      <c r="N894" s="126"/>
      <c r="O894" s="126"/>
      <c r="P894" s="126"/>
      <c r="Q894" s="171"/>
      <c r="R894" s="172"/>
      <c r="S894" s="172"/>
      <c r="AE894" s="143"/>
      <c r="AF894" s="143"/>
      <c r="AG894" s="143"/>
      <c r="AH894" s="143"/>
      <c r="AI894" s="143"/>
      <c r="AJ894" s="143"/>
      <c r="AK894" s="143"/>
      <c r="AL894" s="143"/>
      <c r="AM894" s="145"/>
      <c r="AN894" s="143"/>
      <c r="AO894" s="153"/>
    </row>
    <row r="895" spans="3:41">
      <c r="C895" s="136"/>
      <c r="D895" s="136"/>
      <c r="F895" s="15"/>
      <c r="G895" s="138"/>
      <c r="H895" s="138"/>
      <c r="I895" s="126"/>
      <c r="J895" s="15"/>
      <c r="K895" s="15"/>
      <c r="L895" s="20"/>
      <c r="M895" s="20"/>
      <c r="N895" s="126"/>
      <c r="O895" s="126"/>
      <c r="P895" s="126"/>
      <c r="Q895" s="171"/>
      <c r="R895" s="172"/>
      <c r="S895" s="172"/>
      <c r="AE895" s="143"/>
      <c r="AF895" s="143"/>
      <c r="AG895" s="143"/>
      <c r="AH895" s="143"/>
      <c r="AI895" s="143"/>
      <c r="AJ895" s="143"/>
      <c r="AK895" s="143"/>
      <c r="AL895" s="144"/>
      <c r="AM895" s="145"/>
      <c r="AN895" s="144"/>
      <c r="AO895" s="153"/>
    </row>
    <row r="896" spans="3:41">
      <c r="C896" s="136"/>
      <c r="D896" s="136"/>
      <c r="F896" s="15"/>
      <c r="G896" s="138"/>
      <c r="H896" s="138"/>
      <c r="I896" s="126"/>
      <c r="J896" s="15"/>
      <c r="K896" s="15"/>
      <c r="L896" s="20"/>
      <c r="M896" s="20"/>
      <c r="N896" s="126"/>
      <c r="O896" s="126"/>
      <c r="P896" s="126"/>
      <c r="Q896" s="171"/>
      <c r="R896" s="172"/>
      <c r="S896" s="172"/>
      <c r="AE896" s="143"/>
      <c r="AF896" s="143"/>
      <c r="AG896" s="143"/>
      <c r="AH896" s="143"/>
      <c r="AI896" s="143"/>
      <c r="AJ896" s="143"/>
      <c r="AK896" s="143"/>
      <c r="AL896" s="144"/>
      <c r="AM896" s="145"/>
      <c r="AN896" s="144"/>
      <c r="AO896" s="153"/>
    </row>
    <row r="897" spans="3:41">
      <c r="C897" s="136"/>
      <c r="D897" s="136"/>
      <c r="F897" s="15"/>
      <c r="G897" s="138"/>
      <c r="H897" s="138"/>
      <c r="I897" s="126"/>
      <c r="J897" s="15"/>
      <c r="K897" s="15"/>
      <c r="L897" s="20"/>
      <c r="M897" s="20"/>
      <c r="N897" s="126"/>
      <c r="O897" s="126"/>
      <c r="P897" s="126"/>
      <c r="Q897" s="171"/>
      <c r="R897" s="172"/>
      <c r="S897" s="172"/>
      <c r="AE897" s="143"/>
      <c r="AF897" s="143"/>
      <c r="AG897" s="143"/>
      <c r="AH897" s="143"/>
      <c r="AI897" s="143"/>
      <c r="AJ897" s="143"/>
      <c r="AK897" s="143"/>
      <c r="AL897" s="144"/>
      <c r="AM897" s="145"/>
      <c r="AN897" s="144"/>
      <c r="AO897" s="153"/>
    </row>
    <row r="898" spans="3:41">
      <c r="C898" s="136"/>
      <c r="D898" s="136"/>
      <c r="F898" s="15"/>
      <c r="G898" s="138"/>
      <c r="H898" s="138"/>
      <c r="I898" s="126"/>
      <c r="J898" s="15"/>
      <c r="K898" s="15"/>
      <c r="L898" s="20"/>
      <c r="M898" s="20"/>
      <c r="N898" s="126"/>
      <c r="O898" s="126"/>
      <c r="P898" s="126"/>
      <c r="Q898" s="171"/>
      <c r="R898" s="172"/>
      <c r="S898" s="172"/>
      <c r="AE898" s="143"/>
      <c r="AF898" s="143"/>
      <c r="AG898" s="143"/>
      <c r="AH898" s="143"/>
      <c r="AI898" s="143"/>
      <c r="AJ898" s="143"/>
      <c r="AK898" s="143"/>
      <c r="AL898" s="144"/>
      <c r="AM898" s="145"/>
      <c r="AN898" s="144"/>
      <c r="AO898" s="153"/>
    </row>
    <row r="899" spans="3:41">
      <c r="C899" s="136"/>
      <c r="D899" s="136"/>
      <c r="F899" s="15"/>
      <c r="G899" s="138"/>
      <c r="H899" s="138"/>
      <c r="I899" s="126"/>
      <c r="J899" s="15"/>
      <c r="K899" s="15"/>
      <c r="L899" s="20"/>
      <c r="M899" s="20"/>
      <c r="N899" s="126"/>
      <c r="O899" s="126"/>
      <c r="P899" s="126"/>
      <c r="Q899" s="171"/>
      <c r="R899" s="172"/>
      <c r="S899" s="172"/>
      <c r="AE899" s="143"/>
      <c r="AF899" s="143"/>
      <c r="AG899" s="143"/>
      <c r="AH899" s="143"/>
      <c r="AI899" s="143"/>
      <c r="AJ899" s="143"/>
      <c r="AK899" s="143"/>
      <c r="AL899" s="144"/>
      <c r="AM899" s="145"/>
      <c r="AN899" s="144"/>
      <c r="AO899" s="143"/>
    </row>
    <row r="900" spans="3:41">
      <c r="C900" s="136"/>
      <c r="D900" s="136"/>
      <c r="F900" s="15"/>
      <c r="G900" s="138"/>
      <c r="H900" s="138"/>
      <c r="I900" s="126"/>
      <c r="J900" s="15"/>
      <c r="K900" s="15"/>
      <c r="L900" s="20"/>
      <c r="M900" s="20"/>
      <c r="N900" s="126"/>
      <c r="O900" s="126"/>
      <c r="P900" s="126"/>
      <c r="Q900" s="171"/>
      <c r="R900" s="172"/>
      <c r="S900" s="172"/>
      <c r="AE900" s="143"/>
      <c r="AF900" s="143"/>
      <c r="AG900" s="143"/>
      <c r="AH900" s="143"/>
      <c r="AI900" s="143"/>
      <c r="AJ900" s="143"/>
      <c r="AK900" s="143"/>
      <c r="AL900" s="144"/>
      <c r="AM900" s="145"/>
      <c r="AN900" s="145"/>
      <c r="AO900" s="153"/>
    </row>
    <row r="901" spans="3:41">
      <c r="C901" s="136"/>
      <c r="D901" s="136"/>
      <c r="F901" s="15"/>
      <c r="G901" s="138"/>
      <c r="H901" s="138"/>
      <c r="I901" s="126"/>
      <c r="J901" s="15"/>
      <c r="K901" s="15"/>
      <c r="L901" s="20"/>
      <c r="M901" s="20"/>
      <c r="N901" s="126"/>
      <c r="O901" s="126"/>
      <c r="P901" s="126"/>
      <c r="Q901" s="171"/>
      <c r="R901" s="172"/>
      <c r="S901" s="172"/>
      <c r="AE901" s="143"/>
      <c r="AF901" s="143"/>
      <c r="AG901" s="143"/>
      <c r="AH901" s="143"/>
      <c r="AI901" s="143"/>
      <c r="AJ901" s="143"/>
      <c r="AK901" s="143"/>
      <c r="AL901" s="144"/>
      <c r="AM901" s="145"/>
      <c r="AN901" s="144"/>
      <c r="AO901" s="153"/>
    </row>
    <row r="902" spans="3:41">
      <c r="C902" s="136"/>
      <c r="D902" s="136"/>
      <c r="F902" s="15"/>
      <c r="G902" s="138"/>
      <c r="H902" s="138"/>
      <c r="I902" s="126"/>
      <c r="J902" s="15"/>
      <c r="K902" s="15"/>
      <c r="L902" s="20"/>
      <c r="M902" s="20"/>
      <c r="N902" s="126"/>
      <c r="O902" s="126"/>
      <c r="P902" s="126"/>
      <c r="Q902" s="171"/>
      <c r="R902" s="172"/>
      <c r="S902" s="172"/>
      <c r="AE902" s="143"/>
      <c r="AF902" s="143"/>
      <c r="AG902" s="143"/>
      <c r="AH902" s="143"/>
      <c r="AI902" s="143"/>
      <c r="AJ902" s="143"/>
      <c r="AK902" s="143"/>
      <c r="AL902" s="144"/>
      <c r="AM902" s="145"/>
      <c r="AN902" s="143"/>
      <c r="AO902" s="153"/>
    </row>
    <row r="903" spans="3:41">
      <c r="C903" s="136"/>
      <c r="D903" s="136"/>
      <c r="F903" s="15"/>
      <c r="G903" s="138"/>
      <c r="H903" s="138"/>
      <c r="I903" s="126"/>
      <c r="J903" s="15"/>
      <c r="K903" s="15"/>
      <c r="L903" s="20"/>
      <c r="M903" s="20"/>
      <c r="N903" s="126"/>
      <c r="O903" s="126"/>
      <c r="P903" s="126"/>
      <c r="Q903" s="171"/>
      <c r="R903" s="172"/>
      <c r="S903" s="172"/>
      <c r="AE903" s="143"/>
      <c r="AF903" s="143"/>
      <c r="AG903" s="143"/>
      <c r="AH903" s="143"/>
      <c r="AI903" s="143"/>
      <c r="AJ903" s="143"/>
      <c r="AK903" s="143"/>
      <c r="AL903" s="143"/>
      <c r="AM903" s="145"/>
      <c r="AN903" s="143"/>
      <c r="AO903" s="153"/>
    </row>
    <row r="904" spans="3:41">
      <c r="C904" s="136"/>
      <c r="D904" s="136"/>
      <c r="F904" s="15"/>
      <c r="G904" s="138"/>
      <c r="H904" s="138"/>
      <c r="I904" s="126"/>
      <c r="J904" s="15"/>
      <c r="K904" s="15"/>
      <c r="L904" s="20"/>
      <c r="M904" s="20"/>
      <c r="N904" s="126"/>
      <c r="O904" s="126"/>
      <c r="P904" s="126"/>
      <c r="Q904" s="171"/>
      <c r="R904" s="172"/>
      <c r="S904" s="172"/>
      <c r="AE904" s="143"/>
      <c r="AF904" s="143"/>
      <c r="AG904" s="143"/>
      <c r="AH904" s="143"/>
      <c r="AI904" s="143"/>
      <c r="AJ904" s="143"/>
      <c r="AK904" s="143"/>
      <c r="AL904" s="143"/>
      <c r="AM904" s="145"/>
      <c r="AN904" s="143"/>
      <c r="AO904" s="153"/>
    </row>
    <row r="905" spans="3:41">
      <c r="C905" s="136"/>
      <c r="D905" s="136"/>
      <c r="F905" s="15"/>
      <c r="G905" s="138"/>
      <c r="H905" s="138"/>
      <c r="I905" s="126"/>
      <c r="J905" s="15"/>
      <c r="K905" s="15"/>
      <c r="L905" s="20"/>
      <c r="M905" s="20"/>
      <c r="N905" s="126"/>
      <c r="O905" s="126"/>
      <c r="P905" s="126"/>
      <c r="Q905" s="171"/>
      <c r="R905" s="172"/>
      <c r="S905" s="172"/>
      <c r="AE905" s="143"/>
      <c r="AF905" s="143"/>
      <c r="AG905" s="143"/>
      <c r="AH905" s="143"/>
      <c r="AI905" s="143"/>
      <c r="AJ905" s="143"/>
      <c r="AK905" s="143"/>
      <c r="AL905" s="144"/>
      <c r="AM905" s="145"/>
      <c r="AN905" s="144"/>
      <c r="AO905" s="153"/>
    </row>
    <row r="906" spans="3:41">
      <c r="C906" s="136"/>
      <c r="D906" s="136"/>
      <c r="F906" s="15"/>
      <c r="G906" s="138"/>
      <c r="H906" s="138"/>
      <c r="I906" s="126"/>
      <c r="J906" s="15"/>
      <c r="K906" s="15"/>
      <c r="L906" s="20"/>
      <c r="M906" s="20"/>
      <c r="N906" s="126"/>
      <c r="O906" s="126"/>
      <c r="P906" s="126"/>
      <c r="Q906" s="171"/>
      <c r="R906" s="172"/>
      <c r="S906" s="172"/>
      <c r="AE906" s="143"/>
      <c r="AF906" s="143"/>
      <c r="AG906" s="143"/>
      <c r="AH906" s="143"/>
      <c r="AI906" s="143"/>
      <c r="AJ906" s="143"/>
      <c r="AK906" s="143"/>
      <c r="AL906" s="144"/>
      <c r="AM906" s="145"/>
      <c r="AN906" s="144"/>
      <c r="AO906" s="153"/>
    </row>
    <row r="907" spans="3:41">
      <c r="C907" s="136"/>
      <c r="D907" s="136"/>
      <c r="F907" s="15"/>
      <c r="G907" s="138"/>
      <c r="H907" s="138"/>
      <c r="I907" s="126"/>
      <c r="J907" s="15"/>
      <c r="K907" s="15"/>
      <c r="L907" s="20"/>
      <c r="M907" s="20"/>
      <c r="N907" s="126"/>
      <c r="O907" s="126"/>
      <c r="P907" s="126"/>
      <c r="Q907" s="171"/>
      <c r="R907" s="172"/>
      <c r="S907" s="172"/>
      <c r="AE907" s="143"/>
      <c r="AF907" s="143"/>
      <c r="AG907" s="143"/>
      <c r="AH907" s="143"/>
      <c r="AI907" s="143"/>
      <c r="AJ907" s="143"/>
      <c r="AK907" s="143"/>
      <c r="AL907" s="144"/>
      <c r="AM907" s="145"/>
      <c r="AN907" s="145"/>
      <c r="AO907" s="153"/>
    </row>
    <row r="908" spans="3:41">
      <c r="C908" s="136"/>
      <c r="D908" s="136"/>
      <c r="F908" s="15"/>
      <c r="G908" s="138"/>
      <c r="H908" s="138"/>
      <c r="I908" s="126"/>
      <c r="J908" s="15"/>
      <c r="K908" s="15"/>
      <c r="L908" s="20"/>
      <c r="M908" s="20"/>
      <c r="N908" s="126"/>
      <c r="O908" s="126"/>
      <c r="P908" s="126"/>
      <c r="Q908" s="171"/>
      <c r="R908" s="172"/>
      <c r="S908" s="172"/>
      <c r="AE908" s="143"/>
      <c r="AF908" s="143"/>
      <c r="AG908" s="143"/>
      <c r="AH908" s="143"/>
      <c r="AI908" s="143"/>
      <c r="AJ908" s="143"/>
      <c r="AK908" s="143"/>
      <c r="AL908" s="144"/>
      <c r="AM908" s="145"/>
      <c r="AN908" s="144"/>
      <c r="AO908" s="153"/>
    </row>
    <row r="909" spans="3:41">
      <c r="C909" s="136"/>
      <c r="D909" s="136"/>
      <c r="F909" s="15"/>
      <c r="G909" s="138"/>
      <c r="H909" s="138"/>
      <c r="I909" s="126"/>
      <c r="J909" s="15"/>
      <c r="K909" s="15"/>
      <c r="L909" s="20"/>
      <c r="M909" s="20"/>
      <c r="N909" s="126"/>
      <c r="O909" s="126"/>
      <c r="P909" s="126"/>
      <c r="Q909" s="171"/>
      <c r="R909" s="172"/>
      <c r="S909" s="172"/>
      <c r="AE909" s="143"/>
      <c r="AF909" s="143"/>
      <c r="AG909" s="143"/>
      <c r="AH909" s="143"/>
      <c r="AI909" s="143"/>
      <c r="AJ909" s="143"/>
      <c r="AK909" s="143"/>
      <c r="AL909" s="144"/>
      <c r="AM909" s="145"/>
      <c r="AN909" s="145"/>
      <c r="AO909" s="153"/>
    </row>
    <row r="910" spans="3:41">
      <c r="C910" s="136"/>
      <c r="D910" s="136"/>
      <c r="F910" s="15"/>
      <c r="G910" s="138"/>
      <c r="H910" s="138"/>
      <c r="I910" s="126"/>
      <c r="J910" s="15"/>
      <c r="K910" s="15"/>
      <c r="L910" s="20"/>
      <c r="M910" s="20"/>
      <c r="N910" s="126"/>
      <c r="O910" s="126"/>
      <c r="P910" s="126"/>
      <c r="Q910" s="171"/>
      <c r="R910" s="172"/>
      <c r="S910" s="172"/>
      <c r="AE910" s="143"/>
      <c r="AF910" s="143"/>
      <c r="AG910" s="143"/>
      <c r="AH910" s="143"/>
      <c r="AI910" s="143"/>
      <c r="AJ910" s="143"/>
      <c r="AK910" s="143"/>
      <c r="AL910" s="143"/>
      <c r="AM910" s="145"/>
      <c r="AN910" s="145"/>
      <c r="AO910" s="153"/>
    </row>
    <row r="911" spans="3:41">
      <c r="C911" s="136"/>
      <c r="D911" s="136"/>
      <c r="F911" s="15"/>
      <c r="G911" s="138"/>
      <c r="H911" s="138"/>
      <c r="I911" s="126"/>
      <c r="J911" s="15"/>
      <c r="K911" s="15"/>
      <c r="L911" s="20"/>
      <c r="M911" s="20"/>
      <c r="N911" s="126"/>
      <c r="O911" s="126"/>
      <c r="P911" s="126"/>
      <c r="Q911" s="171"/>
      <c r="R911" s="172"/>
      <c r="S911" s="172"/>
      <c r="AE911" s="143"/>
      <c r="AF911" s="143"/>
      <c r="AG911" s="143"/>
      <c r="AH911" s="143"/>
      <c r="AI911" s="143"/>
      <c r="AJ911" s="143"/>
      <c r="AK911" s="143"/>
      <c r="AL911" s="144"/>
      <c r="AM911" s="145"/>
      <c r="AN911" s="144"/>
      <c r="AO911" s="153"/>
    </row>
    <row r="912" spans="3:41">
      <c r="C912" s="136"/>
      <c r="D912" s="136"/>
      <c r="F912" s="15"/>
      <c r="G912" s="138"/>
      <c r="H912" s="138"/>
      <c r="I912" s="126"/>
      <c r="J912" s="15"/>
      <c r="K912" s="15"/>
      <c r="L912" s="20"/>
      <c r="M912" s="20"/>
      <c r="N912" s="126"/>
      <c r="O912" s="126"/>
      <c r="P912" s="126"/>
      <c r="Q912" s="171"/>
      <c r="R912" s="172"/>
      <c r="S912" s="172"/>
      <c r="AE912" s="143"/>
      <c r="AF912" s="143"/>
      <c r="AG912" s="143"/>
      <c r="AH912" s="143"/>
      <c r="AI912" s="143"/>
      <c r="AJ912" s="143"/>
      <c r="AK912" s="143"/>
      <c r="AL912" s="144"/>
      <c r="AM912" s="145"/>
      <c r="AN912" s="145"/>
      <c r="AO912" s="153"/>
    </row>
    <row r="913" spans="3:41">
      <c r="C913" s="136"/>
      <c r="D913" s="136"/>
      <c r="F913" s="15"/>
      <c r="G913" s="138"/>
      <c r="H913" s="138"/>
      <c r="I913" s="126"/>
      <c r="J913" s="15"/>
      <c r="K913" s="15"/>
      <c r="L913" s="20"/>
      <c r="M913" s="20"/>
      <c r="N913" s="126"/>
      <c r="O913" s="126"/>
      <c r="P913" s="126"/>
      <c r="Q913" s="171"/>
      <c r="R913" s="172"/>
      <c r="S913" s="172"/>
      <c r="AE913" s="143"/>
      <c r="AF913" s="143"/>
      <c r="AG913" s="143"/>
      <c r="AH913" s="143"/>
      <c r="AI913" s="143"/>
      <c r="AJ913" s="143"/>
      <c r="AK913" s="143"/>
      <c r="AL913" s="144"/>
      <c r="AM913" s="145"/>
      <c r="AN913" s="144"/>
      <c r="AO913" s="153"/>
    </row>
    <row r="914" spans="3:41">
      <c r="C914" s="136"/>
      <c r="D914" s="136"/>
      <c r="F914" s="15"/>
      <c r="G914" s="138"/>
      <c r="H914" s="138"/>
      <c r="I914" s="126"/>
      <c r="J914" s="15"/>
      <c r="K914" s="15"/>
      <c r="L914" s="20"/>
      <c r="M914" s="20"/>
      <c r="N914" s="126"/>
      <c r="O914" s="126"/>
      <c r="P914" s="126"/>
      <c r="Q914" s="171"/>
      <c r="R914" s="172"/>
      <c r="S914" s="172"/>
      <c r="AE914" s="143"/>
      <c r="AF914" s="143"/>
      <c r="AG914" s="143"/>
      <c r="AH914" s="143"/>
      <c r="AI914" s="143"/>
      <c r="AJ914" s="143"/>
      <c r="AK914" s="143"/>
      <c r="AL914" s="144"/>
      <c r="AM914" s="145"/>
      <c r="AN914" s="144"/>
      <c r="AO914" s="143"/>
    </row>
    <row r="915" spans="3:41">
      <c r="C915" s="136"/>
      <c r="D915" s="136"/>
      <c r="F915" s="15"/>
      <c r="G915" s="138"/>
      <c r="H915" s="138"/>
      <c r="I915" s="126"/>
      <c r="J915" s="15"/>
      <c r="K915" s="15"/>
      <c r="L915" s="20"/>
      <c r="M915" s="20"/>
      <c r="N915" s="126"/>
      <c r="O915" s="126"/>
      <c r="P915" s="126"/>
      <c r="Q915" s="171"/>
      <c r="R915" s="172"/>
      <c r="S915" s="172"/>
      <c r="AE915" s="143"/>
      <c r="AF915" s="143"/>
      <c r="AG915" s="143"/>
      <c r="AH915" s="143"/>
      <c r="AI915" s="143"/>
      <c r="AJ915" s="143"/>
      <c r="AK915" s="143"/>
      <c r="AL915" s="143"/>
      <c r="AM915" s="145"/>
      <c r="AN915" s="143"/>
      <c r="AO915" s="153"/>
    </row>
    <row r="916" spans="3:41">
      <c r="C916" s="136"/>
      <c r="D916" s="136"/>
      <c r="F916" s="15"/>
      <c r="G916" s="138"/>
      <c r="H916" s="138"/>
      <c r="I916" s="126"/>
      <c r="J916" s="15"/>
      <c r="K916" s="15"/>
      <c r="L916" s="20"/>
      <c r="M916" s="20"/>
      <c r="N916" s="126"/>
      <c r="O916" s="126"/>
      <c r="P916" s="126"/>
      <c r="Q916" s="171"/>
      <c r="R916" s="172"/>
      <c r="S916" s="172"/>
      <c r="AE916" s="143"/>
      <c r="AF916" s="143"/>
      <c r="AG916" s="143"/>
      <c r="AH916" s="143"/>
      <c r="AI916" s="143"/>
      <c r="AJ916" s="143"/>
      <c r="AK916" s="143"/>
      <c r="AL916" s="144"/>
      <c r="AM916" s="145"/>
      <c r="AN916" s="145"/>
      <c r="AO916" s="153"/>
    </row>
    <row r="917" spans="3:41">
      <c r="C917" s="136"/>
      <c r="D917" s="136"/>
      <c r="F917" s="15"/>
      <c r="G917" s="138"/>
      <c r="H917" s="138"/>
      <c r="I917" s="126"/>
      <c r="J917" s="15"/>
      <c r="K917" s="15"/>
      <c r="L917" s="20"/>
      <c r="M917" s="20"/>
      <c r="N917" s="126"/>
      <c r="O917" s="126"/>
      <c r="P917" s="126"/>
      <c r="Q917" s="171"/>
      <c r="R917" s="172"/>
      <c r="S917" s="172"/>
      <c r="AE917" s="143"/>
      <c r="AF917" s="143"/>
      <c r="AG917" s="143"/>
      <c r="AH917" s="143"/>
      <c r="AI917" s="143"/>
      <c r="AJ917" s="143"/>
      <c r="AK917" s="143"/>
      <c r="AL917" s="144"/>
      <c r="AM917" s="144"/>
      <c r="AN917" s="145"/>
      <c r="AO917" s="153"/>
    </row>
    <row r="918" spans="3:41">
      <c r="C918" s="136"/>
      <c r="D918" s="136"/>
      <c r="F918" s="15"/>
      <c r="G918" s="138"/>
      <c r="H918" s="138"/>
      <c r="I918" s="126"/>
      <c r="J918" s="15"/>
      <c r="K918" s="15"/>
      <c r="L918" s="20"/>
      <c r="M918" s="20"/>
      <c r="N918" s="126"/>
      <c r="O918" s="126"/>
      <c r="P918" s="126"/>
      <c r="Q918" s="171"/>
      <c r="R918" s="172"/>
      <c r="S918" s="172"/>
      <c r="AE918" s="143"/>
      <c r="AF918" s="143"/>
      <c r="AG918" s="143"/>
      <c r="AH918" s="143"/>
      <c r="AI918" s="143"/>
      <c r="AJ918" s="143"/>
      <c r="AK918" s="143"/>
      <c r="AL918" s="144"/>
      <c r="AM918" s="145"/>
      <c r="AN918" s="144"/>
      <c r="AO918" s="153"/>
    </row>
    <row r="919" spans="3:41">
      <c r="C919" s="136"/>
      <c r="D919" s="136"/>
      <c r="F919" s="15"/>
      <c r="G919" s="138"/>
      <c r="H919" s="138"/>
      <c r="I919" s="126"/>
      <c r="J919" s="15"/>
      <c r="K919" s="15"/>
      <c r="L919" s="20"/>
      <c r="M919" s="20"/>
      <c r="N919" s="126"/>
      <c r="O919" s="126"/>
      <c r="P919" s="126"/>
      <c r="Q919" s="171"/>
      <c r="R919" s="172"/>
      <c r="S919" s="172"/>
      <c r="AE919" s="143"/>
      <c r="AF919" s="143"/>
      <c r="AG919" s="143"/>
      <c r="AH919" s="143"/>
      <c r="AI919" s="143"/>
      <c r="AJ919" s="143"/>
      <c r="AK919" s="143"/>
      <c r="AL919" s="144"/>
      <c r="AM919" s="145"/>
      <c r="AN919" s="144"/>
      <c r="AO919" s="153"/>
    </row>
    <row r="920" spans="3:41">
      <c r="C920" s="136"/>
      <c r="D920" s="136"/>
      <c r="F920" s="15"/>
      <c r="G920" s="138"/>
      <c r="H920" s="138"/>
      <c r="I920" s="126"/>
      <c r="J920" s="15"/>
      <c r="K920" s="15"/>
      <c r="L920" s="20"/>
      <c r="M920" s="20"/>
      <c r="N920" s="126"/>
      <c r="O920" s="126"/>
      <c r="P920" s="126"/>
      <c r="Q920" s="171"/>
      <c r="R920" s="172"/>
      <c r="S920" s="172"/>
      <c r="AE920" s="143"/>
      <c r="AF920" s="143"/>
      <c r="AG920" s="143"/>
      <c r="AH920" s="143"/>
      <c r="AI920" s="143"/>
      <c r="AJ920" s="143"/>
      <c r="AK920" s="143"/>
      <c r="AL920" s="144"/>
      <c r="AM920" s="144"/>
      <c r="AN920" s="145"/>
      <c r="AO920" s="153"/>
    </row>
    <row r="921" spans="3:41">
      <c r="C921" s="136"/>
      <c r="D921" s="136"/>
      <c r="F921" s="15"/>
      <c r="G921" s="138"/>
      <c r="H921" s="138"/>
      <c r="I921" s="126"/>
      <c r="J921" s="15"/>
      <c r="K921" s="15"/>
      <c r="L921" s="20"/>
      <c r="M921" s="20"/>
      <c r="N921" s="126"/>
      <c r="O921" s="126"/>
      <c r="P921" s="126"/>
      <c r="Q921" s="171"/>
      <c r="R921" s="172"/>
      <c r="S921" s="172"/>
      <c r="AE921" s="143"/>
      <c r="AF921" s="143"/>
      <c r="AG921" s="143"/>
      <c r="AH921" s="143"/>
      <c r="AI921" s="143"/>
      <c r="AJ921" s="143"/>
      <c r="AK921" s="143"/>
      <c r="AL921" s="143"/>
      <c r="AM921" s="145"/>
      <c r="AN921" s="144"/>
      <c r="AO921" s="153"/>
    </row>
    <row r="922" spans="3:41">
      <c r="C922" s="136"/>
      <c r="D922" s="136"/>
      <c r="F922" s="15"/>
      <c r="G922" s="138"/>
      <c r="H922" s="138"/>
      <c r="I922" s="126"/>
      <c r="J922" s="15"/>
      <c r="K922" s="15"/>
      <c r="L922" s="20"/>
      <c r="M922" s="20"/>
      <c r="N922" s="126"/>
      <c r="O922" s="126"/>
      <c r="P922" s="126"/>
      <c r="Q922" s="171"/>
      <c r="R922" s="172"/>
      <c r="S922" s="172"/>
      <c r="AE922" s="143"/>
      <c r="AF922" s="143"/>
      <c r="AG922" s="143"/>
      <c r="AH922" s="143"/>
      <c r="AI922" s="143"/>
      <c r="AJ922" s="143"/>
      <c r="AK922" s="143"/>
      <c r="AL922" s="143"/>
      <c r="AM922" s="145"/>
      <c r="AN922" s="143"/>
      <c r="AO922" s="153"/>
    </row>
    <row r="923" spans="3:41">
      <c r="C923" s="136"/>
      <c r="D923" s="136"/>
      <c r="F923" s="15"/>
      <c r="G923" s="138"/>
      <c r="H923" s="138"/>
      <c r="I923" s="126"/>
      <c r="J923" s="15"/>
      <c r="K923" s="15"/>
      <c r="L923" s="20"/>
      <c r="M923" s="20"/>
      <c r="N923" s="126"/>
      <c r="O923" s="126"/>
      <c r="P923" s="126"/>
      <c r="Q923" s="171"/>
      <c r="R923" s="172"/>
      <c r="S923" s="172"/>
      <c r="AE923" s="143"/>
      <c r="AF923" s="143"/>
      <c r="AG923" s="143"/>
      <c r="AH923" s="143"/>
      <c r="AI923" s="143"/>
      <c r="AJ923" s="143"/>
      <c r="AK923" s="143"/>
      <c r="AL923" s="144"/>
      <c r="AM923" s="145"/>
      <c r="AN923" s="144"/>
      <c r="AO923" s="153"/>
    </row>
    <row r="924" spans="3:41">
      <c r="C924" s="136"/>
      <c r="D924" s="136"/>
      <c r="F924" s="15"/>
      <c r="G924" s="138"/>
      <c r="H924" s="138"/>
      <c r="I924" s="126"/>
      <c r="J924" s="15"/>
      <c r="K924" s="15"/>
      <c r="L924" s="20"/>
      <c r="M924" s="20"/>
      <c r="N924" s="126"/>
      <c r="O924" s="126"/>
      <c r="P924" s="126"/>
      <c r="Q924" s="171"/>
      <c r="R924" s="172"/>
      <c r="S924" s="172"/>
      <c r="AE924" s="143"/>
      <c r="AF924" s="143"/>
      <c r="AG924" s="143"/>
      <c r="AH924" s="143"/>
      <c r="AI924" s="143"/>
      <c r="AJ924" s="143"/>
      <c r="AK924" s="143"/>
      <c r="AL924" s="144"/>
      <c r="AM924" s="144"/>
      <c r="AN924" s="153"/>
      <c r="AO924" s="153"/>
    </row>
    <row r="925" spans="3:41">
      <c r="C925" s="136"/>
      <c r="D925" s="136"/>
      <c r="F925" s="15"/>
      <c r="G925" s="138"/>
      <c r="H925" s="138"/>
      <c r="I925" s="126"/>
      <c r="J925" s="15"/>
      <c r="K925" s="15"/>
      <c r="L925" s="20"/>
      <c r="M925" s="20"/>
      <c r="N925" s="126"/>
      <c r="O925" s="126"/>
      <c r="P925" s="126"/>
      <c r="Q925" s="171"/>
      <c r="R925" s="172"/>
      <c r="S925" s="172"/>
      <c r="AE925" s="143"/>
      <c r="AF925" s="143"/>
      <c r="AG925" s="143"/>
      <c r="AH925" s="143"/>
      <c r="AI925" s="143"/>
      <c r="AJ925" s="143"/>
      <c r="AK925" s="143"/>
      <c r="AL925" s="143"/>
      <c r="AM925" s="145"/>
      <c r="AN925" s="143"/>
      <c r="AO925" s="153"/>
    </row>
    <row r="926" spans="3:41">
      <c r="C926" s="136"/>
      <c r="D926" s="136"/>
      <c r="F926" s="15"/>
      <c r="G926" s="138"/>
      <c r="H926" s="138"/>
      <c r="I926" s="126"/>
      <c r="J926" s="15"/>
      <c r="K926" s="15"/>
      <c r="L926" s="20"/>
      <c r="M926" s="20"/>
      <c r="N926" s="126"/>
      <c r="O926" s="126"/>
      <c r="P926" s="126"/>
      <c r="Q926" s="171"/>
      <c r="R926" s="172"/>
      <c r="S926" s="172"/>
      <c r="AE926" s="143"/>
      <c r="AF926" s="143"/>
      <c r="AG926" s="143"/>
      <c r="AH926" s="143"/>
      <c r="AI926" s="143"/>
      <c r="AJ926" s="143"/>
      <c r="AK926" s="143"/>
      <c r="AL926" s="143"/>
      <c r="AM926" s="145"/>
      <c r="AN926" s="143"/>
      <c r="AO926" s="143"/>
    </row>
    <row r="927" spans="3:41">
      <c r="C927" s="136"/>
      <c r="D927" s="136"/>
      <c r="F927" s="15"/>
      <c r="G927" s="138"/>
      <c r="H927" s="138"/>
      <c r="I927" s="126"/>
      <c r="J927" s="15"/>
      <c r="K927" s="15"/>
      <c r="L927" s="20"/>
      <c r="M927" s="20"/>
      <c r="N927" s="126"/>
      <c r="O927" s="126"/>
      <c r="P927" s="126"/>
      <c r="Q927" s="171"/>
      <c r="R927" s="172"/>
      <c r="S927" s="172"/>
      <c r="AE927" s="143"/>
      <c r="AF927" s="143"/>
      <c r="AG927" s="143"/>
      <c r="AH927" s="143"/>
      <c r="AI927" s="143"/>
      <c r="AJ927" s="143"/>
      <c r="AK927" s="143"/>
      <c r="AL927" s="143"/>
      <c r="AM927" s="143"/>
      <c r="AN927" s="143"/>
      <c r="AO927" s="153"/>
    </row>
    <row r="928" spans="3:41">
      <c r="C928" s="136"/>
      <c r="D928" s="136"/>
      <c r="F928" s="15"/>
      <c r="G928" s="138"/>
      <c r="H928" s="138"/>
      <c r="I928" s="126"/>
      <c r="J928" s="15"/>
      <c r="K928" s="15"/>
      <c r="L928" s="20"/>
      <c r="M928" s="20"/>
      <c r="N928" s="126"/>
      <c r="O928" s="126"/>
      <c r="P928" s="126"/>
      <c r="Q928" s="171"/>
      <c r="R928" s="172"/>
      <c r="S928" s="172"/>
      <c r="AE928" s="143"/>
      <c r="AF928" s="143"/>
      <c r="AG928" s="143"/>
      <c r="AH928" s="143"/>
      <c r="AI928" s="143"/>
      <c r="AJ928" s="143"/>
      <c r="AK928" s="143"/>
      <c r="AL928" s="143"/>
      <c r="AM928" s="143"/>
      <c r="AN928" s="143"/>
      <c r="AO928" s="153"/>
    </row>
    <row r="929" spans="3:41">
      <c r="C929" s="136"/>
      <c r="D929" s="136"/>
      <c r="F929" s="15"/>
      <c r="G929" s="138"/>
      <c r="H929" s="138"/>
      <c r="I929" s="126"/>
      <c r="J929" s="15"/>
      <c r="K929" s="15"/>
      <c r="L929" s="20"/>
      <c r="M929" s="20"/>
      <c r="N929" s="126"/>
      <c r="O929" s="126"/>
      <c r="P929" s="126"/>
      <c r="Q929" s="171"/>
      <c r="R929" s="172"/>
      <c r="S929" s="172"/>
      <c r="AE929" s="143"/>
      <c r="AF929" s="143"/>
      <c r="AG929" s="143"/>
      <c r="AH929" s="143"/>
      <c r="AI929" s="143"/>
      <c r="AJ929" s="143"/>
      <c r="AK929" s="143"/>
      <c r="AL929" s="143"/>
      <c r="AM929" s="143"/>
      <c r="AN929" s="143"/>
      <c r="AO929" s="153"/>
    </row>
    <row r="930" spans="3:41">
      <c r="C930" s="136"/>
      <c r="D930" s="136"/>
      <c r="F930" s="15"/>
      <c r="G930" s="138"/>
      <c r="H930" s="138"/>
      <c r="I930" s="126"/>
      <c r="J930" s="15"/>
      <c r="K930" s="15"/>
      <c r="L930" s="20"/>
      <c r="M930" s="20"/>
      <c r="N930" s="126"/>
      <c r="O930" s="126"/>
      <c r="P930" s="126"/>
      <c r="Q930" s="171"/>
      <c r="R930" s="172"/>
      <c r="S930" s="172"/>
      <c r="AE930" s="143"/>
      <c r="AF930" s="143"/>
      <c r="AG930" s="143"/>
      <c r="AH930" s="143"/>
      <c r="AI930" s="143"/>
      <c r="AJ930" s="143"/>
      <c r="AK930" s="143"/>
      <c r="AL930" s="143"/>
      <c r="AM930" s="143"/>
      <c r="AN930" s="143"/>
      <c r="AO930" s="143"/>
    </row>
    <row r="931" spans="3:41">
      <c r="C931" s="136"/>
      <c r="D931" s="136"/>
      <c r="F931" s="15"/>
      <c r="G931" s="138"/>
      <c r="H931" s="138"/>
      <c r="I931" s="126"/>
      <c r="J931" s="15"/>
      <c r="K931" s="15"/>
      <c r="L931" s="20"/>
      <c r="M931" s="20"/>
      <c r="N931" s="126"/>
      <c r="O931" s="126"/>
      <c r="P931" s="126"/>
      <c r="Q931" s="171"/>
      <c r="R931" s="172"/>
      <c r="S931" s="172"/>
      <c r="AE931" s="143"/>
      <c r="AF931" s="143"/>
      <c r="AG931" s="143"/>
      <c r="AH931" s="143"/>
      <c r="AI931" s="143"/>
      <c r="AJ931" s="143"/>
      <c r="AK931" s="143"/>
      <c r="AL931" s="143"/>
      <c r="AM931" s="145"/>
      <c r="AN931" s="143"/>
      <c r="AO931" s="153"/>
    </row>
    <row r="932" spans="3:41">
      <c r="C932" s="136"/>
      <c r="D932" s="136"/>
      <c r="F932" s="15"/>
      <c r="G932" s="138"/>
      <c r="H932" s="138"/>
      <c r="I932" s="126"/>
      <c r="J932" s="15"/>
      <c r="K932" s="15"/>
      <c r="L932" s="20"/>
      <c r="M932" s="20"/>
      <c r="N932" s="126"/>
      <c r="O932" s="126"/>
      <c r="P932" s="126"/>
      <c r="Q932" s="171"/>
      <c r="R932" s="172"/>
      <c r="S932" s="172"/>
      <c r="AE932" s="143"/>
      <c r="AF932" s="143"/>
      <c r="AG932" s="143"/>
      <c r="AH932" s="143"/>
      <c r="AI932" s="143"/>
      <c r="AJ932" s="143"/>
      <c r="AK932" s="143"/>
      <c r="AL932" s="143"/>
      <c r="AM932" s="145"/>
      <c r="AN932" s="143"/>
      <c r="AO932" s="143"/>
    </row>
    <row r="933" spans="3:41">
      <c r="C933" s="136"/>
      <c r="D933" s="136"/>
      <c r="F933" s="15"/>
      <c r="G933" s="138"/>
      <c r="H933" s="138"/>
      <c r="I933" s="126"/>
      <c r="J933" s="15"/>
      <c r="K933" s="15"/>
      <c r="L933" s="20"/>
      <c r="M933" s="20"/>
      <c r="N933" s="126"/>
      <c r="O933" s="126"/>
      <c r="P933" s="126"/>
      <c r="Q933" s="171"/>
      <c r="R933" s="172"/>
      <c r="S933" s="172"/>
      <c r="AE933" s="143"/>
      <c r="AF933" s="143"/>
      <c r="AG933" s="143"/>
      <c r="AH933" s="143"/>
      <c r="AI933" s="143"/>
      <c r="AJ933" s="143"/>
      <c r="AK933" s="143"/>
      <c r="AL933" s="143"/>
      <c r="AM933" s="145"/>
      <c r="AN933" s="143"/>
      <c r="AO933" s="143"/>
    </row>
    <row r="934" spans="3:41">
      <c r="C934" s="136"/>
      <c r="D934" s="136"/>
      <c r="F934" s="15"/>
      <c r="G934" s="138"/>
      <c r="H934" s="138"/>
      <c r="I934" s="126"/>
      <c r="J934" s="15"/>
      <c r="K934" s="15"/>
      <c r="L934" s="20"/>
      <c r="M934" s="20"/>
      <c r="N934" s="126"/>
      <c r="O934" s="126"/>
      <c r="P934" s="126"/>
      <c r="Q934" s="171"/>
      <c r="R934" s="172"/>
      <c r="S934" s="172"/>
      <c r="AE934" s="143"/>
      <c r="AF934" s="143"/>
      <c r="AG934" s="143"/>
      <c r="AH934" s="143"/>
      <c r="AI934" s="143"/>
      <c r="AJ934" s="143"/>
      <c r="AK934" s="143"/>
      <c r="AL934" s="143"/>
      <c r="AM934" s="145"/>
      <c r="AN934" s="143"/>
      <c r="AO934" s="143"/>
    </row>
    <row r="935" spans="3:41">
      <c r="C935" s="136"/>
      <c r="D935" s="136"/>
      <c r="F935" s="15"/>
      <c r="G935" s="138"/>
      <c r="H935" s="138"/>
      <c r="I935" s="126"/>
      <c r="J935" s="15"/>
      <c r="K935" s="15"/>
      <c r="L935" s="20"/>
      <c r="M935" s="20"/>
      <c r="N935" s="126"/>
      <c r="O935" s="126"/>
      <c r="P935" s="126"/>
      <c r="Q935" s="171"/>
      <c r="R935" s="172"/>
      <c r="S935" s="172"/>
      <c r="AE935" s="143"/>
      <c r="AF935" s="143"/>
      <c r="AG935" s="143"/>
      <c r="AH935" s="143"/>
      <c r="AI935" s="143"/>
      <c r="AJ935" s="143"/>
      <c r="AK935" s="143"/>
      <c r="AL935" s="143"/>
      <c r="AM935" s="145"/>
      <c r="AN935" s="143"/>
      <c r="AO935" s="143"/>
    </row>
    <row r="936" spans="3:41">
      <c r="C936" s="136"/>
      <c r="D936" s="136"/>
      <c r="F936" s="15"/>
      <c r="G936" s="138"/>
      <c r="H936" s="138"/>
      <c r="I936" s="126"/>
      <c r="J936" s="15"/>
      <c r="K936" s="15"/>
      <c r="L936" s="20"/>
      <c r="M936" s="20"/>
      <c r="N936" s="126"/>
      <c r="O936" s="126"/>
      <c r="P936" s="126"/>
      <c r="Q936" s="171"/>
      <c r="R936" s="172"/>
      <c r="S936" s="172"/>
      <c r="AE936" s="143"/>
      <c r="AF936" s="143"/>
      <c r="AG936" s="143"/>
      <c r="AH936" s="143"/>
      <c r="AI936" s="143"/>
      <c r="AJ936" s="143"/>
      <c r="AK936" s="143"/>
      <c r="AL936" s="143"/>
      <c r="AM936" s="145"/>
      <c r="AN936" s="143"/>
      <c r="AO936" s="143"/>
    </row>
    <row r="937" spans="3:41">
      <c r="C937" s="136"/>
      <c r="D937" s="136"/>
      <c r="F937" s="15"/>
      <c r="G937" s="138"/>
      <c r="H937" s="138"/>
      <c r="I937" s="126"/>
      <c r="J937" s="15"/>
      <c r="K937" s="15"/>
      <c r="L937" s="20"/>
      <c r="M937" s="20"/>
      <c r="N937" s="126"/>
      <c r="O937" s="126"/>
      <c r="P937" s="126"/>
      <c r="Q937" s="171"/>
      <c r="R937" s="172"/>
      <c r="S937" s="172"/>
      <c r="AE937" s="143"/>
      <c r="AF937" s="143"/>
      <c r="AG937" s="143"/>
      <c r="AH937" s="143"/>
      <c r="AI937" s="143"/>
      <c r="AJ937" s="143"/>
      <c r="AK937" s="143"/>
      <c r="AL937" s="143"/>
      <c r="AM937" s="145"/>
      <c r="AN937" s="143"/>
      <c r="AO937" s="143"/>
    </row>
    <row r="938" spans="3:41">
      <c r="C938" s="136"/>
      <c r="D938" s="136"/>
      <c r="F938" s="15"/>
      <c r="G938" s="138"/>
      <c r="H938" s="138"/>
      <c r="I938" s="126"/>
      <c r="J938" s="15"/>
      <c r="K938" s="15"/>
      <c r="L938" s="20"/>
      <c r="M938" s="20"/>
      <c r="N938" s="126"/>
      <c r="O938" s="126"/>
      <c r="P938" s="126"/>
      <c r="Q938" s="171"/>
      <c r="R938" s="172"/>
      <c r="S938" s="172"/>
      <c r="AE938" s="143"/>
      <c r="AF938" s="143"/>
      <c r="AG938" s="143"/>
      <c r="AH938" s="143"/>
      <c r="AI938" s="143"/>
      <c r="AJ938" s="143"/>
      <c r="AK938" s="143"/>
      <c r="AL938" s="143"/>
      <c r="AM938" s="145"/>
      <c r="AN938" s="143"/>
      <c r="AO938" s="143"/>
    </row>
    <row r="939" spans="3:41">
      <c r="C939" s="136"/>
      <c r="D939" s="136"/>
      <c r="F939" s="15"/>
      <c r="G939" s="138"/>
      <c r="H939" s="138"/>
      <c r="I939" s="126"/>
      <c r="J939" s="15"/>
      <c r="K939" s="15"/>
      <c r="L939" s="20"/>
      <c r="M939" s="20"/>
      <c r="N939" s="126"/>
      <c r="O939" s="126"/>
      <c r="P939" s="126"/>
      <c r="Q939" s="171"/>
      <c r="R939" s="172"/>
      <c r="S939" s="172"/>
      <c r="AE939" s="143"/>
      <c r="AF939" s="143"/>
      <c r="AG939" s="143"/>
      <c r="AH939" s="143"/>
      <c r="AI939" s="143"/>
      <c r="AJ939" s="143"/>
      <c r="AK939" s="143"/>
      <c r="AL939" s="143"/>
      <c r="AM939" s="143"/>
      <c r="AN939" s="143"/>
      <c r="AO939" s="143"/>
    </row>
    <row r="940" spans="3:41">
      <c r="C940" s="136"/>
      <c r="D940" s="136"/>
      <c r="F940" s="15"/>
      <c r="G940" s="138"/>
      <c r="H940" s="138"/>
      <c r="I940" s="126"/>
      <c r="J940" s="15"/>
      <c r="K940" s="15"/>
      <c r="L940" s="20"/>
      <c r="M940" s="20"/>
      <c r="N940" s="126"/>
      <c r="O940" s="126"/>
      <c r="P940" s="126"/>
      <c r="Q940" s="171"/>
      <c r="R940" s="172"/>
      <c r="S940" s="172"/>
      <c r="AE940" s="143"/>
      <c r="AF940" s="143"/>
      <c r="AG940" s="143"/>
      <c r="AH940" s="143"/>
      <c r="AI940" s="143"/>
      <c r="AJ940" s="143"/>
      <c r="AK940" s="143"/>
      <c r="AL940" s="143"/>
      <c r="AM940" s="145"/>
      <c r="AN940" s="143"/>
      <c r="AO940" s="143"/>
    </row>
    <row r="941" spans="3:41">
      <c r="C941" s="136"/>
      <c r="D941" s="136"/>
      <c r="F941" s="15"/>
      <c r="G941" s="138"/>
      <c r="H941" s="138"/>
      <c r="I941" s="126"/>
      <c r="J941" s="15"/>
      <c r="K941" s="15"/>
      <c r="L941" s="20"/>
      <c r="M941" s="20"/>
      <c r="N941" s="126"/>
      <c r="O941" s="126"/>
      <c r="P941" s="126"/>
      <c r="Q941" s="171"/>
      <c r="R941" s="172"/>
      <c r="S941" s="172"/>
      <c r="AE941" s="143"/>
      <c r="AF941" s="143"/>
      <c r="AG941" s="143"/>
      <c r="AH941" s="143"/>
      <c r="AI941" s="143"/>
      <c r="AJ941" s="143"/>
      <c r="AK941" s="143"/>
      <c r="AL941" s="143"/>
      <c r="AM941" s="145"/>
      <c r="AN941" s="143"/>
      <c r="AO941" s="143"/>
    </row>
    <row r="942" spans="3:41">
      <c r="C942" s="136"/>
      <c r="D942" s="136"/>
      <c r="F942" s="15"/>
      <c r="G942" s="138"/>
      <c r="H942" s="138"/>
      <c r="I942" s="126"/>
      <c r="J942" s="15"/>
      <c r="K942" s="15"/>
      <c r="L942" s="20"/>
      <c r="M942" s="20"/>
      <c r="N942" s="126"/>
      <c r="O942" s="126"/>
      <c r="P942" s="126"/>
      <c r="Q942" s="171"/>
      <c r="R942" s="172"/>
      <c r="S942" s="172"/>
      <c r="AE942" s="143"/>
      <c r="AF942" s="143"/>
      <c r="AG942" s="143"/>
      <c r="AH942" s="143"/>
      <c r="AI942" s="143"/>
      <c r="AJ942" s="143"/>
      <c r="AK942" s="143"/>
      <c r="AL942" s="143"/>
      <c r="AM942" s="145"/>
      <c r="AN942" s="143"/>
      <c r="AO942" s="143"/>
    </row>
    <row r="943" spans="3:41">
      <c r="C943" s="136"/>
      <c r="D943" s="136"/>
      <c r="F943" s="15"/>
      <c r="G943" s="138"/>
      <c r="H943" s="138"/>
      <c r="I943" s="126"/>
      <c r="J943" s="15"/>
      <c r="K943" s="15"/>
      <c r="L943" s="20"/>
      <c r="M943" s="20"/>
      <c r="N943" s="126"/>
      <c r="O943" s="126"/>
      <c r="P943" s="126"/>
      <c r="Q943" s="171"/>
      <c r="R943" s="172"/>
      <c r="S943" s="172"/>
      <c r="AE943" s="143"/>
      <c r="AF943" s="143"/>
      <c r="AG943" s="143"/>
      <c r="AH943" s="143"/>
      <c r="AI943" s="143"/>
      <c r="AJ943" s="143"/>
      <c r="AK943" s="143"/>
      <c r="AL943" s="143"/>
      <c r="AM943" s="143"/>
      <c r="AN943" s="143"/>
      <c r="AO943" s="143"/>
    </row>
    <row r="944" spans="3:41">
      <c r="C944" s="136"/>
      <c r="D944" s="136"/>
      <c r="F944" s="15"/>
      <c r="G944" s="138"/>
      <c r="H944" s="138"/>
      <c r="I944" s="126"/>
      <c r="J944" s="15"/>
      <c r="K944" s="15"/>
      <c r="L944" s="20"/>
      <c r="M944" s="20"/>
      <c r="N944" s="126"/>
      <c r="O944" s="126"/>
      <c r="P944" s="126"/>
      <c r="Q944" s="171"/>
      <c r="R944" s="172"/>
      <c r="S944" s="172"/>
      <c r="AE944" s="143"/>
      <c r="AF944" s="143"/>
      <c r="AG944" s="143"/>
      <c r="AH944" s="143"/>
      <c r="AI944" s="143"/>
      <c r="AJ944" s="143"/>
      <c r="AK944" s="143"/>
      <c r="AL944" s="143"/>
      <c r="AM944" s="145"/>
      <c r="AN944" s="143"/>
      <c r="AO944" s="143"/>
    </row>
    <row r="945" spans="3:41">
      <c r="C945" s="136"/>
      <c r="D945" s="136"/>
      <c r="F945" s="15"/>
      <c r="G945" s="138"/>
      <c r="H945" s="138"/>
      <c r="I945" s="126"/>
      <c r="J945" s="15"/>
      <c r="K945" s="15"/>
      <c r="L945" s="20"/>
      <c r="M945" s="20"/>
      <c r="N945" s="126"/>
      <c r="O945" s="126"/>
      <c r="P945" s="126"/>
      <c r="Q945" s="171"/>
      <c r="R945" s="172"/>
      <c r="S945" s="172"/>
      <c r="AE945" s="143"/>
      <c r="AF945" s="143"/>
      <c r="AG945" s="143"/>
      <c r="AH945" s="143"/>
      <c r="AI945" s="143"/>
      <c r="AJ945" s="143"/>
      <c r="AK945" s="143"/>
      <c r="AL945" s="143"/>
      <c r="AM945" s="145"/>
      <c r="AN945" s="143"/>
      <c r="AO945" s="143"/>
    </row>
    <row r="946" spans="3:41">
      <c r="C946" s="136"/>
      <c r="D946" s="136"/>
      <c r="F946" s="15"/>
      <c r="G946" s="138"/>
      <c r="H946" s="138"/>
      <c r="I946" s="126"/>
      <c r="J946" s="15"/>
      <c r="K946" s="15"/>
      <c r="L946" s="20"/>
      <c r="M946" s="20"/>
      <c r="N946" s="126"/>
      <c r="O946" s="126"/>
      <c r="P946" s="126"/>
      <c r="Q946" s="171"/>
      <c r="R946" s="172"/>
      <c r="S946" s="172"/>
      <c r="AE946" s="143"/>
      <c r="AF946" s="143"/>
      <c r="AG946" s="143"/>
      <c r="AH946" s="143"/>
      <c r="AI946" s="143"/>
      <c r="AJ946" s="143"/>
      <c r="AK946" s="143"/>
      <c r="AL946" s="143"/>
      <c r="AM946" s="143"/>
      <c r="AN946" s="143"/>
      <c r="AO946" s="143"/>
    </row>
    <row r="947" spans="3:41">
      <c r="C947" s="136"/>
      <c r="D947" s="136"/>
      <c r="F947" s="15"/>
      <c r="G947" s="138"/>
      <c r="H947" s="138"/>
      <c r="I947" s="126"/>
      <c r="J947" s="15"/>
      <c r="K947" s="15"/>
      <c r="L947" s="20"/>
      <c r="M947" s="20"/>
      <c r="N947" s="126"/>
      <c r="O947" s="126"/>
      <c r="P947" s="126"/>
      <c r="Q947" s="171"/>
      <c r="R947" s="172"/>
      <c r="S947" s="172"/>
      <c r="AE947" s="143"/>
      <c r="AF947" s="143"/>
      <c r="AG947" s="143"/>
      <c r="AH947" s="143"/>
      <c r="AI947" s="143"/>
      <c r="AJ947" s="143"/>
      <c r="AK947" s="143"/>
      <c r="AL947" s="143"/>
      <c r="AM947" s="143"/>
      <c r="AN947" s="143"/>
      <c r="AO947" s="143"/>
    </row>
    <row r="948" spans="3:41">
      <c r="C948" s="136"/>
      <c r="D948" s="136"/>
      <c r="F948" s="15"/>
      <c r="G948" s="138"/>
      <c r="H948" s="138"/>
      <c r="I948" s="126"/>
      <c r="J948" s="15"/>
      <c r="K948" s="15"/>
      <c r="L948" s="20"/>
      <c r="M948" s="20"/>
      <c r="N948" s="126"/>
      <c r="O948" s="126"/>
      <c r="P948" s="126"/>
      <c r="Q948" s="171"/>
      <c r="R948" s="172"/>
      <c r="S948" s="172"/>
      <c r="AE948" s="143"/>
      <c r="AF948" s="143"/>
      <c r="AG948" s="143"/>
      <c r="AH948" s="143"/>
      <c r="AI948" s="143"/>
      <c r="AJ948" s="143"/>
      <c r="AK948" s="143"/>
      <c r="AL948" s="143"/>
      <c r="AM948" s="145"/>
      <c r="AN948" s="143"/>
      <c r="AO948" s="143"/>
    </row>
    <row r="949" spans="3:41">
      <c r="C949" s="136"/>
      <c r="D949" s="136"/>
      <c r="F949" s="15"/>
      <c r="G949" s="138"/>
      <c r="H949" s="138"/>
      <c r="I949" s="126"/>
      <c r="J949" s="15"/>
      <c r="K949" s="15"/>
      <c r="L949" s="20"/>
      <c r="M949" s="20"/>
      <c r="N949" s="126"/>
      <c r="O949" s="126"/>
      <c r="P949" s="126"/>
      <c r="Q949" s="171"/>
      <c r="R949" s="172"/>
      <c r="S949" s="172"/>
      <c r="AE949" s="143"/>
      <c r="AF949" s="143"/>
      <c r="AG949" s="143"/>
      <c r="AH949" s="143"/>
      <c r="AI949" s="143"/>
      <c r="AJ949" s="143"/>
      <c r="AK949" s="143"/>
      <c r="AL949" s="143"/>
      <c r="AM949" s="143"/>
      <c r="AN949" s="147"/>
      <c r="AO949" s="143"/>
    </row>
    <row r="950" spans="3:41">
      <c r="C950" s="136"/>
      <c r="D950" s="136"/>
      <c r="F950" s="15"/>
      <c r="G950" s="138"/>
      <c r="H950" s="138"/>
      <c r="I950" s="126"/>
      <c r="J950" s="15"/>
      <c r="K950" s="15"/>
      <c r="L950" s="20"/>
      <c r="M950" s="20"/>
      <c r="N950" s="126"/>
      <c r="O950" s="126"/>
      <c r="P950" s="126"/>
      <c r="Q950" s="171"/>
      <c r="R950" s="172"/>
      <c r="S950" s="172"/>
      <c r="AE950" s="143"/>
      <c r="AF950" s="143"/>
      <c r="AG950" s="143"/>
      <c r="AH950" s="143"/>
      <c r="AI950" s="143"/>
      <c r="AJ950" s="143"/>
      <c r="AK950" s="143"/>
      <c r="AL950" s="143"/>
      <c r="AM950" s="145"/>
      <c r="AN950" s="143"/>
      <c r="AO950" s="143"/>
    </row>
    <row r="951" spans="3:41">
      <c r="C951" s="136"/>
      <c r="D951" s="136"/>
      <c r="F951" s="15"/>
      <c r="G951" s="138"/>
      <c r="H951" s="138"/>
      <c r="I951" s="126"/>
      <c r="J951" s="15"/>
      <c r="K951" s="15"/>
      <c r="L951" s="20"/>
      <c r="M951" s="20"/>
      <c r="N951" s="126"/>
      <c r="O951" s="126"/>
      <c r="P951" s="126"/>
      <c r="Q951" s="171"/>
      <c r="R951" s="172"/>
      <c r="S951" s="172"/>
      <c r="AE951" s="143"/>
      <c r="AF951" s="143"/>
      <c r="AG951" s="143"/>
      <c r="AH951" s="143"/>
      <c r="AI951" s="143"/>
      <c r="AJ951" s="143"/>
      <c r="AK951" s="143"/>
      <c r="AL951" s="143"/>
      <c r="AM951" s="145"/>
      <c r="AN951" s="143"/>
      <c r="AO951" s="143"/>
    </row>
    <row r="952" spans="3:41">
      <c r="C952" s="136"/>
      <c r="D952" s="136"/>
      <c r="F952" s="15"/>
      <c r="G952" s="138"/>
      <c r="H952" s="138"/>
      <c r="I952" s="126"/>
      <c r="J952" s="15"/>
      <c r="K952" s="15"/>
      <c r="L952" s="20"/>
      <c r="M952" s="20"/>
      <c r="N952" s="126"/>
      <c r="O952" s="126"/>
      <c r="P952" s="126"/>
      <c r="Q952" s="171"/>
      <c r="R952" s="172"/>
      <c r="S952" s="172"/>
      <c r="AE952" s="143"/>
      <c r="AF952" s="143"/>
      <c r="AG952" s="143"/>
      <c r="AH952" s="143"/>
      <c r="AI952" s="143"/>
      <c r="AJ952" s="143"/>
      <c r="AK952" s="143"/>
      <c r="AL952" s="143"/>
      <c r="AM952" s="145"/>
      <c r="AN952" s="143"/>
      <c r="AO952" s="143"/>
    </row>
    <row r="953" spans="3:41">
      <c r="C953" s="136"/>
      <c r="D953" s="136"/>
      <c r="F953" s="15"/>
      <c r="G953" s="138"/>
      <c r="H953" s="138"/>
      <c r="I953" s="126"/>
      <c r="J953" s="15"/>
      <c r="K953" s="15"/>
      <c r="L953" s="20"/>
      <c r="M953" s="20"/>
      <c r="N953" s="126"/>
      <c r="O953" s="126"/>
      <c r="P953" s="126"/>
      <c r="Q953" s="171"/>
      <c r="R953" s="172"/>
      <c r="S953" s="172"/>
      <c r="AE953" s="143"/>
      <c r="AF953" s="143"/>
      <c r="AG953" s="143"/>
      <c r="AH953" s="143"/>
      <c r="AI953" s="143"/>
      <c r="AJ953" s="143"/>
      <c r="AK953" s="143"/>
      <c r="AL953" s="143"/>
      <c r="AM953" s="145"/>
      <c r="AN953" s="143"/>
      <c r="AO953" s="143"/>
    </row>
    <row r="954" spans="3:41">
      <c r="C954" s="136"/>
      <c r="D954" s="136"/>
      <c r="F954" s="15"/>
      <c r="G954" s="138"/>
      <c r="H954" s="138"/>
      <c r="I954" s="126"/>
      <c r="J954" s="15"/>
      <c r="K954" s="15"/>
      <c r="L954" s="20"/>
      <c r="M954" s="20"/>
      <c r="N954" s="126"/>
      <c r="O954" s="126"/>
      <c r="P954" s="126"/>
      <c r="Q954" s="171"/>
      <c r="R954" s="172"/>
      <c r="S954" s="172"/>
      <c r="AE954" s="143"/>
      <c r="AF954" s="143"/>
      <c r="AG954" s="143"/>
      <c r="AH954" s="143"/>
      <c r="AI954" s="143"/>
      <c r="AJ954" s="143"/>
      <c r="AK954" s="143"/>
      <c r="AL954" s="143"/>
      <c r="AM954" s="143"/>
      <c r="AN954" s="147"/>
      <c r="AO954" s="143"/>
    </row>
    <row r="955" spans="3:41">
      <c r="C955" s="136"/>
      <c r="D955" s="136"/>
      <c r="F955" s="15"/>
      <c r="G955" s="138"/>
      <c r="H955" s="138"/>
      <c r="I955" s="126"/>
      <c r="J955" s="15"/>
      <c r="K955" s="15"/>
      <c r="L955" s="20"/>
      <c r="M955" s="20"/>
      <c r="N955" s="126"/>
      <c r="O955" s="126"/>
      <c r="P955" s="126"/>
      <c r="Q955" s="171"/>
      <c r="R955" s="172"/>
      <c r="S955" s="172"/>
      <c r="AE955" s="143"/>
      <c r="AF955" s="143"/>
      <c r="AG955" s="143"/>
      <c r="AH955" s="143"/>
      <c r="AI955" s="143"/>
      <c r="AJ955" s="143"/>
      <c r="AK955" s="143"/>
      <c r="AL955" s="143"/>
      <c r="AM955" s="143"/>
      <c r="AN955" s="147"/>
      <c r="AO955" s="143"/>
    </row>
    <row r="956" spans="3:41">
      <c r="C956" s="136"/>
      <c r="D956" s="136"/>
      <c r="F956" s="15"/>
      <c r="G956" s="138"/>
      <c r="H956" s="138"/>
      <c r="I956" s="126"/>
      <c r="J956" s="15"/>
      <c r="K956" s="15"/>
      <c r="L956" s="20"/>
      <c r="M956" s="20"/>
      <c r="N956" s="126"/>
      <c r="O956" s="126"/>
      <c r="P956" s="126"/>
      <c r="Q956" s="171"/>
      <c r="R956" s="172"/>
      <c r="S956" s="172"/>
      <c r="AE956" s="143"/>
      <c r="AF956" s="143"/>
      <c r="AG956" s="143"/>
      <c r="AH956" s="143"/>
      <c r="AI956" s="143"/>
      <c r="AJ956" s="143"/>
      <c r="AK956" s="143"/>
      <c r="AL956" s="143"/>
      <c r="AM956" s="145"/>
      <c r="AN956" s="143"/>
      <c r="AO956" s="143"/>
    </row>
    <row r="957" spans="3:41">
      <c r="C957" s="136"/>
      <c r="D957" s="136"/>
      <c r="F957" s="15"/>
      <c r="G957" s="138"/>
      <c r="H957" s="138"/>
      <c r="I957" s="126"/>
      <c r="J957" s="15"/>
      <c r="K957" s="15"/>
      <c r="L957" s="20"/>
      <c r="M957" s="20"/>
      <c r="N957" s="126"/>
      <c r="O957" s="126"/>
      <c r="P957" s="126"/>
      <c r="Q957" s="171"/>
      <c r="R957" s="172"/>
      <c r="S957" s="172"/>
      <c r="AE957" s="143"/>
      <c r="AF957" s="143"/>
      <c r="AG957" s="143"/>
      <c r="AH957" s="143"/>
      <c r="AI957" s="143"/>
      <c r="AJ957" s="143"/>
      <c r="AK957" s="143"/>
      <c r="AL957" s="143"/>
      <c r="AM957" s="145"/>
      <c r="AN957" s="143"/>
      <c r="AO957" s="143"/>
    </row>
    <row r="958" spans="3:41">
      <c r="C958" s="136"/>
      <c r="D958" s="136"/>
      <c r="F958" s="15"/>
      <c r="G958" s="138"/>
      <c r="H958" s="138"/>
      <c r="I958" s="126"/>
      <c r="J958" s="15"/>
      <c r="K958" s="15"/>
      <c r="L958" s="20"/>
      <c r="M958" s="20"/>
      <c r="N958" s="126"/>
      <c r="O958" s="126"/>
      <c r="P958" s="126"/>
      <c r="Q958" s="171"/>
      <c r="R958" s="172"/>
      <c r="S958" s="172"/>
      <c r="AE958" s="143"/>
      <c r="AF958" s="143"/>
      <c r="AG958" s="143"/>
      <c r="AH958" s="143"/>
      <c r="AI958" s="194"/>
      <c r="AJ958" s="143"/>
      <c r="AK958" s="143"/>
      <c r="AL958" s="143"/>
      <c r="AM958" s="145"/>
      <c r="AN958" s="143"/>
      <c r="AO958" s="143"/>
    </row>
    <row r="959" spans="3:41">
      <c r="C959" s="136"/>
      <c r="D959" s="136"/>
      <c r="F959" s="15"/>
      <c r="G959" s="138"/>
      <c r="H959" s="138"/>
      <c r="I959" s="126"/>
      <c r="J959" s="15"/>
      <c r="K959" s="15"/>
      <c r="L959" s="20"/>
      <c r="M959" s="20"/>
      <c r="N959" s="126"/>
      <c r="O959" s="126"/>
      <c r="P959" s="126"/>
      <c r="Q959" s="171"/>
      <c r="R959" s="172"/>
      <c r="S959" s="172"/>
      <c r="AE959" s="143"/>
      <c r="AF959" s="143"/>
      <c r="AG959" s="143"/>
      <c r="AH959" s="143"/>
      <c r="AI959" s="143"/>
      <c r="AJ959" s="143"/>
      <c r="AK959" s="143"/>
      <c r="AL959" s="143"/>
      <c r="AM959" s="145"/>
      <c r="AN959" s="143"/>
      <c r="AO959" s="143"/>
    </row>
    <row r="960" spans="3:41">
      <c r="C960" s="136"/>
      <c r="D960" s="136"/>
      <c r="F960" s="15"/>
      <c r="G960" s="138"/>
      <c r="H960" s="138"/>
      <c r="I960" s="126"/>
      <c r="J960" s="15"/>
      <c r="K960" s="15"/>
      <c r="L960" s="20"/>
      <c r="M960" s="20"/>
      <c r="N960" s="126"/>
      <c r="O960" s="126"/>
      <c r="P960" s="126"/>
      <c r="Q960" s="171"/>
      <c r="R960" s="172"/>
      <c r="S960" s="172"/>
      <c r="AE960" s="143"/>
      <c r="AF960" s="143"/>
      <c r="AG960" s="143"/>
      <c r="AH960" s="143"/>
      <c r="AI960" s="143"/>
      <c r="AJ960" s="143"/>
      <c r="AK960" s="143"/>
      <c r="AL960" s="143"/>
      <c r="AM960" s="145"/>
      <c r="AN960" s="143"/>
      <c r="AO960" s="143"/>
    </row>
    <row r="961" spans="3:41">
      <c r="C961" s="136"/>
      <c r="D961" s="136"/>
      <c r="F961" s="15"/>
      <c r="G961" s="138"/>
      <c r="H961" s="138"/>
      <c r="I961" s="126"/>
      <c r="J961" s="15"/>
      <c r="K961" s="15"/>
      <c r="L961" s="20"/>
      <c r="M961" s="20"/>
      <c r="N961" s="126"/>
      <c r="O961" s="126"/>
      <c r="P961" s="126"/>
      <c r="Q961" s="171"/>
      <c r="R961" s="172"/>
      <c r="S961" s="172"/>
      <c r="AE961" s="143"/>
      <c r="AF961" s="143"/>
      <c r="AG961" s="143"/>
      <c r="AH961" s="143"/>
      <c r="AI961" s="143"/>
      <c r="AJ961" s="143"/>
      <c r="AK961" s="143"/>
      <c r="AL961" s="143"/>
      <c r="AM961" s="145"/>
      <c r="AN961" s="143"/>
      <c r="AO961" s="143"/>
    </row>
    <row r="962" spans="3:41">
      <c r="C962" s="136"/>
      <c r="D962" s="136"/>
      <c r="F962" s="15"/>
      <c r="G962" s="138"/>
      <c r="H962" s="138"/>
      <c r="I962" s="126"/>
      <c r="J962" s="15"/>
      <c r="K962" s="15"/>
      <c r="L962" s="20"/>
      <c r="M962" s="20"/>
      <c r="N962" s="126"/>
      <c r="O962" s="126"/>
      <c r="P962" s="126"/>
      <c r="Q962" s="171"/>
      <c r="R962" s="173"/>
      <c r="S962" s="172"/>
      <c r="AE962" s="143"/>
      <c r="AF962" s="143"/>
      <c r="AG962" s="143"/>
      <c r="AH962" s="143"/>
      <c r="AI962" s="143"/>
      <c r="AJ962" s="143"/>
      <c r="AK962" s="143"/>
      <c r="AL962" s="143"/>
      <c r="AM962" s="145"/>
      <c r="AN962" s="153"/>
      <c r="AO962" s="143"/>
    </row>
    <row r="963" spans="3:41">
      <c r="C963" s="136"/>
      <c r="D963" s="136"/>
      <c r="F963" s="15"/>
      <c r="G963" s="138"/>
      <c r="H963" s="138"/>
      <c r="I963" s="126"/>
      <c r="J963" s="15"/>
      <c r="K963" s="15"/>
      <c r="L963" s="20"/>
      <c r="M963" s="20"/>
      <c r="N963" s="126"/>
      <c r="O963" s="126"/>
      <c r="P963" s="126"/>
      <c r="Q963" s="171"/>
      <c r="R963" s="173"/>
      <c r="S963" s="172"/>
      <c r="AE963" s="143"/>
      <c r="AF963" s="143"/>
      <c r="AG963" s="143"/>
      <c r="AH963" s="143"/>
      <c r="AI963" s="143"/>
      <c r="AJ963" s="143"/>
      <c r="AK963" s="143"/>
      <c r="AL963" s="143"/>
      <c r="AM963" s="145"/>
      <c r="AN963" s="153"/>
      <c r="AO963" s="143"/>
    </row>
    <row r="964" spans="3:41">
      <c r="C964" s="136"/>
      <c r="D964" s="136"/>
      <c r="F964" s="15"/>
      <c r="G964" s="138"/>
      <c r="H964" s="138"/>
      <c r="I964" s="126"/>
      <c r="J964" s="15"/>
      <c r="K964" s="15"/>
      <c r="L964" s="20"/>
      <c r="M964" s="20"/>
      <c r="N964" s="126"/>
      <c r="O964" s="126"/>
      <c r="P964" s="126"/>
      <c r="Q964" s="171"/>
      <c r="R964" s="173"/>
      <c r="S964" s="172"/>
      <c r="AE964" s="143"/>
      <c r="AF964" s="143"/>
      <c r="AG964" s="143"/>
      <c r="AH964" s="143"/>
      <c r="AI964" s="143"/>
      <c r="AJ964" s="143"/>
      <c r="AK964" s="143"/>
      <c r="AL964" s="143"/>
      <c r="AM964" s="145"/>
      <c r="AN964" s="153"/>
      <c r="AO964" s="143"/>
    </row>
    <row r="965" spans="3:41">
      <c r="C965" s="136"/>
      <c r="D965" s="136"/>
      <c r="F965" s="15"/>
      <c r="G965" s="138"/>
      <c r="H965" s="138"/>
      <c r="I965" s="126"/>
      <c r="J965" s="15"/>
      <c r="K965" s="15"/>
      <c r="L965" s="20"/>
      <c r="M965" s="20"/>
      <c r="N965" s="126"/>
      <c r="O965" s="126"/>
      <c r="P965" s="126"/>
      <c r="Q965" s="171"/>
      <c r="R965" s="173"/>
      <c r="S965" s="172"/>
      <c r="AE965" s="143"/>
      <c r="AF965" s="143"/>
      <c r="AG965" s="143"/>
      <c r="AH965" s="143"/>
      <c r="AI965" s="143"/>
      <c r="AJ965" s="143"/>
      <c r="AK965" s="143"/>
      <c r="AL965" s="143"/>
      <c r="AM965" s="145"/>
      <c r="AN965" s="143"/>
      <c r="AO965" s="143"/>
    </row>
    <row r="966" spans="3:41">
      <c r="C966" s="136"/>
      <c r="D966" s="136"/>
      <c r="F966" s="15"/>
      <c r="G966" s="138"/>
      <c r="H966" s="138"/>
      <c r="I966" s="126"/>
      <c r="J966" s="15"/>
      <c r="K966" s="15"/>
      <c r="L966" s="20"/>
      <c r="M966" s="20"/>
      <c r="N966" s="126"/>
      <c r="O966" s="126"/>
      <c r="P966" s="126"/>
      <c r="Q966" s="171"/>
      <c r="R966" s="173"/>
      <c r="S966" s="172"/>
      <c r="AE966" s="143"/>
      <c r="AF966" s="143"/>
      <c r="AG966" s="143"/>
      <c r="AH966" s="143"/>
      <c r="AI966" s="143"/>
      <c r="AJ966" s="143"/>
      <c r="AK966" s="143"/>
      <c r="AL966" s="143"/>
      <c r="AM966" s="145"/>
      <c r="AN966" s="153"/>
      <c r="AO966" s="143"/>
    </row>
    <row r="967" spans="3:41">
      <c r="C967" s="136"/>
      <c r="D967" s="136"/>
      <c r="F967" s="15"/>
      <c r="G967" s="138"/>
      <c r="H967" s="138"/>
      <c r="I967" s="126"/>
      <c r="J967" s="15"/>
      <c r="K967" s="15"/>
      <c r="L967" s="20"/>
      <c r="M967" s="20"/>
      <c r="N967" s="126"/>
      <c r="O967" s="126"/>
      <c r="P967" s="126"/>
      <c r="Q967" s="171"/>
      <c r="R967" s="173"/>
      <c r="S967" s="172"/>
      <c r="AE967" s="143"/>
      <c r="AF967" s="143"/>
      <c r="AG967" s="143"/>
      <c r="AH967" s="143"/>
      <c r="AI967" s="143"/>
      <c r="AJ967" s="143"/>
      <c r="AK967" s="143"/>
      <c r="AL967" s="143"/>
      <c r="AM967" s="143"/>
      <c r="AN967" s="153"/>
      <c r="AO967" s="143"/>
    </row>
    <row r="968" spans="3:41">
      <c r="C968" s="136"/>
      <c r="D968" s="136"/>
      <c r="F968" s="15"/>
      <c r="G968" s="138"/>
      <c r="H968" s="138"/>
      <c r="I968" s="126"/>
      <c r="J968" s="15"/>
      <c r="K968" s="15"/>
      <c r="L968" s="20"/>
      <c r="M968" s="20"/>
      <c r="N968" s="126"/>
      <c r="O968" s="126"/>
      <c r="P968" s="126"/>
      <c r="Q968" s="171"/>
      <c r="R968" s="173"/>
      <c r="S968" s="172"/>
      <c r="AE968" s="143"/>
      <c r="AF968" s="143"/>
      <c r="AG968" s="143"/>
      <c r="AH968" s="143"/>
      <c r="AI968" s="143"/>
      <c r="AJ968" s="143"/>
      <c r="AK968" s="143"/>
      <c r="AL968" s="143"/>
      <c r="AM968" s="145"/>
      <c r="AN968" s="153"/>
      <c r="AO968" s="153"/>
    </row>
    <row r="969" spans="3:41">
      <c r="C969" s="136"/>
      <c r="D969" s="136"/>
      <c r="F969" s="15"/>
      <c r="G969" s="138"/>
      <c r="H969" s="138"/>
      <c r="I969" s="126"/>
      <c r="J969" s="15"/>
      <c r="K969" s="15"/>
      <c r="L969" s="20"/>
      <c r="M969" s="20"/>
      <c r="N969" s="126"/>
      <c r="O969" s="126"/>
      <c r="P969" s="126"/>
      <c r="Q969" s="171"/>
      <c r="R969" s="173"/>
      <c r="S969" s="172"/>
      <c r="AE969" s="143"/>
      <c r="AF969" s="143"/>
      <c r="AG969" s="143"/>
      <c r="AH969" s="143"/>
      <c r="AI969" s="143"/>
      <c r="AJ969" s="143"/>
      <c r="AK969" s="143"/>
      <c r="AL969" s="143"/>
      <c r="AM969" s="143"/>
      <c r="AN969" s="153"/>
      <c r="AO969" s="143"/>
    </row>
    <row r="970" spans="3:41">
      <c r="C970" s="136"/>
      <c r="D970" s="136"/>
      <c r="F970" s="15"/>
      <c r="G970" s="138"/>
      <c r="H970" s="138"/>
      <c r="I970" s="126"/>
      <c r="J970" s="15"/>
      <c r="K970" s="15"/>
      <c r="L970" s="20"/>
      <c r="M970" s="20"/>
      <c r="N970" s="126"/>
      <c r="O970" s="126"/>
      <c r="P970" s="126"/>
      <c r="Q970" s="171"/>
      <c r="R970" s="173"/>
      <c r="S970" s="172"/>
      <c r="AE970" s="143"/>
      <c r="AF970" s="143"/>
      <c r="AG970" s="143"/>
      <c r="AH970" s="143"/>
      <c r="AI970" s="143"/>
      <c r="AJ970" s="143"/>
      <c r="AK970" s="143"/>
      <c r="AL970" s="143"/>
      <c r="AM970" s="145"/>
      <c r="AN970" s="147"/>
      <c r="AO970" s="143"/>
    </row>
    <row r="971" spans="3:41">
      <c r="C971" s="136"/>
      <c r="D971" s="136"/>
      <c r="F971" s="15"/>
      <c r="G971" s="138"/>
      <c r="H971" s="138"/>
      <c r="I971" s="126"/>
      <c r="J971" s="15"/>
      <c r="K971" s="15"/>
      <c r="L971" s="20"/>
      <c r="M971" s="20"/>
      <c r="N971" s="126"/>
      <c r="O971" s="126"/>
      <c r="P971" s="126"/>
      <c r="Q971" s="171"/>
      <c r="R971" s="173"/>
      <c r="S971" s="172"/>
      <c r="AE971" s="143"/>
      <c r="AF971" s="143"/>
      <c r="AG971" s="143"/>
      <c r="AH971" s="143"/>
      <c r="AI971" s="143"/>
      <c r="AJ971" s="143"/>
      <c r="AK971" s="143"/>
      <c r="AL971" s="143"/>
      <c r="AM971" s="143"/>
      <c r="AN971" s="153"/>
      <c r="AO971" s="143"/>
    </row>
    <row r="972" spans="3:41">
      <c r="C972" s="136"/>
      <c r="D972" s="136"/>
      <c r="F972" s="15"/>
      <c r="G972" s="138"/>
      <c r="H972" s="138"/>
      <c r="I972" s="126"/>
      <c r="J972" s="15"/>
      <c r="K972" s="15"/>
      <c r="L972" s="20"/>
      <c r="M972" s="20"/>
      <c r="N972" s="126"/>
      <c r="O972" s="126"/>
      <c r="P972" s="126"/>
      <c r="Q972" s="171"/>
      <c r="R972" s="173"/>
      <c r="S972" s="172"/>
      <c r="AE972" s="143"/>
      <c r="AF972" s="143"/>
      <c r="AG972" s="143"/>
      <c r="AH972" s="143"/>
      <c r="AI972" s="143"/>
      <c r="AJ972" s="143"/>
      <c r="AK972" s="143"/>
      <c r="AL972" s="143"/>
      <c r="AM972" s="145"/>
      <c r="AN972" s="147"/>
      <c r="AO972" s="143"/>
    </row>
    <row r="973" spans="3:41">
      <c r="C973" s="136"/>
      <c r="D973" s="136"/>
      <c r="F973" s="15"/>
      <c r="G973" s="138"/>
      <c r="H973" s="138"/>
      <c r="I973" s="126"/>
      <c r="J973" s="15"/>
      <c r="K973" s="15"/>
      <c r="L973" s="20"/>
      <c r="M973" s="20"/>
      <c r="N973" s="126"/>
      <c r="O973" s="126"/>
      <c r="P973" s="126"/>
      <c r="Q973" s="171"/>
      <c r="R973" s="173"/>
      <c r="S973" s="172"/>
      <c r="AE973" s="143"/>
      <c r="AF973" s="143"/>
      <c r="AG973" s="143"/>
      <c r="AH973" s="143"/>
      <c r="AI973" s="143"/>
      <c r="AJ973" s="143"/>
      <c r="AK973" s="143"/>
      <c r="AL973" s="143"/>
      <c r="AM973" s="145"/>
      <c r="AN973" s="153"/>
      <c r="AO973" s="143"/>
    </row>
    <row r="974" spans="3:41">
      <c r="C974" s="136"/>
      <c r="D974" s="136"/>
      <c r="F974" s="15"/>
      <c r="G974" s="138"/>
      <c r="H974" s="138"/>
      <c r="I974" s="126"/>
      <c r="J974" s="15"/>
      <c r="K974" s="15"/>
      <c r="L974" s="20"/>
      <c r="M974" s="20"/>
      <c r="N974" s="126"/>
      <c r="O974" s="126"/>
      <c r="P974" s="126"/>
      <c r="Q974" s="171"/>
      <c r="R974" s="173"/>
      <c r="S974" s="172"/>
      <c r="AE974" s="143"/>
      <c r="AF974" s="143"/>
      <c r="AG974" s="143"/>
      <c r="AH974" s="143"/>
      <c r="AI974" s="143"/>
      <c r="AJ974" s="143"/>
      <c r="AK974" s="143"/>
      <c r="AL974" s="143"/>
      <c r="AM974" s="145"/>
      <c r="AN974" s="153"/>
      <c r="AO974" s="143"/>
    </row>
    <row r="975" spans="3:41">
      <c r="C975" s="136"/>
      <c r="D975" s="136"/>
      <c r="F975" s="15"/>
      <c r="G975" s="138"/>
      <c r="H975" s="138"/>
      <c r="I975" s="126"/>
      <c r="J975" s="15"/>
      <c r="K975" s="15"/>
      <c r="L975" s="20"/>
      <c r="M975" s="20"/>
      <c r="N975" s="126"/>
      <c r="O975" s="126"/>
      <c r="P975" s="126"/>
      <c r="Q975" s="171"/>
      <c r="R975" s="172"/>
      <c r="S975" s="172"/>
      <c r="AE975" s="143"/>
      <c r="AF975" s="143"/>
      <c r="AG975" s="143"/>
      <c r="AH975" s="143"/>
      <c r="AI975" s="143"/>
      <c r="AJ975" s="143"/>
      <c r="AK975" s="143"/>
      <c r="AL975" s="143"/>
      <c r="AM975" s="145"/>
      <c r="AN975" s="153"/>
      <c r="AO975" s="143"/>
    </row>
    <row r="976" spans="3:41">
      <c r="C976" s="136"/>
      <c r="D976" s="136"/>
      <c r="F976" s="15"/>
      <c r="G976" s="138"/>
      <c r="H976" s="138"/>
      <c r="I976" s="126"/>
      <c r="J976" s="15"/>
      <c r="K976" s="15"/>
      <c r="L976" s="20"/>
      <c r="M976" s="20"/>
      <c r="N976" s="126"/>
      <c r="O976" s="126"/>
      <c r="P976" s="126"/>
      <c r="Q976" s="171"/>
      <c r="R976" s="173"/>
      <c r="S976" s="172"/>
      <c r="AE976" s="143"/>
      <c r="AF976" s="143"/>
      <c r="AG976" s="143"/>
      <c r="AH976" s="143"/>
      <c r="AI976" s="143"/>
      <c r="AJ976" s="143"/>
      <c r="AK976" s="143"/>
      <c r="AL976" s="143"/>
      <c r="AM976" s="143"/>
      <c r="AN976" s="153"/>
      <c r="AO976" s="143"/>
    </row>
    <row r="977" spans="3:41">
      <c r="C977" s="136"/>
      <c r="D977" s="136"/>
      <c r="F977" s="15"/>
      <c r="G977" s="138"/>
      <c r="H977" s="138"/>
      <c r="I977" s="126"/>
      <c r="J977" s="15"/>
      <c r="K977" s="15"/>
      <c r="L977" s="20"/>
      <c r="M977" s="20"/>
      <c r="N977" s="126"/>
      <c r="O977" s="126"/>
      <c r="P977" s="126"/>
      <c r="Q977" s="171"/>
      <c r="R977" s="172"/>
      <c r="S977" s="172"/>
      <c r="AE977" s="143"/>
      <c r="AF977" s="143"/>
      <c r="AG977" s="143"/>
      <c r="AH977" s="143"/>
      <c r="AI977" s="143"/>
      <c r="AJ977" s="143"/>
      <c r="AK977" s="143"/>
      <c r="AL977" s="143"/>
      <c r="AM977" s="145"/>
      <c r="AN977" s="143"/>
      <c r="AO977" s="143"/>
    </row>
    <row r="978" spans="3:41">
      <c r="C978" s="136"/>
      <c r="D978" s="136"/>
      <c r="F978" s="15"/>
      <c r="G978" s="138"/>
      <c r="H978" s="138"/>
      <c r="I978" s="126"/>
      <c r="J978" s="15"/>
      <c r="K978" s="15"/>
      <c r="L978" s="20"/>
      <c r="M978" s="20"/>
      <c r="N978" s="126"/>
      <c r="O978" s="126"/>
      <c r="P978" s="126"/>
      <c r="Q978" s="171"/>
      <c r="R978" s="173"/>
      <c r="S978" s="172"/>
      <c r="AE978" s="143"/>
      <c r="AF978" s="143"/>
      <c r="AG978" s="143"/>
      <c r="AH978" s="143"/>
      <c r="AI978" s="143"/>
      <c r="AJ978" s="143"/>
      <c r="AK978" s="143"/>
      <c r="AL978" s="143"/>
      <c r="AM978" s="145"/>
      <c r="AN978" s="153"/>
      <c r="AO978" s="143"/>
    </row>
    <row r="979" spans="3:41">
      <c r="C979" s="136"/>
      <c r="D979" s="136"/>
      <c r="F979" s="15"/>
      <c r="G979" s="138"/>
      <c r="H979" s="138"/>
      <c r="I979" s="126"/>
      <c r="J979" s="15"/>
      <c r="K979" s="15"/>
      <c r="L979" s="20"/>
      <c r="M979" s="20"/>
      <c r="N979" s="126"/>
      <c r="O979" s="126"/>
      <c r="P979" s="126"/>
      <c r="Q979" s="171"/>
      <c r="R979" s="172"/>
      <c r="S979" s="172"/>
      <c r="AE979" s="143"/>
      <c r="AF979" s="143"/>
      <c r="AG979" s="143"/>
      <c r="AH979" s="143"/>
      <c r="AI979" s="143"/>
      <c r="AJ979" s="143"/>
      <c r="AK979" s="143"/>
      <c r="AL979" s="143"/>
      <c r="AM979" s="145"/>
      <c r="AN979" s="153"/>
      <c r="AO979" s="153"/>
    </row>
    <row r="980" spans="3:41">
      <c r="C980" s="136"/>
      <c r="D980" s="136"/>
      <c r="F980" s="15"/>
      <c r="G980" s="138"/>
      <c r="H980" s="138"/>
      <c r="I980" s="126"/>
      <c r="J980" s="15"/>
      <c r="K980" s="15"/>
      <c r="L980" s="20"/>
      <c r="M980" s="20"/>
      <c r="N980" s="126"/>
      <c r="O980" s="126"/>
      <c r="P980" s="126"/>
      <c r="Q980" s="171"/>
      <c r="R980" s="173"/>
      <c r="S980" s="172"/>
      <c r="AE980" s="143"/>
      <c r="AF980" s="143"/>
      <c r="AG980" s="143"/>
      <c r="AH980" s="143"/>
      <c r="AI980" s="143"/>
      <c r="AJ980" s="143"/>
      <c r="AK980" s="143"/>
      <c r="AL980" s="143"/>
      <c r="AM980" s="145"/>
      <c r="AN980" s="153"/>
      <c r="AO980" s="143"/>
    </row>
    <row r="981" spans="3:41">
      <c r="C981" s="136"/>
      <c r="D981" s="136"/>
      <c r="F981" s="15"/>
      <c r="G981" s="138"/>
      <c r="H981" s="138"/>
      <c r="I981" s="126"/>
      <c r="J981" s="15"/>
      <c r="K981" s="15"/>
      <c r="L981" s="20"/>
      <c r="M981" s="20"/>
      <c r="N981" s="126"/>
      <c r="O981" s="126"/>
      <c r="P981" s="126"/>
      <c r="Q981" s="171"/>
      <c r="R981" s="172"/>
      <c r="S981" s="172"/>
      <c r="AE981" s="143"/>
      <c r="AF981" s="143"/>
      <c r="AG981" s="143"/>
      <c r="AH981" s="143"/>
      <c r="AI981" s="143"/>
      <c r="AJ981" s="143"/>
      <c r="AK981" s="143"/>
      <c r="AL981" s="143"/>
      <c r="AM981" s="145"/>
      <c r="AN981" s="153"/>
      <c r="AO981" s="143"/>
    </row>
    <row r="982" spans="3:41">
      <c r="C982" s="136"/>
      <c r="D982" s="136"/>
      <c r="F982" s="15"/>
      <c r="G982" s="138"/>
      <c r="H982" s="138"/>
      <c r="I982" s="126"/>
      <c r="J982" s="15"/>
      <c r="K982" s="15"/>
      <c r="L982" s="20"/>
      <c r="M982" s="20"/>
      <c r="N982" s="126"/>
      <c r="O982" s="126"/>
      <c r="P982" s="126"/>
      <c r="Q982" s="171"/>
      <c r="R982" s="172"/>
      <c r="S982" s="172"/>
      <c r="AE982" s="143"/>
      <c r="AF982" s="143"/>
      <c r="AG982" s="143"/>
      <c r="AH982" s="143"/>
      <c r="AI982" s="143"/>
      <c r="AJ982" s="143"/>
      <c r="AK982" s="143"/>
      <c r="AL982" s="143"/>
      <c r="AM982" s="145"/>
      <c r="AN982" s="143"/>
      <c r="AO982" s="143"/>
    </row>
    <row r="983" spans="3:41">
      <c r="C983" s="136"/>
      <c r="D983" s="136"/>
      <c r="F983" s="15"/>
      <c r="G983" s="138"/>
      <c r="H983" s="138"/>
      <c r="I983" s="126"/>
      <c r="J983" s="15"/>
      <c r="K983" s="15"/>
      <c r="L983" s="20"/>
      <c r="M983" s="20"/>
      <c r="N983" s="126"/>
      <c r="O983" s="126"/>
      <c r="P983" s="126"/>
      <c r="Q983" s="171"/>
      <c r="R983" s="173"/>
      <c r="S983" s="172"/>
      <c r="AE983" s="143"/>
      <c r="AF983" s="143"/>
      <c r="AG983" s="143"/>
      <c r="AH983" s="143"/>
      <c r="AI983" s="143"/>
      <c r="AJ983" s="143"/>
      <c r="AK983" s="143"/>
      <c r="AL983" s="143"/>
      <c r="AM983" s="145"/>
      <c r="AN983" s="143"/>
      <c r="AO983" s="143"/>
    </row>
    <row r="984" spans="3:41">
      <c r="C984" s="136"/>
      <c r="D984" s="136"/>
      <c r="F984" s="15"/>
      <c r="G984" s="138"/>
      <c r="H984" s="138"/>
      <c r="I984" s="126"/>
      <c r="J984" s="15"/>
      <c r="K984" s="15"/>
      <c r="L984" s="20"/>
      <c r="M984" s="20"/>
      <c r="N984" s="126"/>
      <c r="O984" s="126"/>
      <c r="P984" s="126"/>
      <c r="Q984" s="171"/>
      <c r="R984" s="173"/>
      <c r="S984" s="172"/>
      <c r="AE984" s="143"/>
      <c r="AF984" s="143"/>
      <c r="AG984" s="143"/>
      <c r="AH984" s="143"/>
      <c r="AI984" s="143"/>
      <c r="AJ984" s="143"/>
      <c r="AK984" s="143"/>
      <c r="AL984" s="143"/>
      <c r="AM984" s="145"/>
      <c r="AN984" s="143"/>
      <c r="AO984" s="143"/>
    </row>
    <row r="985" spans="3:41">
      <c r="C985" s="136"/>
      <c r="D985" s="136"/>
      <c r="F985" s="15"/>
      <c r="G985" s="138"/>
      <c r="H985" s="138"/>
      <c r="I985" s="126"/>
      <c r="J985" s="15"/>
      <c r="K985" s="15"/>
      <c r="L985" s="20"/>
      <c r="M985" s="20"/>
      <c r="N985" s="126"/>
      <c r="O985" s="126"/>
      <c r="P985" s="126"/>
      <c r="Q985" s="171"/>
      <c r="R985" s="173"/>
      <c r="S985" s="172"/>
      <c r="AE985" s="143"/>
      <c r="AF985" s="143"/>
      <c r="AG985" s="143"/>
      <c r="AH985" s="143"/>
      <c r="AI985" s="143"/>
      <c r="AJ985" s="143"/>
      <c r="AK985" s="143"/>
      <c r="AL985" s="143"/>
      <c r="AM985" s="145"/>
      <c r="AN985" s="143"/>
      <c r="AO985" s="143"/>
    </row>
    <row r="986" spans="3:41">
      <c r="C986" s="136"/>
      <c r="D986" s="136"/>
      <c r="F986" s="15"/>
      <c r="G986" s="138"/>
      <c r="H986" s="138"/>
      <c r="I986" s="126"/>
      <c r="J986" s="15"/>
      <c r="K986" s="15"/>
      <c r="L986" s="20"/>
      <c r="M986" s="20"/>
      <c r="N986" s="126"/>
      <c r="O986" s="126"/>
      <c r="P986" s="126"/>
      <c r="Q986" s="171"/>
      <c r="R986" s="173"/>
      <c r="S986" s="172"/>
      <c r="AE986" s="143"/>
      <c r="AF986" s="143"/>
      <c r="AG986" s="143"/>
      <c r="AH986" s="143"/>
      <c r="AI986" s="143"/>
      <c r="AJ986" s="143"/>
      <c r="AK986" s="143"/>
      <c r="AL986" s="143"/>
      <c r="AM986" s="145"/>
      <c r="AN986" s="153"/>
      <c r="AO986" s="143"/>
    </row>
    <row r="987" spans="3:41">
      <c r="C987" s="136"/>
      <c r="D987" s="136"/>
      <c r="F987" s="15"/>
      <c r="G987" s="138"/>
      <c r="H987" s="138"/>
      <c r="I987" s="126"/>
      <c r="J987" s="15"/>
      <c r="K987" s="15"/>
      <c r="L987" s="20"/>
      <c r="M987" s="20"/>
      <c r="N987" s="126"/>
      <c r="O987" s="126"/>
      <c r="P987" s="126"/>
      <c r="Q987" s="171"/>
      <c r="R987" s="173"/>
      <c r="S987" s="172"/>
      <c r="AE987" s="143"/>
      <c r="AF987" s="143"/>
      <c r="AG987" s="143"/>
      <c r="AH987" s="143"/>
      <c r="AI987" s="143"/>
      <c r="AJ987" s="143"/>
      <c r="AK987" s="143"/>
      <c r="AL987" s="143"/>
      <c r="AM987" s="145"/>
      <c r="AN987" s="153"/>
      <c r="AO987" s="143"/>
    </row>
    <row r="988" spans="3:41">
      <c r="C988" s="136"/>
      <c r="D988" s="136"/>
      <c r="F988" s="15"/>
      <c r="G988" s="138"/>
      <c r="H988" s="138"/>
      <c r="I988" s="126"/>
      <c r="J988" s="15"/>
      <c r="K988" s="15"/>
      <c r="L988" s="20"/>
      <c r="M988" s="20"/>
      <c r="N988" s="126"/>
      <c r="O988" s="126"/>
      <c r="P988" s="126"/>
      <c r="Q988" s="171"/>
      <c r="R988" s="173"/>
      <c r="S988" s="172"/>
      <c r="AE988" s="143"/>
      <c r="AF988" s="143"/>
      <c r="AG988" s="143"/>
      <c r="AH988" s="143"/>
      <c r="AI988" s="143"/>
      <c r="AJ988" s="143"/>
      <c r="AK988" s="143"/>
      <c r="AL988" s="144"/>
      <c r="AM988" s="145"/>
      <c r="AN988" s="153"/>
      <c r="AO988" s="143"/>
    </row>
    <row r="989" spans="3:41">
      <c r="C989" s="136"/>
      <c r="D989" s="136"/>
      <c r="F989" s="15"/>
      <c r="G989" s="138"/>
      <c r="H989" s="138"/>
      <c r="I989" s="126"/>
      <c r="J989" s="15"/>
      <c r="K989" s="15"/>
      <c r="L989" s="20"/>
      <c r="M989" s="20"/>
      <c r="N989" s="126"/>
      <c r="O989" s="126"/>
      <c r="P989" s="126"/>
      <c r="Q989" s="171"/>
      <c r="R989" s="172"/>
      <c r="S989" s="172"/>
      <c r="AE989" s="143"/>
      <c r="AF989" s="143"/>
      <c r="AG989" s="143"/>
      <c r="AH989" s="143"/>
      <c r="AI989" s="143"/>
      <c r="AJ989" s="143"/>
      <c r="AK989" s="143"/>
      <c r="AL989" s="144"/>
      <c r="AM989" s="145"/>
      <c r="AN989" s="153"/>
      <c r="AO989" s="143"/>
    </row>
    <row r="990" spans="3:41">
      <c r="C990" s="136"/>
      <c r="D990" s="136"/>
      <c r="F990" s="15"/>
      <c r="G990" s="138"/>
      <c r="H990" s="138"/>
      <c r="I990" s="126"/>
      <c r="J990" s="15"/>
      <c r="K990" s="15"/>
      <c r="L990" s="20"/>
      <c r="M990" s="20"/>
      <c r="N990" s="126"/>
      <c r="O990" s="126"/>
      <c r="P990" s="126"/>
      <c r="Q990" s="171"/>
      <c r="R990" s="173"/>
      <c r="S990" s="172"/>
      <c r="AE990" s="143"/>
      <c r="AF990" s="143"/>
      <c r="AG990" s="143"/>
      <c r="AH990" s="143"/>
      <c r="AI990" s="143"/>
      <c r="AJ990" s="143"/>
      <c r="AK990" s="143"/>
      <c r="AL990" s="144"/>
      <c r="AM990" s="145"/>
      <c r="AN990" s="153"/>
      <c r="AO990" s="143"/>
    </row>
    <row r="991" spans="3:41">
      <c r="C991" s="136"/>
      <c r="D991" s="136"/>
      <c r="F991" s="15"/>
      <c r="G991" s="138"/>
      <c r="H991" s="138"/>
      <c r="I991" s="126"/>
      <c r="J991" s="15"/>
      <c r="K991" s="15"/>
      <c r="L991" s="20"/>
      <c r="M991" s="20"/>
      <c r="N991" s="126"/>
      <c r="O991" s="126"/>
      <c r="P991" s="126"/>
      <c r="Q991" s="171"/>
      <c r="R991" s="172"/>
      <c r="S991" s="172"/>
      <c r="AE991" s="143"/>
      <c r="AF991" s="143"/>
      <c r="AG991" s="143"/>
      <c r="AH991" s="143"/>
      <c r="AI991" s="143"/>
      <c r="AJ991" s="143"/>
      <c r="AK991" s="143"/>
      <c r="AL991" s="144"/>
      <c r="AM991" s="144"/>
      <c r="AN991" s="153"/>
      <c r="AO991" s="143"/>
    </row>
    <row r="992" spans="3:41">
      <c r="C992" s="136"/>
      <c r="D992" s="136"/>
      <c r="F992" s="15"/>
      <c r="G992" s="138"/>
      <c r="H992" s="138"/>
      <c r="I992" s="126"/>
      <c r="J992" s="15"/>
      <c r="K992" s="15"/>
      <c r="L992" s="20"/>
      <c r="M992" s="20"/>
      <c r="N992" s="126"/>
      <c r="O992" s="126"/>
      <c r="P992" s="126"/>
      <c r="Q992" s="171"/>
      <c r="R992" s="173"/>
      <c r="S992" s="172"/>
      <c r="AE992" s="143"/>
      <c r="AF992" s="143"/>
      <c r="AG992" s="143"/>
      <c r="AH992" s="143"/>
      <c r="AI992" s="143"/>
      <c r="AJ992" s="143"/>
      <c r="AK992" s="143"/>
      <c r="AL992" s="144"/>
      <c r="AM992" s="144"/>
      <c r="AN992" s="153"/>
      <c r="AO992" s="143"/>
    </row>
    <row r="993" spans="3:41">
      <c r="C993" s="136"/>
      <c r="D993" s="136"/>
      <c r="F993" s="15"/>
      <c r="G993" s="138"/>
      <c r="H993" s="138"/>
      <c r="I993" s="126"/>
      <c r="J993" s="15"/>
      <c r="K993" s="15"/>
      <c r="L993" s="20"/>
      <c r="M993" s="20"/>
      <c r="N993" s="126"/>
      <c r="O993" s="126"/>
      <c r="P993" s="126"/>
      <c r="Q993" s="171"/>
      <c r="R993" s="173"/>
      <c r="S993" s="172"/>
      <c r="AE993" s="143"/>
      <c r="AF993" s="143"/>
      <c r="AG993" s="143"/>
      <c r="AH993" s="143"/>
      <c r="AI993" s="143"/>
      <c r="AJ993" s="143"/>
      <c r="AK993" s="143"/>
      <c r="AL993" s="144"/>
      <c r="AM993" s="145"/>
      <c r="AN993" s="153"/>
      <c r="AO993" s="143"/>
    </row>
    <row r="994" spans="3:41">
      <c r="C994" s="136"/>
      <c r="D994" s="136"/>
      <c r="F994" s="15"/>
      <c r="G994" s="138"/>
      <c r="H994" s="138"/>
      <c r="I994" s="126"/>
      <c r="J994" s="15"/>
      <c r="K994" s="15"/>
      <c r="L994" s="20"/>
      <c r="M994" s="20"/>
      <c r="N994" s="126"/>
      <c r="O994" s="126"/>
      <c r="P994" s="126"/>
      <c r="Q994" s="171"/>
      <c r="R994" s="173"/>
      <c r="S994" s="172"/>
      <c r="AE994" s="143"/>
      <c r="AF994" s="143"/>
      <c r="AG994" s="143"/>
      <c r="AH994" s="143"/>
      <c r="AI994" s="143"/>
      <c r="AJ994" s="143"/>
      <c r="AK994" s="143"/>
      <c r="AL994" s="144"/>
      <c r="AM994" s="145"/>
      <c r="AN994" s="153"/>
      <c r="AO994" s="143"/>
    </row>
    <row r="995" spans="3:41">
      <c r="C995" s="136"/>
      <c r="D995" s="136"/>
      <c r="F995" s="15"/>
      <c r="G995" s="138"/>
      <c r="H995" s="138"/>
      <c r="I995" s="126"/>
      <c r="J995" s="15"/>
      <c r="K995" s="15"/>
      <c r="L995" s="20"/>
      <c r="M995" s="20"/>
      <c r="N995" s="126"/>
      <c r="O995" s="126"/>
      <c r="P995" s="126"/>
      <c r="Q995" s="171"/>
      <c r="R995" s="172"/>
      <c r="S995" s="172"/>
      <c r="AE995" s="143"/>
      <c r="AF995" s="143"/>
      <c r="AG995" s="143"/>
      <c r="AH995" s="143"/>
      <c r="AI995" s="143"/>
      <c r="AJ995" s="143"/>
      <c r="AK995" s="143"/>
      <c r="AL995" s="144"/>
      <c r="AM995" s="144"/>
      <c r="AN995" s="153"/>
      <c r="AO995" s="143"/>
    </row>
    <row r="996" spans="3:41">
      <c r="C996" s="136"/>
      <c r="D996" s="136"/>
      <c r="F996" s="15"/>
      <c r="G996" s="138"/>
      <c r="H996" s="138"/>
      <c r="I996" s="126"/>
      <c r="J996" s="15"/>
      <c r="K996" s="15"/>
      <c r="L996" s="20"/>
      <c r="M996" s="20"/>
      <c r="N996" s="126"/>
      <c r="O996" s="126"/>
      <c r="P996" s="126"/>
      <c r="Q996" s="171"/>
      <c r="R996" s="172"/>
      <c r="S996" s="172"/>
      <c r="AE996" s="143"/>
      <c r="AF996" s="143"/>
      <c r="AG996" s="143"/>
      <c r="AH996" s="143"/>
      <c r="AI996" s="143"/>
      <c r="AJ996" s="143"/>
      <c r="AK996" s="143"/>
      <c r="AL996" s="144"/>
      <c r="AM996" s="145"/>
      <c r="AN996" s="153"/>
      <c r="AO996" s="143"/>
    </row>
    <row r="997" spans="3:41">
      <c r="C997" s="136"/>
      <c r="D997" s="136"/>
      <c r="F997" s="15"/>
      <c r="G997" s="138"/>
      <c r="H997" s="138"/>
      <c r="I997" s="126"/>
      <c r="J997" s="15"/>
      <c r="K997" s="15"/>
      <c r="L997" s="20"/>
      <c r="M997" s="20"/>
      <c r="N997" s="126"/>
      <c r="O997" s="126"/>
      <c r="P997" s="126"/>
      <c r="Q997" s="171"/>
      <c r="R997" s="172"/>
      <c r="S997" s="172"/>
      <c r="AE997" s="143"/>
      <c r="AF997" s="143"/>
      <c r="AG997" s="143"/>
      <c r="AH997" s="143"/>
      <c r="AI997" s="143"/>
      <c r="AJ997" s="143"/>
      <c r="AK997" s="143"/>
      <c r="AL997" s="144"/>
      <c r="AM997" s="145"/>
      <c r="AN997" s="144"/>
      <c r="AO997" s="143"/>
    </row>
    <row r="998" spans="3:41">
      <c r="C998" s="136"/>
      <c r="D998" s="136"/>
      <c r="F998" s="15"/>
      <c r="G998" s="138"/>
      <c r="H998" s="138"/>
      <c r="I998" s="126"/>
      <c r="J998" s="15"/>
      <c r="K998" s="15"/>
      <c r="L998" s="20"/>
      <c r="M998" s="20"/>
      <c r="N998" s="126"/>
      <c r="O998" s="126"/>
      <c r="P998" s="126"/>
      <c r="Q998" s="171"/>
      <c r="R998" s="172"/>
      <c r="S998" s="172"/>
      <c r="AE998" s="143"/>
      <c r="AF998" s="143"/>
      <c r="AG998" s="143"/>
      <c r="AH998" s="143"/>
      <c r="AI998" s="143"/>
      <c r="AJ998" s="143"/>
      <c r="AK998" s="143"/>
      <c r="AL998" s="144"/>
      <c r="AM998" s="145"/>
      <c r="AN998" s="153"/>
      <c r="AO998" s="143"/>
    </row>
    <row r="999" spans="3:41">
      <c r="C999" s="136"/>
      <c r="D999" s="136"/>
      <c r="F999" s="15"/>
      <c r="G999" s="138"/>
      <c r="H999" s="138"/>
      <c r="I999" s="126"/>
      <c r="J999" s="15"/>
      <c r="K999" s="15"/>
      <c r="L999" s="20"/>
      <c r="M999" s="20"/>
      <c r="N999" s="126"/>
      <c r="O999" s="126"/>
      <c r="P999" s="126"/>
      <c r="Q999" s="171"/>
      <c r="R999" s="172"/>
      <c r="S999" s="172"/>
      <c r="AE999" s="143"/>
      <c r="AF999" s="143"/>
      <c r="AG999" s="143"/>
      <c r="AH999" s="143"/>
      <c r="AI999" s="143"/>
      <c r="AJ999" s="143"/>
      <c r="AK999" s="143"/>
      <c r="AL999" s="144"/>
      <c r="AM999" s="144"/>
      <c r="AN999" s="153"/>
      <c r="AO999" s="153"/>
    </row>
    <row r="1000" spans="3:41">
      <c r="C1000" s="136"/>
      <c r="D1000" s="136"/>
      <c r="F1000" s="15"/>
      <c r="G1000" s="138"/>
      <c r="H1000" s="138"/>
      <c r="I1000" s="126"/>
      <c r="J1000" s="15"/>
      <c r="K1000" s="15"/>
      <c r="L1000" s="20"/>
      <c r="M1000" s="20"/>
      <c r="N1000" s="126"/>
      <c r="O1000" s="126"/>
      <c r="P1000" s="126"/>
      <c r="Q1000" s="171"/>
      <c r="R1000" s="172"/>
      <c r="S1000" s="172"/>
      <c r="AE1000" s="143"/>
      <c r="AF1000" s="143"/>
      <c r="AG1000" s="143"/>
      <c r="AH1000" s="143"/>
      <c r="AI1000" s="143"/>
      <c r="AJ1000" s="143"/>
      <c r="AK1000" s="143"/>
      <c r="AL1000" s="144"/>
      <c r="AM1000" s="145"/>
      <c r="AN1000" s="153"/>
      <c r="AO1000" s="143"/>
    </row>
    <row r="1001" spans="3:41">
      <c r="C1001" s="136"/>
      <c r="D1001" s="136"/>
      <c r="F1001" s="15"/>
      <c r="G1001" s="138"/>
      <c r="H1001" s="138"/>
      <c r="I1001" s="126"/>
      <c r="J1001" s="15"/>
      <c r="K1001" s="15"/>
      <c r="L1001" s="20"/>
      <c r="M1001" s="20"/>
      <c r="N1001" s="126"/>
      <c r="O1001" s="126"/>
      <c r="P1001" s="126"/>
      <c r="Q1001" s="171"/>
      <c r="R1001" s="172"/>
      <c r="S1001" s="172"/>
      <c r="AE1001" s="143"/>
      <c r="AF1001" s="143"/>
      <c r="AG1001" s="143"/>
      <c r="AH1001" s="143"/>
      <c r="AI1001" s="143"/>
      <c r="AJ1001" s="143"/>
      <c r="AK1001" s="143"/>
      <c r="AL1001" s="144"/>
      <c r="AM1001" s="145"/>
      <c r="AN1001" s="153"/>
      <c r="AO1001" s="143"/>
    </row>
    <row r="1002" spans="3:41">
      <c r="C1002" s="136"/>
      <c r="D1002" s="136"/>
      <c r="F1002" s="15"/>
      <c r="G1002" s="138"/>
      <c r="H1002" s="138"/>
      <c r="I1002" s="126"/>
      <c r="J1002" s="15"/>
      <c r="K1002" s="15"/>
      <c r="L1002" s="20"/>
      <c r="M1002" s="20"/>
      <c r="N1002" s="126"/>
      <c r="O1002" s="126"/>
      <c r="P1002" s="126"/>
      <c r="Q1002" s="171"/>
      <c r="R1002" s="172"/>
      <c r="S1002" s="172"/>
      <c r="AE1002" s="143"/>
      <c r="AF1002" s="143"/>
      <c r="AG1002" s="143"/>
      <c r="AH1002" s="143"/>
      <c r="AI1002" s="143"/>
      <c r="AJ1002" s="143"/>
      <c r="AK1002" s="143"/>
      <c r="AL1002" s="144"/>
      <c r="AM1002" s="144"/>
      <c r="AN1002" s="153"/>
      <c r="AO1002" s="143"/>
    </row>
    <row r="1003" spans="3:41">
      <c r="C1003" s="136"/>
      <c r="D1003" s="136"/>
      <c r="F1003" s="15"/>
      <c r="G1003" s="138"/>
      <c r="H1003" s="138"/>
      <c r="I1003" s="126"/>
      <c r="J1003" s="15"/>
      <c r="K1003" s="15"/>
      <c r="L1003" s="20"/>
      <c r="M1003" s="20"/>
      <c r="N1003" s="126"/>
      <c r="O1003" s="126"/>
      <c r="P1003" s="126"/>
      <c r="Q1003" s="171"/>
      <c r="R1003" s="172"/>
      <c r="S1003" s="172"/>
      <c r="AE1003" s="143"/>
      <c r="AF1003" s="143"/>
      <c r="AG1003" s="143"/>
      <c r="AH1003" s="143"/>
      <c r="AI1003" s="143"/>
      <c r="AJ1003" s="143"/>
      <c r="AK1003" s="143"/>
      <c r="AL1003" s="144"/>
      <c r="AM1003" s="145"/>
      <c r="AN1003" s="153"/>
      <c r="AO1003" s="143"/>
    </row>
    <row r="1004" spans="3:41">
      <c r="C1004" s="136"/>
      <c r="D1004" s="136"/>
      <c r="F1004" s="15"/>
      <c r="G1004" s="138"/>
      <c r="H1004" s="138"/>
      <c r="I1004" s="126"/>
      <c r="J1004" s="15"/>
      <c r="K1004" s="15"/>
      <c r="L1004" s="20"/>
      <c r="M1004" s="20"/>
      <c r="N1004" s="126"/>
      <c r="O1004" s="126"/>
      <c r="P1004" s="126"/>
      <c r="Q1004" s="171"/>
      <c r="R1004" s="172"/>
      <c r="S1004" s="172"/>
      <c r="AE1004" s="143"/>
      <c r="AF1004" s="143"/>
      <c r="AG1004" s="143"/>
      <c r="AH1004" s="143"/>
      <c r="AI1004" s="143"/>
      <c r="AJ1004" s="143"/>
      <c r="AK1004" s="143"/>
      <c r="AL1004" s="144"/>
      <c r="AM1004" s="144"/>
      <c r="AN1004" s="153"/>
      <c r="AO1004" s="143"/>
    </row>
    <row r="1005" spans="3:41">
      <c r="C1005" s="136"/>
      <c r="D1005" s="136"/>
      <c r="F1005" s="15"/>
      <c r="G1005" s="138"/>
      <c r="H1005" s="138"/>
      <c r="I1005" s="126"/>
      <c r="J1005" s="15"/>
      <c r="K1005" s="15"/>
      <c r="L1005" s="20"/>
      <c r="M1005" s="20"/>
      <c r="N1005" s="126"/>
      <c r="O1005" s="126"/>
      <c r="P1005" s="126"/>
      <c r="Q1005" s="171"/>
      <c r="R1005" s="172"/>
      <c r="S1005" s="172"/>
      <c r="AE1005" s="143"/>
      <c r="AF1005" s="143"/>
      <c r="AG1005" s="143"/>
      <c r="AH1005" s="143"/>
      <c r="AI1005" s="143"/>
      <c r="AJ1005" s="143"/>
      <c r="AK1005" s="143"/>
      <c r="AL1005" s="144"/>
      <c r="AM1005" s="145"/>
      <c r="AN1005" s="153"/>
      <c r="AO1005" s="143"/>
    </row>
    <row r="1006" spans="3:41">
      <c r="C1006" s="136"/>
      <c r="D1006" s="136"/>
      <c r="F1006" s="15"/>
      <c r="G1006" s="138"/>
      <c r="H1006" s="138"/>
      <c r="I1006" s="126"/>
      <c r="J1006" s="15"/>
      <c r="K1006" s="15"/>
      <c r="L1006" s="20"/>
      <c r="M1006" s="20"/>
      <c r="N1006" s="126"/>
      <c r="O1006" s="126"/>
      <c r="P1006" s="126"/>
      <c r="Q1006" s="171"/>
      <c r="R1006" s="172"/>
      <c r="S1006" s="172"/>
      <c r="AE1006" s="143"/>
      <c r="AF1006" s="143"/>
      <c r="AG1006" s="143"/>
      <c r="AH1006" s="143"/>
      <c r="AI1006" s="143"/>
      <c r="AJ1006" s="143"/>
      <c r="AK1006" s="143"/>
      <c r="AL1006" s="144"/>
      <c r="AM1006" s="145"/>
      <c r="AN1006" s="153"/>
      <c r="AO1006" s="143"/>
    </row>
    <row r="1007" spans="3:41">
      <c r="C1007" s="136"/>
      <c r="D1007" s="136"/>
      <c r="F1007" s="15"/>
      <c r="G1007" s="138"/>
      <c r="H1007" s="138"/>
      <c r="I1007" s="126"/>
      <c r="J1007" s="15"/>
      <c r="K1007" s="15"/>
      <c r="L1007" s="20"/>
      <c r="M1007" s="20"/>
      <c r="N1007" s="126"/>
      <c r="O1007" s="126"/>
      <c r="P1007" s="126"/>
      <c r="Q1007" s="171"/>
      <c r="R1007" s="172"/>
      <c r="S1007" s="172"/>
      <c r="AE1007" s="143"/>
      <c r="AF1007" s="143"/>
      <c r="AG1007" s="143"/>
      <c r="AH1007" s="143"/>
      <c r="AI1007" s="143"/>
      <c r="AJ1007" s="143"/>
      <c r="AK1007" s="143"/>
      <c r="AL1007" s="144"/>
      <c r="AM1007" s="145"/>
      <c r="AN1007" s="153"/>
      <c r="AO1007" s="143"/>
    </row>
    <row r="1008" spans="3:41">
      <c r="C1008" s="136"/>
      <c r="D1008" s="136"/>
      <c r="F1008" s="15"/>
      <c r="G1008" s="138"/>
      <c r="H1008" s="138"/>
      <c r="I1008" s="126"/>
      <c r="J1008" s="15"/>
      <c r="K1008" s="15"/>
      <c r="L1008" s="20"/>
      <c r="M1008" s="20"/>
      <c r="N1008" s="126"/>
      <c r="O1008" s="126"/>
      <c r="P1008" s="126"/>
      <c r="Q1008" s="171"/>
      <c r="R1008" s="172"/>
      <c r="S1008" s="172"/>
      <c r="AE1008" s="143"/>
      <c r="AF1008" s="143"/>
      <c r="AG1008" s="143"/>
      <c r="AH1008" s="143"/>
      <c r="AI1008" s="143"/>
      <c r="AJ1008" s="143"/>
      <c r="AK1008" s="143"/>
      <c r="AL1008" s="144"/>
      <c r="AM1008" s="145"/>
      <c r="AN1008" s="153"/>
      <c r="AO1008" s="143"/>
    </row>
    <row r="1009" spans="3:41">
      <c r="C1009" s="136"/>
      <c r="D1009" s="136"/>
      <c r="F1009" s="15"/>
      <c r="G1009" s="138"/>
      <c r="H1009" s="138"/>
      <c r="I1009" s="126"/>
      <c r="J1009" s="15"/>
      <c r="K1009" s="15"/>
      <c r="L1009" s="20"/>
      <c r="M1009" s="20"/>
      <c r="N1009" s="126"/>
      <c r="O1009" s="126"/>
      <c r="P1009" s="126"/>
      <c r="Q1009" s="171"/>
      <c r="R1009" s="172"/>
      <c r="S1009" s="172"/>
      <c r="AE1009" s="143"/>
      <c r="AF1009" s="143"/>
      <c r="AG1009" s="143"/>
      <c r="AH1009" s="143"/>
      <c r="AI1009" s="143"/>
      <c r="AJ1009" s="143"/>
      <c r="AK1009" s="143"/>
      <c r="AL1009" s="144"/>
      <c r="AM1009" s="145"/>
      <c r="AN1009" s="153"/>
      <c r="AO1009" s="143"/>
    </row>
    <row r="1010" spans="3:41">
      <c r="C1010" s="136"/>
      <c r="D1010" s="136"/>
      <c r="F1010" s="15"/>
      <c r="G1010" s="138"/>
      <c r="H1010" s="138"/>
      <c r="I1010" s="126"/>
      <c r="J1010" s="15"/>
      <c r="K1010" s="15"/>
      <c r="L1010" s="20"/>
      <c r="M1010" s="20"/>
      <c r="N1010" s="126"/>
      <c r="O1010" s="126"/>
      <c r="P1010" s="126"/>
      <c r="Q1010" s="171"/>
      <c r="R1010" s="172"/>
      <c r="S1010" s="172"/>
      <c r="AE1010" s="143"/>
      <c r="AF1010" s="143"/>
      <c r="AG1010" s="143"/>
      <c r="AH1010" s="143"/>
      <c r="AI1010" s="143"/>
      <c r="AJ1010" s="143"/>
      <c r="AK1010" s="143"/>
      <c r="AL1010" s="144"/>
      <c r="AM1010" s="145"/>
      <c r="AN1010" s="153"/>
      <c r="AO1010" s="153"/>
    </row>
    <row r="1011" spans="3:41">
      <c r="C1011" s="136"/>
      <c r="D1011" s="136"/>
      <c r="F1011" s="15"/>
      <c r="G1011" s="138"/>
      <c r="H1011" s="138"/>
      <c r="I1011" s="126"/>
      <c r="J1011" s="15"/>
      <c r="K1011" s="15"/>
      <c r="L1011" s="20"/>
      <c r="M1011" s="20"/>
      <c r="N1011" s="126"/>
      <c r="O1011" s="126"/>
      <c r="P1011" s="126"/>
      <c r="Q1011" s="171"/>
      <c r="R1011" s="172"/>
      <c r="S1011" s="172"/>
      <c r="AE1011" s="143"/>
      <c r="AF1011" s="143"/>
      <c r="AG1011" s="143"/>
      <c r="AH1011" s="143"/>
      <c r="AI1011" s="143"/>
      <c r="AJ1011" s="143"/>
      <c r="AK1011" s="143"/>
      <c r="AL1011" s="144"/>
      <c r="AM1011" s="144"/>
      <c r="AN1011" s="153"/>
      <c r="AO1011" s="153"/>
    </row>
    <row r="1012" spans="3:41">
      <c r="C1012" s="136"/>
      <c r="D1012" s="136"/>
      <c r="F1012" s="15"/>
      <c r="G1012" s="138"/>
      <c r="H1012" s="138"/>
      <c r="I1012" s="126"/>
      <c r="J1012" s="15"/>
      <c r="K1012" s="15"/>
      <c r="L1012" s="20"/>
      <c r="M1012" s="20"/>
      <c r="N1012" s="126"/>
      <c r="O1012" s="126"/>
      <c r="P1012" s="126"/>
      <c r="Q1012" s="171"/>
      <c r="R1012" s="172"/>
      <c r="S1012" s="172"/>
      <c r="AE1012" s="143"/>
      <c r="AF1012" s="143"/>
      <c r="AG1012" s="143"/>
      <c r="AH1012" s="143"/>
      <c r="AI1012" s="143"/>
      <c r="AJ1012" s="143"/>
      <c r="AK1012" s="143"/>
      <c r="AL1012" s="144"/>
      <c r="AM1012" s="144"/>
      <c r="AN1012" s="153"/>
      <c r="AO1012" s="192"/>
    </row>
    <row r="1013" spans="3:41">
      <c r="C1013" s="136"/>
      <c r="D1013" s="136"/>
      <c r="F1013" s="15"/>
      <c r="G1013" s="138"/>
      <c r="H1013" s="138"/>
      <c r="I1013" s="126"/>
      <c r="J1013" s="15"/>
      <c r="K1013" s="15"/>
      <c r="L1013" s="20"/>
      <c r="M1013" s="20"/>
      <c r="N1013" s="126"/>
      <c r="O1013" s="126"/>
      <c r="P1013" s="126"/>
      <c r="Q1013" s="171"/>
      <c r="R1013" s="172"/>
      <c r="S1013" s="172"/>
      <c r="AE1013" s="143"/>
      <c r="AF1013" s="143"/>
      <c r="AG1013" s="143"/>
      <c r="AH1013" s="143"/>
      <c r="AI1013" s="143"/>
      <c r="AJ1013" s="143"/>
      <c r="AK1013" s="143"/>
      <c r="AL1013" s="144"/>
      <c r="AM1013" s="144"/>
      <c r="AN1013" s="153"/>
      <c r="AO1013" s="192"/>
    </row>
    <row r="1014" spans="3:41">
      <c r="C1014" s="136"/>
      <c r="D1014" s="136"/>
      <c r="F1014" s="15"/>
      <c r="G1014" s="138"/>
      <c r="H1014" s="138"/>
      <c r="I1014" s="126"/>
      <c r="J1014" s="15"/>
      <c r="K1014" s="15"/>
      <c r="L1014" s="20"/>
      <c r="M1014" s="20"/>
      <c r="N1014" s="126"/>
      <c r="O1014" s="126"/>
      <c r="P1014" s="126"/>
      <c r="Q1014" s="171"/>
      <c r="R1014" s="172"/>
      <c r="S1014" s="172"/>
      <c r="AE1014" s="143"/>
      <c r="AF1014" s="143"/>
      <c r="AG1014" s="143"/>
      <c r="AH1014" s="143"/>
      <c r="AI1014" s="143"/>
      <c r="AJ1014" s="143"/>
      <c r="AK1014" s="143"/>
      <c r="AL1014" s="144"/>
      <c r="AM1014" s="144"/>
      <c r="AN1014" s="153"/>
      <c r="AO1014" s="192"/>
    </row>
    <row r="1015" spans="3:41">
      <c r="C1015" s="136"/>
      <c r="D1015" s="136"/>
      <c r="F1015" s="15"/>
      <c r="G1015" s="138"/>
      <c r="H1015" s="138"/>
      <c r="I1015" s="126"/>
      <c r="J1015" s="15"/>
      <c r="K1015" s="15"/>
      <c r="L1015" s="20"/>
      <c r="M1015" s="20"/>
      <c r="N1015" s="126"/>
      <c r="O1015" s="126"/>
      <c r="P1015" s="126"/>
      <c r="Q1015" s="171"/>
      <c r="R1015" s="172"/>
      <c r="S1015" s="172"/>
      <c r="AE1015" s="143"/>
      <c r="AF1015" s="143"/>
      <c r="AG1015" s="143"/>
      <c r="AH1015" s="143"/>
      <c r="AI1015" s="143"/>
      <c r="AJ1015" s="143"/>
      <c r="AK1015" s="143"/>
      <c r="AL1015" s="144"/>
      <c r="AM1015" s="144"/>
      <c r="AN1015" s="153"/>
      <c r="AO1015" s="192"/>
    </row>
    <row r="1016" spans="3:41">
      <c r="C1016" s="136"/>
      <c r="D1016" s="136"/>
      <c r="F1016" s="15"/>
      <c r="G1016" s="138"/>
      <c r="H1016" s="138"/>
      <c r="I1016" s="126"/>
      <c r="J1016" s="15"/>
      <c r="K1016" s="15"/>
      <c r="L1016" s="20"/>
      <c r="M1016" s="20"/>
      <c r="N1016" s="126"/>
      <c r="O1016" s="126"/>
      <c r="P1016" s="126"/>
      <c r="Q1016" s="171"/>
      <c r="R1016" s="172"/>
      <c r="S1016" s="172"/>
      <c r="AE1016" s="143"/>
      <c r="AF1016" s="143"/>
      <c r="AG1016" s="143"/>
      <c r="AH1016" s="143"/>
      <c r="AI1016" s="143"/>
      <c r="AJ1016" s="143"/>
      <c r="AK1016" s="143"/>
      <c r="AL1016" s="144"/>
      <c r="AM1016" s="144"/>
      <c r="AN1016" s="153"/>
      <c r="AO1016" s="153"/>
    </row>
    <row r="1017" spans="3:41">
      <c r="C1017" s="136"/>
      <c r="D1017" s="136"/>
      <c r="F1017" s="15"/>
      <c r="G1017" s="138"/>
      <c r="H1017" s="138"/>
      <c r="I1017" s="126"/>
      <c r="J1017" s="15"/>
      <c r="K1017" s="15"/>
      <c r="L1017" s="20"/>
      <c r="M1017" s="20"/>
      <c r="N1017" s="126"/>
      <c r="O1017" s="126"/>
      <c r="P1017" s="126"/>
      <c r="Q1017" s="171"/>
      <c r="R1017" s="172"/>
      <c r="S1017" s="172"/>
      <c r="AE1017" s="143"/>
      <c r="AF1017" s="143"/>
      <c r="AG1017" s="143"/>
      <c r="AH1017" s="143"/>
      <c r="AI1017" s="143"/>
      <c r="AJ1017" s="143"/>
      <c r="AK1017" s="143"/>
      <c r="AL1017" s="144"/>
      <c r="AM1017" s="145"/>
      <c r="AN1017" s="153"/>
      <c r="AO1017" s="153"/>
    </row>
    <row r="1018" spans="3:41">
      <c r="C1018" s="136"/>
      <c r="D1018" s="136"/>
      <c r="F1018" s="15"/>
      <c r="G1018" s="138"/>
      <c r="H1018" s="138"/>
      <c r="I1018" s="126"/>
      <c r="J1018" s="15"/>
      <c r="K1018" s="15"/>
      <c r="L1018" s="20"/>
      <c r="M1018" s="20"/>
      <c r="N1018" s="126"/>
      <c r="O1018" s="126"/>
      <c r="P1018" s="126"/>
      <c r="Q1018" s="171"/>
      <c r="R1018" s="172"/>
      <c r="S1018" s="172"/>
      <c r="AE1018" s="143"/>
      <c r="AF1018" s="143"/>
      <c r="AG1018" s="143"/>
      <c r="AH1018" s="143"/>
      <c r="AI1018" s="143"/>
      <c r="AJ1018" s="143"/>
      <c r="AK1018" s="143"/>
      <c r="AL1018" s="144"/>
      <c r="AM1018" s="144"/>
      <c r="AN1018" s="153"/>
      <c r="AO1018" s="153"/>
    </row>
    <row r="1019" spans="3:41">
      <c r="C1019" s="136"/>
      <c r="D1019" s="136"/>
      <c r="F1019" s="15"/>
      <c r="G1019" s="138"/>
      <c r="H1019" s="138"/>
      <c r="I1019" s="126"/>
      <c r="J1019" s="15"/>
      <c r="K1019" s="15"/>
      <c r="L1019" s="20"/>
      <c r="M1019" s="20"/>
      <c r="N1019" s="126"/>
      <c r="O1019" s="126"/>
      <c r="P1019" s="126"/>
      <c r="Q1019" s="171"/>
      <c r="R1019" s="172"/>
      <c r="S1019" s="172"/>
      <c r="AE1019" s="143"/>
      <c r="AF1019" s="143"/>
      <c r="AG1019" s="143"/>
      <c r="AH1019" s="143"/>
      <c r="AI1019" s="143"/>
      <c r="AJ1019" s="143"/>
      <c r="AK1019" s="143"/>
      <c r="AL1019" s="144"/>
      <c r="AM1019" s="144"/>
      <c r="AN1019" s="153"/>
      <c r="AO1019" s="153"/>
    </row>
    <row r="1020" spans="3:41">
      <c r="C1020" s="136"/>
      <c r="D1020" s="136"/>
      <c r="F1020" s="15"/>
      <c r="G1020" s="138"/>
      <c r="H1020" s="138"/>
      <c r="I1020" s="126"/>
      <c r="J1020" s="15"/>
      <c r="K1020" s="15"/>
      <c r="L1020" s="20"/>
      <c r="M1020" s="20"/>
      <c r="N1020" s="126"/>
      <c r="O1020" s="126"/>
      <c r="P1020" s="126"/>
      <c r="Q1020" s="171"/>
      <c r="R1020" s="172"/>
      <c r="S1020" s="172"/>
      <c r="AE1020" s="143"/>
      <c r="AF1020" s="143"/>
      <c r="AG1020" s="143"/>
      <c r="AH1020" s="143"/>
      <c r="AI1020" s="143"/>
      <c r="AJ1020" s="143"/>
      <c r="AK1020" s="143"/>
      <c r="AL1020" s="144"/>
      <c r="AM1020" s="145"/>
      <c r="AN1020" s="147"/>
      <c r="AO1020" s="192"/>
    </row>
    <row r="1021" spans="3:41">
      <c r="C1021" s="136"/>
      <c r="D1021" s="136"/>
      <c r="F1021" s="15"/>
      <c r="G1021" s="138"/>
      <c r="H1021" s="138"/>
      <c r="I1021" s="126"/>
      <c r="J1021" s="15"/>
      <c r="K1021" s="15"/>
      <c r="L1021" s="20"/>
      <c r="M1021" s="20"/>
      <c r="N1021" s="126"/>
      <c r="O1021" s="126"/>
      <c r="P1021" s="126"/>
      <c r="Q1021" s="171"/>
      <c r="R1021" s="172"/>
      <c r="S1021" s="172"/>
      <c r="AE1021" s="143"/>
      <c r="AF1021" s="143"/>
      <c r="AG1021" s="143"/>
      <c r="AH1021" s="143"/>
      <c r="AI1021" s="143"/>
      <c r="AJ1021" s="143"/>
      <c r="AK1021" s="143"/>
      <c r="AL1021" s="144"/>
      <c r="AM1021" s="145"/>
      <c r="AN1021" s="144"/>
      <c r="AO1021" s="192"/>
    </row>
    <row r="1022" spans="3:41">
      <c r="C1022" s="136"/>
      <c r="D1022" s="136"/>
      <c r="F1022" s="15"/>
      <c r="G1022" s="138"/>
      <c r="H1022" s="138"/>
      <c r="I1022" s="126"/>
      <c r="J1022" s="15"/>
      <c r="K1022" s="15"/>
      <c r="L1022" s="20"/>
      <c r="M1022" s="20"/>
      <c r="N1022" s="126"/>
      <c r="O1022" s="126"/>
      <c r="P1022" s="126"/>
      <c r="Q1022" s="171"/>
      <c r="R1022" s="172"/>
      <c r="S1022" s="172"/>
      <c r="AE1022" s="143"/>
      <c r="AF1022" s="143"/>
      <c r="AG1022" s="143"/>
      <c r="AH1022" s="143"/>
      <c r="AI1022" s="143"/>
      <c r="AJ1022" s="143"/>
      <c r="AK1022" s="143"/>
      <c r="AL1022" s="144"/>
      <c r="AM1022" s="145"/>
      <c r="AN1022" s="147"/>
      <c r="AO1022" s="153"/>
    </row>
    <row r="1023" spans="3:41">
      <c r="C1023" s="136"/>
      <c r="D1023" s="136"/>
      <c r="F1023" s="15"/>
      <c r="G1023" s="138"/>
      <c r="H1023" s="138"/>
      <c r="I1023" s="126"/>
      <c r="J1023" s="15"/>
      <c r="K1023" s="15"/>
      <c r="L1023" s="20"/>
      <c r="M1023" s="20"/>
      <c r="N1023" s="126"/>
      <c r="O1023" s="126"/>
      <c r="P1023" s="126"/>
      <c r="Q1023" s="171"/>
      <c r="R1023" s="172"/>
      <c r="S1023" s="172"/>
      <c r="AE1023" s="143"/>
      <c r="AF1023" s="143"/>
      <c r="AG1023" s="143"/>
      <c r="AH1023" s="143"/>
      <c r="AI1023" s="143"/>
      <c r="AJ1023" s="143"/>
      <c r="AK1023" s="143"/>
      <c r="AL1023" s="144"/>
      <c r="AM1023" s="145"/>
      <c r="AN1023" s="143"/>
      <c r="AO1023" s="192"/>
    </row>
    <row r="1024" spans="3:41">
      <c r="C1024" s="136"/>
      <c r="D1024" s="136"/>
      <c r="F1024" s="15"/>
      <c r="G1024" s="138"/>
      <c r="H1024" s="138"/>
      <c r="I1024" s="126"/>
      <c r="J1024" s="15"/>
      <c r="K1024" s="15"/>
      <c r="L1024" s="20"/>
      <c r="M1024" s="20"/>
      <c r="N1024" s="126"/>
      <c r="O1024" s="126"/>
      <c r="P1024" s="126"/>
      <c r="Q1024" s="171"/>
      <c r="R1024" s="172"/>
      <c r="S1024" s="172"/>
      <c r="AE1024" s="143"/>
      <c r="AF1024" s="143"/>
      <c r="AG1024" s="143"/>
      <c r="AH1024" s="143"/>
      <c r="AI1024" s="143"/>
      <c r="AJ1024" s="143"/>
      <c r="AK1024" s="143"/>
      <c r="AL1024" s="143"/>
      <c r="AM1024" s="145"/>
      <c r="AN1024" s="143"/>
      <c r="AO1024" s="192"/>
    </row>
    <row r="1025" spans="3:41">
      <c r="C1025" s="136"/>
      <c r="D1025" s="136"/>
      <c r="F1025" s="15"/>
      <c r="G1025" s="138"/>
      <c r="H1025" s="138"/>
      <c r="I1025" s="126"/>
      <c r="J1025" s="15"/>
      <c r="K1025" s="15"/>
      <c r="L1025" s="20"/>
      <c r="M1025" s="20"/>
      <c r="N1025" s="126"/>
      <c r="O1025" s="126"/>
      <c r="P1025" s="126"/>
      <c r="Q1025" s="171"/>
      <c r="R1025" s="172"/>
      <c r="S1025" s="172"/>
      <c r="AE1025" s="143"/>
      <c r="AF1025" s="143"/>
      <c r="AG1025" s="143"/>
      <c r="AH1025" s="143"/>
      <c r="AI1025" s="143"/>
      <c r="AJ1025" s="143"/>
      <c r="AK1025" s="143"/>
      <c r="AL1025" s="143"/>
      <c r="AM1025" s="145"/>
      <c r="AN1025" s="143"/>
      <c r="AO1025" s="143"/>
    </row>
    <row r="1026" spans="3:41">
      <c r="C1026" s="136"/>
      <c r="D1026" s="136"/>
      <c r="F1026" s="15"/>
      <c r="G1026" s="138"/>
      <c r="H1026" s="138"/>
      <c r="I1026" s="126"/>
      <c r="J1026" s="15"/>
      <c r="K1026" s="15"/>
      <c r="L1026" s="20"/>
      <c r="M1026" s="20"/>
      <c r="N1026" s="126"/>
      <c r="O1026" s="126"/>
      <c r="P1026" s="126"/>
      <c r="Q1026" s="171"/>
      <c r="R1026" s="172"/>
      <c r="S1026" s="172"/>
      <c r="AE1026" s="143"/>
      <c r="AF1026" s="143"/>
      <c r="AG1026" s="143"/>
      <c r="AH1026" s="143"/>
      <c r="AI1026" s="143"/>
      <c r="AJ1026" s="143"/>
      <c r="AK1026" s="143"/>
      <c r="AL1026" s="143"/>
      <c r="AM1026" s="145"/>
      <c r="AN1026" s="153"/>
      <c r="AO1026" s="143"/>
    </row>
    <row r="1027" spans="3:41">
      <c r="C1027" s="136"/>
      <c r="D1027" s="136"/>
      <c r="F1027" s="15"/>
      <c r="G1027" s="138"/>
      <c r="H1027" s="138"/>
      <c r="I1027" s="126"/>
      <c r="J1027" s="15"/>
      <c r="K1027" s="15"/>
      <c r="L1027" s="20"/>
      <c r="M1027" s="20"/>
      <c r="N1027" s="126"/>
      <c r="O1027" s="126"/>
      <c r="P1027" s="126"/>
      <c r="Q1027" s="171"/>
      <c r="R1027" s="172"/>
      <c r="S1027" s="172"/>
      <c r="AE1027" s="143"/>
      <c r="AF1027" s="143"/>
      <c r="AG1027" s="143"/>
      <c r="AH1027" s="143"/>
      <c r="AI1027" s="143"/>
      <c r="AJ1027" s="143"/>
      <c r="AK1027" s="143"/>
      <c r="AL1027" s="143"/>
      <c r="AM1027" s="143"/>
      <c r="AN1027" s="153"/>
      <c r="AO1027" s="195"/>
    </row>
    <row r="1028" spans="3:41">
      <c r="C1028" s="136"/>
      <c r="D1028" s="136"/>
      <c r="F1028" s="15"/>
      <c r="G1028" s="138"/>
      <c r="H1028" s="138"/>
      <c r="I1028" s="126"/>
      <c r="J1028" s="15"/>
      <c r="K1028" s="15"/>
      <c r="L1028" s="20"/>
      <c r="M1028" s="20"/>
      <c r="N1028" s="126"/>
      <c r="O1028" s="126"/>
      <c r="P1028" s="126"/>
      <c r="Q1028" s="171"/>
      <c r="R1028" s="172"/>
      <c r="S1028" s="172"/>
      <c r="AE1028" s="143"/>
      <c r="AF1028" s="143"/>
      <c r="AG1028" s="143"/>
      <c r="AH1028" s="143"/>
      <c r="AI1028" s="143"/>
      <c r="AJ1028" s="143"/>
      <c r="AK1028" s="143"/>
      <c r="AL1028" s="143"/>
      <c r="AM1028" s="143"/>
      <c r="AN1028" s="153"/>
      <c r="AO1028" s="143"/>
    </row>
    <row r="1029" spans="3:41">
      <c r="C1029" s="136"/>
      <c r="D1029" s="136"/>
      <c r="F1029" s="15"/>
      <c r="G1029" s="138"/>
      <c r="H1029" s="138"/>
      <c r="I1029" s="126"/>
      <c r="J1029" s="15"/>
      <c r="K1029" s="15"/>
      <c r="L1029" s="20"/>
      <c r="M1029" s="20"/>
      <c r="N1029" s="126"/>
      <c r="O1029" s="126"/>
      <c r="P1029" s="126"/>
      <c r="Q1029" s="171"/>
      <c r="R1029" s="172"/>
      <c r="S1029" s="172"/>
      <c r="AE1029" s="143"/>
      <c r="AF1029" s="143"/>
      <c r="AG1029" s="143"/>
      <c r="AH1029" s="143"/>
      <c r="AI1029" s="143"/>
      <c r="AJ1029" s="143"/>
      <c r="AK1029" s="143"/>
      <c r="AL1029" s="143"/>
      <c r="AM1029" s="143"/>
      <c r="AN1029" s="153"/>
      <c r="AO1029" s="143"/>
    </row>
    <row r="1030" spans="3:41">
      <c r="C1030" s="136"/>
      <c r="D1030" s="136"/>
      <c r="F1030" s="15"/>
      <c r="G1030" s="138"/>
      <c r="H1030" s="138"/>
      <c r="I1030" s="126"/>
      <c r="J1030" s="15"/>
      <c r="K1030" s="15"/>
      <c r="L1030" s="20"/>
      <c r="M1030" s="20"/>
      <c r="N1030" s="126"/>
      <c r="O1030" s="126"/>
      <c r="P1030" s="126"/>
      <c r="Q1030" s="171"/>
      <c r="R1030" s="172"/>
      <c r="S1030" s="172"/>
      <c r="AE1030" s="143"/>
      <c r="AF1030" s="143"/>
      <c r="AG1030" s="143"/>
      <c r="AH1030" s="143"/>
      <c r="AI1030" s="143"/>
      <c r="AJ1030" s="143"/>
      <c r="AK1030" s="143"/>
      <c r="AL1030" s="143"/>
      <c r="AM1030" s="145"/>
      <c r="AN1030" s="153"/>
      <c r="AO1030" s="143"/>
    </row>
    <row r="1031" spans="3:41">
      <c r="C1031" s="136"/>
      <c r="D1031" s="136"/>
      <c r="F1031" s="15"/>
      <c r="G1031" s="138"/>
      <c r="H1031" s="138"/>
      <c r="I1031" s="126"/>
      <c r="J1031" s="15"/>
      <c r="K1031" s="15"/>
      <c r="L1031" s="20"/>
      <c r="M1031" s="20"/>
      <c r="N1031" s="126"/>
      <c r="O1031" s="126"/>
      <c r="P1031" s="126"/>
      <c r="Q1031" s="171"/>
      <c r="R1031" s="172"/>
      <c r="S1031" s="172"/>
      <c r="AE1031" s="143"/>
      <c r="AF1031" s="143"/>
      <c r="AG1031" s="143"/>
      <c r="AH1031" s="143"/>
      <c r="AI1031" s="143"/>
      <c r="AJ1031" s="143"/>
      <c r="AK1031" s="143"/>
      <c r="AL1031" s="143"/>
      <c r="AM1031" s="145"/>
      <c r="AN1031" s="153"/>
      <c r="AO1031" s="153"/>
    </row>
    <row r="1032" spans="3:41">
      <c r="C1032" s="136"/>
      <c r="D1032" s="136"/>
      <c r="F1032" s="15"/>
      <c r="G1032" s="138"/>
      <c r="H1032" s="138"/>
      <c r="I1032" s="126"/>
      <c r="J1032" s="15"/>
      <c r="K1032" s="15"/>
      <c r="L1032" s="20"/>
      <c r="M1032" s="20"/>
      <c r="N1032" s="126"/>
      <c r="O1032" s="126"/>
      <c r="P1032" s="126"/>
      <c r="Q1032" s="171"/>
      <c r="R1032" s="172"/>
      <c r="S1032" s="172"/>
      <c r="AE1032" s="143"/>
      <c r="AF1032" s="143"/>
      <c r="AG1032" s="143"/>
      <c r="AH1032" s="143"/>
      <c r="AI1032" s="143"/>
      <c r="AJ1032" s="143"/>
      <c r="AK1032" s="143"/>
      <c r="AL1032" s="143"/>
      <c r="AM1032" s="143"/>
      <c r="AN1032" s="153"/>
      <c r="AO1032" s="192"/>
    </row>
    <row r="1033" spans="3:41">
      <c r="C1033" s="136"/>
      <c r="D1033" s="136"/>
      <c r="F1033" s="15"/>
      <c r="G1033" s="138"/>
      <c r="H1033" s="138"/>
      <c r="I1033" s="126"/>
      <c r="J1033" s="15"/>
      <c r="K1033" s="15"/>
      <c r="L1033" s="20"/>
      <c r="M1033" s="20"/>
      <c r="N1033" s="126"/>
      <c r="O1033" s="126"/>
      <c r="P1033" s="126"/>
      <c r="Q1033" s="171"/>
      <c r="R1033" s="172"/>
      <c r="S1033" s="172"/>
      <c r="AE1033" s="143"/>
      <c r="AF1033" s="143"/>
      <c r="AG1033" s="143"/>
      <c r="AH1033" s="143"/>
      <c r="AI1033" s="143"/>
      <c r="AJ1033" s="143"/>
      <c r="AK1033" s="143"/>
      <c r="AL1033" s="143"/>
      <c r="AM1033" s="145"/>
      <c r="AN1033" s="153"/>
      <c r="AO1033" s="153"/>
    </row>
    <row r="1034" spans="3:41">
      <c r="C1034" s="136"/>
      <c r="D1034" s="136"/>
      <c r="F1034" s="15"/>
      <c r="G1034" s="138"/>
      <c r="H1034" s="138"/>
      <c r="I1034" s="126"/>
      <c r="J1034" s="15"/>
      <c r="K1034" s="15"/>
      <c r="L1034" s="20"/>
      <c r="M1034" s="20"/>
      <c r="N1034" s="126"/>
      <c r="O1034" s="126"/>
      <c r="P1034" s="126"/>
      <c r="Q1034" s="171"/>
      <c r="R1034" s="172"/>
      <c r="S1034" s="172"/>
      <c r="AE1034" s="143"/>
      <c r="AF1034" s="143"/>
      <c r="AG1034" s="143"/>
      <c r="AH1034" s="143"/>
      <c r="AI1034" s="143"/>
      <c r="AJ1034" s="143"/>
      <c r="AK1034" s="143"/>
      <c r="AL1034" s="143"/>
      <c r="AM1034" s="143"/>
      <c r="AN1034" s="153"/>
      <c r="AO1034" s="143"/>
    </row>
    <row r="1035" spans="3:41">
      <c r="C1035" s="136"/>
      <c r="D1035" s="136"/>
      <c r="F1035" s="15"/>
      <c r="G1035" s="138"/>
      <c r="H1035" s="138"/>
      <c r="I1035" s="126"/>
      <c r="J1035" s="15"/>
      <c r="K1035" s="15"/>
      <c r="L1035" s="20"/>
      <c r="M1035" s="20"/>
      <c r="N1035" s="126"/>
      <c r="O1035" s="126"/>
      <c r="P1035" s="126"/>
      <c r="Q1035" s="171"/>
      <c r="R1035" s="172"/>
      <c r="S1035" s="172"/>
      <c r="AE1035" s="143"/>
      <c r="AF1035" s="143"/>
      <c r="AG1035" s="143"/>
      <c r="AH1035" s="143"/>
      <c r="AI1035" s="194"/>
      <c r="AJ1035" s="143"/>
      <c r="AK1035" s="143"/>
      <c r="AL1035" s="143"/>
      <c r="AM1035" s="145"/>
      <c r="AN1035" s="143"/>
      <c r="AO1035" s="143"/>
    </row>
    <row r="1036" spans="3:41">
      <c r="C1036" s="136"/>
      <c r="D1036" s="136"/>
      <c r="F1036" s="15"/>
      <c r="G1036" s="138"/>
      <c r="H1036" s="138"/>
      <c r="I1036" s="126"/>
      <c r="J1036" s="15"/>
      <c r="K1036" s="15"/>
      <c r="L1036" s="20"/>
      <c r="M1036" s="20"/>
      <c r="N1036" s="126"/>
      <c r="O1036" s="126"/>
      <c r="P1036" s="126"/>
      <c r="Q1036" s="171"/>
      <c r="R1036" s="172"/>
      <c r="S1036" s="172"/>
      <c r="AE1036" s="143"/>
      <c r="AF1036" s="143"/>
      <c r="AG1036" s="143"/>
      <c r="AH1036" s="143"/>
      <c r="AI1036" s="194"/>
      <c r="AJ1036" s="143"/>
      <c r="AK1036" s="143"/>
      <c r="AL1036" s="143"/>
      <c r="AM1036" s="145"/>
      <c r="AN1036" s="143"/>
      <c r="AO1036" s="143"/>
    </row>
    <row r="1037" spans="3:41">
      <c r="C1037" s="136"/>
      <c r="D1037" s="136"/>
      <c r="F1037" s="15"/>
      <c r="G1037" s="138"/>
      <c r="H1037" s="138"/>
      <c r="I1037" s="126"/>
      <c r="J1037" s="15"/>
      <c r="K1037" s="15"/>
      <c r="L1037" s="20"/>
      <c r="M1037" s="20"/>
      <c r="N1037" s="126"/>
      <c r="O1037" s="126"/>
      <c r="P1037" s="126"/>
      <c r="Q1037" s="171"/>
      <c r="R1037" s="172"/>
      <c r="S1037" s="172"/>
      <c r="AE1037" s="143"/>
      <c r="AF1037" s="143"/>
      <c r="AG1037" s="143"/>
      <c r="AH1037" s="143"/>
      <c r="AI1037" s="194"/>
      <c r="AJ1037" s="143"/>
      <c r="AK1037" s="143"/>
      <c r="AL1037" s="143"/>
      <c r="AM1037" s="145"/>
      <c r="AN1037" s="143"/>
      <c r="AO1037" s="153"/>
    </row>
    <row r="1038" spans="3:41">
      <c r="C1038" s="136"/>
      <c r="D1038" s="136"/>
      <c r="F1038" s="15"/>
      <c r="G1038" s="138"/>
      <c r="H1038" s="138"/>
      <c r="I1038" s="126"/>
      <c r="J1038" s="15"/>
      <c r="K1038" s="15"/>
      <c r="L1038" s="20"/>
      <c r="M1038" s="20"/>
      <c r="N1038" s="126"/>
      <c r="O1038" s="126"/>
      <c r="P1038" s="126"/>
      <c r="Q1038" s="171"/>
      <c r="R1038" s="172"/>
      <c r="S1038" s="172"/>
      <c r="AE1038" s="143"/>
      <c r="AF1038" s="143"/>
      <c r="AG1038" s="143"/>
      <c r="AH1038" s="143"/>
      <c r="AI1038" s="194"/>
      <c r="AJ1038" s="143"/>
      <c r="AK1038" s="143"/>
      <c r="AL1038" s="143"/>
      <c r="AM1038" s="145"/>
      <c r="AN1038" s="143"/>
      <c r="AO1038" s="143"/>
    </row>
    <row r="1039" spans="3:41">
      <c r="C1039" s="136"/>
      <c r="D1039" s="136"/>
      <c r="F1039" s="15"/>
      <c r="G1039" s="138"/>
      <c r="H1039" s="138"/>
      <c r="I1039" s="126"/>
      <c r="J1039" s="15"/>
      <c r="K1039" s="15"/>
      <c r="L1039" s="20"/>
      <c r="M1039" s="20"/>
      <c r="N1039" s="126"/>
      <c r="O1039" s="126"/>
      <c r="P1039" s="126"/>
      <c r="Q1039" s="171"/>
      <c r="R1039" s="172"/>
      <c r="S1039" s="172"/>
      <c r="AE1039" s="143"/>
      <c r="AF1039" s="143"/>
      <c r="AG1039" s="143"/>
      <c r="AH1039" s="143"/>
      <c r="AI1039" s="194"/>
      <c r="AJ1039" s="143"/>
      <c r="AK1039" s="143"/>
      <c r="AL1039" s="143"/>
      <c r="AM1039" s="145"/>
      <c r="AN1039" s="143"/>
      <c r="AO1039" s="143"/>
    </row>
    <row r="1040" spans="3:41">
      <c r="C1040" s="136"/>
      <c r="D1040" s="136"/>
      <c r="F1040" s="15"/>
      <c r="G1040" s="138"/>
      <c r="H1040" s="138"/>
      <c r="I1040" s="126"/>
      <c r="J1040" s="15"/>
      <c r="K1040" s="15"/>
      <c r="L1040" s="20"/>
      <c r="M1040" s="20"/>
      <c r="N1040" s="126"/>
      <c r="O1040" s="126"/>
      <c r="P1040" s="126"/>
      <c r="Q1040" s="171"/>
      <c r="R1040" s="172"/>
      <c r="S1040" s="172"/>
      <c r="AE1040" s="143"/>
      <c r="AF1040" s="143"/>
      <c r="AG1040" s="143"/>
      <c r="AH1040" s="143"/>
      <c r="AI1040" s="194"/>
      <c r="AJ1040" s="143"/>
      <c r="AK1040" s="143"/>
      <c r="AL1040" s="143"/>
      <c r="AM1040" s="145"/>
      <c r="AN1040" s="143"/>
      <c r="AO1040" s="143"/>
    </row>
    <row r="1041" spans="3:41">
      <c r="C1041" s="136"/>
      <c r="D1041" s="136"/>
      <c r="F1041" s="15"/>
      <c r="G1041" s="138"/>
      <c r="H1041" s="138"/>
      <c r="I1041" s="126"/>
      <c r="J1041" s="15"/>
      <c r="K1041" s="15"/>
      <c r="L1041" s="20"/>
      <c r="M1041" s="20"/>
      <c r="N1041" s="126"/>
      <c r="O1041" s="126"/>
      <c r="P1041" s="126"/>
      <c r="Q1041" s="171"/>
      <c r="R1041" s="172"/>
      <c r="S1041" s="172"/>
      <c r="AE1041" s="143"/>
      <c r="AF1041" s="143"/>
      <c r="AG1041" s="143"/>
      <c r="AH1041" s="143"/>
      <c r="AI1041" s="143"/>
      <c r="AJ1041" s="143"/>
      <c r="AK1041" s="143"/>
      <c r="AL1041" s="143"/>
      <c r="AM1041" s="145"/>
      <c r="AN1041" s="143"/>
      <c r="AO1041" s="153"/>
    </row>
    <row r="1042" spans="3:41">
      <c r="C1042" s="136"/>
      <c r="D1042" s="136"/>
      <c r="F1042" s="15"/>
      <c r="G1042" s="138"/>
      <c r="H1042" s="138"/>
      <c r="I1042" s="126"/>
      <c r="J1042" s="15"/>
      <c r="K1042" s="15"/>
      <c r="L1042" s="20"/>
      <c r="M1042" s="20"/>
      <c r="N1042" s="126"/>
      <c r="O1042" s="126"/>
      <c r="P1042" s="126"/>
      <c r="Q1042" s="171"/>
      <c r="R1042" s="172"/>
      <c r="S1042" s="172"/>
      <c r="AE1042" s="143"/>
      <c r="AF1042" s="143"/>
      <c r="AG1042" s="143"/>
      <c r="AH1042" s="143"/>
      <c r="AI1042" s="143"/>
      <c r="AJ1042" s="143"/>
      <c r="AK1042" s="143"/>
      <c r="AL1042" s="143"/>
      <c r="AM1042" s="145"/>
      <c r="AN1042" s="143"/>
      <c r="AO1042" s="143"/>
    </row>
    <row r="1043" spans="3:41">
      <c r="C1043" s="136"/>
      <c r="D1043" s="136"/>
      <c r="F1043" s="15"/>
      <c r="G1043" s="138"/>
      <c r="H1043" s="138"/>
      <c r="I1043" s="126"/>
      <c r="J1043" s="15"/>
      <c r="K1043" s="15"/>
      <c r="L1043" s="20"/>
      <c r="M1043" s="20"/>
      <c r="N1043" s="126"/>
      <c r="O1043" s="126"/>
      <c r="P1043" s="126"/>
      <c r="Q1043" s="171"/>
      <c r="R1043" s="172"/>
      <c r="S1043" s="172"/>
      <c r="AE1043" s="143"/>
      <c r="AF1043" s="143"/>
      <c r="AG1043" s="143"/>
      <c r="AH1043" s="143"/>
      <c r="AI1043" s="143"/>
      <c r="AJ1043" s="143"/>
      <c r="AK1043" s="143"/>
      <c r="AL1043" s="143"/>
      <c r="AM1043" s="145"/>
      <c r="AN1043" s="153"/>
      <c r="AO1043" s="143"/>
    </row>
    <row r="1044" spans="3:41">
      <c r="C1044" s="136"/>
      <c r="D1044" s="136"/>
      <c r="F1044" s="15"/>
      <c r="G1044" s="138"/>
      <c r="H1044" s="138"/>
      <c r="I1044" s="126"/>
      <c r="J1044" s="15"/>
      <c r="K1044" s="15"/>
      <c r="L1044" s="20"/>
      <c r="M1044" s="20"/>
      <c r="N1044" s="126"/>
      <c r="O1044" s="126"/>
      <c r="P1044" s="126"/>
      <c r="Q1044" s="171"/>
      <c r="R1044" s="172"/>
      <c r="S1044" s="172"/>
      <c r="AE1044" s="143"/>
      <c r="AF1044" s="143"/>
      <c r="AG1044" s="143"/>
      <c r="AH1044" s="143"/>
      <c r="AI1044" s="143"/>
      <c r="AJ1044" s="143"/>
      <c r="AK1044" s="143"/>
      <c r="AL1044" s="143"/>
      <c r="AM1044" s="145"/>
      <c r="AN1044" s="153"/>
      <c r="AO1044" s="143"/>
    </row>
    <row r="1045" spans="3:41">
      <c r="C1045" s="136"/>
      <c r="D1045" s="136"/>
      <c r="F1045" s="15"/>
      <c r="G1045" s="138"/>
      <c r="H1045" s="138"/>
      <c r="I1045" s="126"/>
      <c r="J1045" s="15"/>
      <c r="K1045" s="15"/>
      <c r="L1045" s="20"/>
      <c r="M1045" s="20"/>
      <c r="N1045" s="126"/>
      <c r="O1045" s="126"/>
      <c r="P1045" s="126"/>
      <c r="Q1045" s="171"/>
      <c r="R1045" s="172"/>
      <c r="S1045" s="172"/>
      <c r="AE1045" s="143"/>
      <c r="AF1045" s="143"/>
      <c r="AG1045" s="143"/>
      <c r="AH1045" s="143"/>
      <c r="AI1045" s="143"/>
      <c r="AJ1045" s="143"/>
      <c r="AK1045" s="143"/>
      <c r="AL1045" s="143"/>
      <c r="AM1045" s="145"/>
      <c r="AN1045" s="153"/>
      <c r="AO1045" s="143"/>
    </row>
    <row r="1046" spans="3:41">
      <c r="C1046" s="136"/>
      <c r="D1046" s="136"/>
      <c r="F1046" s="15"/>
      <c r="G1046" s="138"/>
      <c r="H1046" s="138"/>
      <c r="I1046" s="126"/>
      <c r="J1046" s="15"/>
      <c r="K1046" s="15"/>
      <c r="L1046" s="20"/>
      <c r="M1046" s="20"/>
      <c r="N1046" s="126"/>
      <c r="O1046" s="126"/>
      <c r="P1046" s="126"/>
      <c r="Q1046" s="171"/>
      <c r="R1046" s="172"/>
      <c r="S1046" s="172"/>
      <c r="AE1046" s="143"/>
      <c r="AF1046" s="143"/>
      <c r="AG1046" s="143"/>
      <c r="AH1046" s="143"/>
      <c r="AI1046" s="143"/>
      <c r="AJ1046" s="143"/>
      <c r="AK1046" s="143"/>
      <c r="AL1046" s="143"/>
      <c r="AM1046" s="145"/>
      <c r="AN1046" s="143"/>
      <c r="AO1046" s="153"/>
    </row>
    <row r="1047" spans="3:41">
      <c r="C1047" s="136"/>
      <c r="D1047" s="136"/>
      <c r="F1047" s="15"/>
      <c r="G1047" s="138"/>
      <c r="H1047" s="138"/>
      <c r="I1047" s="126"/>
      <c r="J1047" s="15"/>
      <c r="K1047" s="15"/>
      <c r="L1047" s="20"/>
      <c r="M1047" s="20"/>
      <c r="N1047" s="126"/>
      <c r="O1047" s="126"/>
      <c r="P1047" s="126"/>
      <c r="Q1047" s="171"/>
      <c r="R1047" s="172"/>
      <c r="S1047" s="172"/>
      <c r="AE1047" s="143"/>
      <c r="AF1047" s="143"/>
      <c r="AG1047" s="143"/>
      <c r="AH1047" s="143"/>
      <c r="AI1047" s="143"/>
      <c r="AJ1047" s="143"/>
      <c r="AK1047" s="143"/>
      <c r="AL1047" s="143"/>
      <c r="AM1047" s="145"/>
      <c r="AN1047" s="153"/>
      <c r="AO1047" s="143"/>
    </row>
    <row r="1048" spans="3:41">
      <c r="C1048" s="136"/>
      <c r="D1048" s="136"/>
      <c r="F1048" s="15"/>
      <c r="G1048" s="138"/>
      <c r="H1048" s="138"/>
      <c r="I1048" s="126"/>
      <c r="J1048" s="15"/>
      <c r="K1048" s="15"/>
      <c r="L1048" s="20"/>
      <c r="M1048" s="20"/>
      <c r="N1048" s="126"/>
      <c r="O1048" s="126"/>
      <c r="P1048" s="126"/>
      <c r="Q1048" s="171"/>
      <c r="R1048" s="172"/>
      <c r="S1048" s="172"/>
      <c r="AE1048" s="143"/>
      <c r="AF1048" s="143"/>
      <c r="AG1048" s="143"/>
      <c r="AH1048" s="143"/>
      <c r="AI1048" s="143"/>
      <c r="AJ1048" s="143"/>
      <c r="AK1048" s="143"/>
      <c r="AL1048" s="143"/>
      <c r="AM1048" s="145"/>
      <c r="AN1048" s="153"/>
      <c r="AO1048" s="153"/>
    </row>
    <row r="1049" spans="3:41">
      <c r="C1049" s="136"/>
      <c r="D1049" s="136"/>
      <c r="F1049" s="15"/>
      <c r="G1049" s="138"/>
      <c r="H1049" s="138"/>
      <c r="I1049" s="126"/>
      <c r="J1049" s="15"/>
      <c r="K1049" s="15"/>
      <c r="L1049" s="20"/>
      <c r="M1049" s="20"/>
      <c r="N1049" s="126"/>
      <c r="O1049" s="126"/>
      <c r="P1049" s="126"/>
      <c r="Q1049" s="171"/>
      <c r="R1049" s="172"/>
      <c r="S1049" s="172"/>
      <c r="AE1049" s="143"/>
      <c r="AF1049" s="143"/>
      <c r="AG1049" s="143"/>
      <c r="AH1049" s="143"/>
      <c r="AI1049" s="143"/>
      <c r="AJ1049" s="143"/>
      <c r="AK1049" s="143"/>
      <c r="AL1049" s="143"/>
      <c r="AM1049" s="145"/>
      <c r="AN1049" s="143"/>
      <c r="AO1049" s="153"/>
    </row>
    <row r="1050" spans="3:41">
      <c r="C1050" s="136"/>
      <c r="D1050" s="136"/>
      <c r="F1050" s="15"/>
      <c r="G1050" s="138"/>
      <c r="H1050" s="138"/>
      <c r="I1050" s="126"/>
      <c r="J1050" s="15"/>
      <c r="K1050" s="15"/>
      <c r="L1050" s="20"/>
      <c r="M1050" s="20"/>
      <c r="N1050" s="126"/>
      <c r="O1050" s="126"/>
      <c r="P1050" s="126"/>
      <c r="Q1050" s="171"/>
      <c r="R1050" s="172"/>
      <c r="S1050" s="172"/>
      <c r="AE1050" s="143"/>
      <c r="AF1050" s="143"/>
      <c r="AG1050" s="143"/>
      <c r="AH1050" s="143"/>
      <c r="AI1050" s="143"/>
      <c r="AJ1050" s="143"/>
      <c r="AK1050" s="143"/>
      <c r="AL1050" s="143"/>
      <c r="AM1050" s="145"/>
      <c r="AN1050" s="153"/>
      <c r="AO1050" s="143"/>
    </row>
    <row r="1051" spans="3:41">
      <c r="C1051" s="136"/>
      <c r="D1051" s="136"/>
      <c r="F1051" s="15"/>
      <c r="G1051" s="138"/>
      <c r="H1051" s="138"/>
      <c r="I1051" s="126"/>
      <c r="J1051" s="15"/>
      <c r="K1051" s="15"/>
      <c r="L1051" s="20"/>
      <c r="M1051" s="20"/>
      <c r="N1051" s="126"/>
      <c r="O1051" s="126"/>
      <c r="P1051" s="126"/>
      <c r="Q1051" s="171"/>
      <c r="R1051" s="172"/>
      <c r="S1051" s="172"/>
      <c r="AE1051" s="143"/>
      <c r="AF1051" s="143"/>
      <c r="AG1051" s="143"/>
      <c r="AH1051" s="143"/>
      <c r="AI1051" s="143"/>
      <c r="AJ1051" s="143"/>
      <c r="AK1051" s="143"/>
      <c r="AL1051" s="143"/>
      <c r="AM1051" s="145"/>
      <c r="AN1051" s="153"/>
      <c r="AO1051" s="153"/>
    </row>
    <row r="1052" spans="3:41">
      <c r="C1052" s="136"/>
      <c r="D1052" s="136"/>
      <c r="F1052" s="15"/>
      <c r="G1052" s="138"/>
      <c r="H1052" s="138"/>
      <c r="I1052" s="126"/>
      <c r="J1052" s="15"/>
      <c r="K1052" s="15"/>
      <c r="L1052" s="20"/>
      <c r="M1052" s="20"/>
      <c r="N1052" s="126"/>
      <c r="O1052" s="126"/>
      <c r="P1052" s="126"/>
      <c r="Q1052" s="171"/>
      <c r="R1052" s="172"/>
      <c r="S1052" s="172"/>
      <c r="AE1052" s="143"/>
      <c r="AF1052" s="143"/>
      <c r="AG1052" s="143"/>
      <c r="AH1052" s="143"/>
      <c r="AI1052" s="143"/>
      <c r="AJ1052" s="143"/>
      <c r="AK1052" s="143"/>
      <c r="AL1052" s="143"/>
      <c r="AM1052" s="145"/>
      <c r="AN1052" s="153"/>
      <c r="AO1052" s="153"/>
    </row>
    <row r="1053" spans="3:41">
      <c r="C1053" s="136"/>
      <c r="D1053" s="136"/>
      <c r="F1053" s="15"/>
      <c r="G1053" s="138"/>
      <c r="H1053" s="138"/>
      <c r="I1053" s="126"/>
      <c r="J1053" s="15"/>
      <c r="K1053" s="15"/>
      <c r="L1053" s="20"/>
      <c r="M1053" s="20"/>
      <c r="N1053" s="126"/>
      <c r="O1053" s="126"/>
      <c r="P1053" s="126"/>
      <c r="Q1053" s="171"/>
      <c r="R1053" s="172"/>
      <c r="S1053" s="172"/>
      <c r="AE1053" s="143"/>
      <c r="AF1053" s="143"/>
      <c r="AG1053" s="143"/>
      <c r="AH1053" s="143"/>
      <c r="AI1053" s="143"/>
      <c r="AJ1053" s="143"/>
      <c r="AK1053" s="143"/>
      <c r="AL1053" s="143"/>
      <c r="AM1053" s="145"/>
      <c r="AN1053" s="153"/>
      <c r="AO1053" s="143"/>
    </row>
    <row r="1054" spans="3:41">
      <c r="C1054" s="136"/>
      <c r="D1054" s="136"/>
      <c r="F1054" s="15"/>
      <c r="G1054" s="138"/>
      <c r="H1054" s="138"/>
      <c r="I1054" s="126"/>
      <c r="J1054" s="15"/>
      <c r="K1054" s="15"/>
      <c r="L1054" s="20"/>
      <c r="M1054" s="20"/>
      <c r="N1054" s="126"/>
      <c r="O1054" s="126"/>
      <c r="P1054" s="126"/>
      <c r="Q1054" s="171"/>
      <c r="R1054" s="172"/>
      <c r="S1054" s="172"/>
      <c r="AE1054" s="143"/>
      <c r="AF1054" s="143"/>
      <c r="AG1054" s="143"/>
      <c r="AH1054" s="143"/>
      <c r="AI1054" s="143"/>
      <c r="AJ1054" s="143"/>
      <c r="AK1054" s="143"/>
      <c r="AL1054" s="143"/>
      <c r="AM1054" s="145"/>
      <c r="AN1054" s="153"/>
      <c r="AO1054" s="143"/>
    </row>
    <row r="1055" spans="3:41">
      <c r="C1055" s="136"/>
      <c r="D1055" s="136"/>
      <c r="F1055" s="15"/>
      <c r="G1055" s="138"/>
      <c r="H1055" s="138"/>
      <c r="I1055" s="126"/>
      <c r="J1055" s="15"/>
      <c r="K1055" s="15"/>
      <c r="L1055" s="20"/>
      <c r="M1055" s="20"/>
      <c r="N1055" s="126"/>
      <c r="O1055" s="126"/>
      <c r="P1055" s="126"/>
      <c r="Q1055" s="171"/>
      <c r="R1055" s="172"/>
      <c r="S1055" s="172"/>
      <c r="AE1055" s="143"/>
      <c r="AF1055" s="143"/>
      <c r="AG1055" s="143"/>
      <c r="AH1055" s="143"/>
      <c r="AI1055" s="143"/>
      <c r="AJ1055" s="143"/>
      <c r="AK1055" s="143"/>
      <c r="AL1055" s="143"/>
      <c r="AM1055" s="145"/>
      <c r="AN1055" s="153"/>
      <c r="AO1055" s="143"/>
    </row>
    <row r="1056" spans="3:41">
      <c r="C1056" s="136"/>
      <c r="D1056" s="136"/>
      <c r="F1056" s="15"/>
      <c r="G1056" s="138"/>
      <c r="H1056" s="138"/>
      <c r="I1056" s="126"/>
      <c r="J1056" s="15"/>
      <c r="K1056" s="15"/>
      <c r="L1056" s="20"/>
      <c r="M1056" s="20"/>
      <c r="N1056" s="126"/>
      <c r="O1056" s="126"/>
      <c r="P1056" s="126"/>
      <c r="Q1056" s="171"/>
      <c r="R1056" s="172"/>
      <c r="S1056" s="172"/>
      <c r="AE1056" s="143"/>
      <c r="AF1056" s="143"/>
      <c r="AG1056" s="143"/>
      <c r="AH1056" s="143"/>
      <c r="AI1056" s="143"/>
      <c r="AJ1056" s="143"/>
      <c r="AK1056" s="143"/>
      <c r="AL1056" s="143"/>
      <c r="AM1056" s="145"/>
      <c r="AN1056" s="143"/>
      <c r="AO1056" s="143"/>
    </row>
    <row r="1057" spans="3:41">
      <c r="C1057" s="136"/>
      <c r="D1057" s="136"/>
      <c r="F1057" s="15"/>
      <c r="G1057" s="138"/>
      <c r="H1057" s="138"/>
      <c r="I1057" s="126"/>
      <c r="J1057" s="15"/>
      <c r="K1057" s="15"/>
      <c r="L1057" s="20"/>
      <c r="M1057" s="20"/>
      <c r="N1057" s="126"/>
      <c r="O1057" s="126"/>
      <c r="P1057" s="126"/>
      <c r="Q1057" s="171"/>
      <c r="R1057" s="172"/>
      <c r="S1057" s="172"/>
      <c r="AE1057" s="143"/>
      <c r="AF1057" s="143"/>
      <c r="AG1057" s="143"/>
      <c r="AH1057" s="143"/>
      <c r="AI1057" s="143"/>
      <c r="AJ1057" s="143"/>
      <c r="AK1057" s="143"/>
      <c r="AL1057" s="143"/>
      <c r="AM1057" s="145"/>
      <c r="AN1057" s="153"/>
      <c r="AO1057" s="143"/>
    </row>
    <row r="1058" spans="3:41">
      <c r="C1058" s="136"/>
      <c r="D1058" s="136"/>
      <c r="F1058" s="15"/>
      <c r="G1058" s="138"/>
      <c r="H1058" s="138"/>
      <c r="I1058" s="126"/>
      <c r="J1058" s="15"/>
      <c r="K1058" s="15"/>
      <c r="L1058" s="20"/>
      <c r="M1058" s="20"/>
      <c r="N1058" s="126"/>
      <c r="O1058" s="126"/>
      <c r="P1058" s="126"/>
      <c r="Q1058" s="171"/>
      <c r="R1058" s="172"/>
      <c r="S1058" s="172"/>
      <c r="AE1058" s="143"/>
      <c r="AF1058" s="143"/>
      <c r="AG1058" s="143"/>
      <c r="AH1058" s="143"/>
      <c r="AI1058" s="143"/>
      <c r="AJ1058" s="143"/>
      <c r="AK1058" s="143"/>
      <c r="AL1058" s="143"/>
      <c r="AM1058" s="145"/>
      <c r="AN1058" s="153"/>
      <c r="AO1058" s="143"/>
    </row>
    <row r="1059" spans="3:41">
      <c r="C1059" s="136"/>
      <c r="D1059" s="136"/>
      <c r="F1059" s="15"/>
      <c r="G1059" s="138"/>
      <c r="H1059" s="138"/>
      <c r="I1059" s="126"/>
      <c r="J1059" s="15"/>
      <c r="K1059" s="15"/>
      <c r="L1059" s="20"/>
      <c r="M1059" s="20"/>
      <c r="N1059" s="126"/>
      <c r="O1059" s="126"/>
      <c r="P1059" s="126"/>
      <c r="Q1059" s="171"/>
      <c r="R1059" s="172"/>
      <c r="S1059" s="172"/>
      <c r="AE1059" s="143"/>
      <c r="AF1059" s="143"/>
      <c r="AG1059" s="143"/>
      <c r="AH1059" s="143"/>
      <c r="AI1059" s="143"/>
      <c r="AJ1059" s="143"/>
      <c r="AK1059" s="143"/>
      <c r="AL1059" s="143"/>
      <c r="AM1059" s="145"/>
      <c r="AN1059" s="153"/>
      <c r="AO1059" s="143"/>
    </row>
    <row r="1060" spans="3:41">
      <c r="C1060" s="136"/>
      <c r="D1060" s="136"/>
      <c r="F1060" s="15"/>
      <c r="G1060" s="138"/>
      <c r="H1060" s="138"/>
      <c r="I1060" s="126"/>
      <c r="J1060" s="15"/>
      <c r="K1060" s="15"/>
      <c r="L1060" s="20"/>
      <c r="M1060" s="20"/>
      <c r="N1060" s="126"/>
      <c r="O1060" s="126"/>
      <c r="P1060" s="126"/>
      <c r="Q1060" s="171"/>
      <c r="R1060" s="172"/>
      <c r="S1060" s="172"/>
      <c r="AE1060" s="143"/>
      <c r="AF1060" s="143"/>
      <c r="AG1060" s="143"/>
      <c r="AH1060" s="143"/>
      <c r="AI1060" s="143"/>
      <c r="AJ1060" s="143"/>
      <c r="AK1060" s="143"/>
      <c r="AL1060" s="143"/>
      <c r="AM1060" s="145"/>
      <c r="AN1060" s="153"/>
      <c r="AO1060" s="143"/>
    </row>
    <row r="1061" spans="3:41">
      <c r="C1061" s="136"/>
      <c r="D1061" s="136"/>
      <c r="F1061" s="15"/>
      <c r="G1061" s="138"/>
      <c r="H1061" s="138"/>
      <c r="I1061" s="126"/>
      <c r="J1061" s="15"/>
      <c r="K1061" s="15"/>
      <c r="L1061" s="20"/>
      <c r="M1061" s="20"/>
      <c r="N1061" s="126"/>
      <c r="O1061" s="126"/>
      <c r="P1061" s="126"/>
      <c r="Q1061" s="171"/>
      <c r="R1061" s="172"/>
      <c r="S1061" s="172"/>
      <c r="AE1061" s="143"/>
      <c r="AF1061" s="143"/>
      <c r="AG1061" s="143"/>
      <c r="AH1061" s="143"/>
      <c r="AI1061" s="143"/>
      <c r="AJ1061" s="143"/>
      <c r="AK1061" s="143"/>
      <c r="AL1061" s="143"/>
      <c r="AM1061" s="145"/>
      <c r="AN1061" s="143"/>
      <c r="AO1061" s="143"/>
    </row>
    <row r="1062" spans="3:41">
      <c r="C1062" s="136"/>
      <c r="D1062" s="136"/>
      <c r="F1062" s="15"/>
      <c r="G1062" s="138"/>
      <c r="H1062" s="138"/>
      <c r="I1062" s="126"/>
      <c r="J1062" s="15"/>
      <c r="K1062" s="15"/>
      <c r="L1062" s="20"/>
      <c r="M1062" s="20"/>
      <c r="N1062" s="126"/>
      <c r="O1062" s="126"/>
      <c r="P1062" s="126"/>
      <c r="Q1062" s="171"/>
      <c r="R1062" s="172"/>
      <c r="S1062" s="172"/>
      <c r="AE1062" s="143"/>
      <c r="AF1062" s="143"/>
      <c r="AG1062" s="143"/>
      <c r="AH1062" s="143"/>
      <c r="AI1062" s="143"/>
      <c r="AJ1062" s="143"/>
      <c r="AK1062" s="143"/>
      <c r="AL1062" s="143"/>
      <c r="AM1062" s="145"/>
      <c r="AN1062" s="153"/>
      <c r="AO1062" s="143"/>
    </row>
    <row r="1063" spans="3:41">
      <c r="C1063" s="136"/>
      <c r="D1063" s="136"/>
      <c r="F1063" s="15"/>
      <c r="G1063" s="138"/>
      <c r="H1063" s="138"/>
      <c r="I1063" s="126"/>
      <c r="J1063" s="15"/>
      <c r="K1063" s="15"/>
      <c r="L1063" s="20"/>
      <c r="M1063" s="20"/>
      <c r="N1063" s="126"/>
      <c r="O1063" s="126"/>
      <c r="P1063" s="126"/>
      <c r="Q1063" s="171"/>
      <c r="R1063" s="172"/>
      <c r="S1063" s="172"/>
      <c r="AE1063" s="143"/>
      <c r="AF1063" s="143"/>
      <c r="AG1063" s="143"/>
      <c r="AH1063" s="143"/>
      <c r="AI1063" s="143"/>
      <c r="AJ1063" s="143"/>
      <c r="AK1063" s="143"/>
      <c r="AL1063" s="143"/>
      <c r="AM1063" s="145"/>
      <c r="AN1063" s="153"/>
      <c r="AO1063" s="143"/>
    </row>
    <row r="1064" spans="3:41">
      <c r="C1064" s="136"/>
      <c r="D1064" s="136"/>
      <c r="F1064" s="15"/>
      <c r="G1064" s="138"/>
      <c r="H1064" s="138"/>
      <c r="I1064" s="126"/>
      <c r="J1064" s="15"/>
      <c r="K1064" s="15"/>
      <c r="L1064" s="20"/>
      <c r="M1064" s="20"/>
      <c r="N1064" s="126"/>
      <c r="O1064" s="126"/>
      <c r="P1064" s="126"/>
      <c r="Q1064" s="171"/>
      <c r="R1064" s="172"/>
      <c r="S1064" s="172"/>
      <c r="AE1064" s="143"/>
      <c r="AF1064" s="143"/>
      <c r="AG1064" s="143"/>
      <c r="AH1064" s="143"/>
      <c r="AI1064" s="143"/>
      <c r="AJ1064" s="143"/>
      <c r="AK1064" s="143"/>
      <c r="AL1064" s="143"/>
      <c r="AM1064" s="145"/>
      <c r="AN1064" s="153"/>
      <c r="AO1064" s="143"/>
    </row>
    <row r="1065" spans="3:41">
      <c r="C1065" s="136"/>
      <c r="D1065" s="136"/>
      <c r="F1065" s="15"/>
      <c r="G1065" s="138"/>
      <c r="H1065" s="138"/>
      <c r="I1065" s="126"/>
      <c r="J1065" s="15"/>
      <c r="K1065" s="15"/>
      <c r="L1065" s="20"/>
      <c r="M1065" s="20"/>
      <c r="N1065" s="126"/>
      <c r="O1065" s="126"/>
      <c r="P1065" s="126"/>
      <c r="Q1065" s="171"/>
      <c r="R1065" s="172"/>
      <c r="S1065" s="172"/>
      <c r="AE1065" s="143"/>
      <c r="AF1065" s="143"/>
      <c r="AG1065" s="143"/>
      <c r="AH1065" s="143"/>
      <c r="AI1065" s="143"/>
      <c r="AJ1065" s="143"/>
      <c r="AK1065" s="143"/>
      <c r="AL1065" s="143"/>
      <c r="AM1065" s="145"/>
      <c r="AN1065" s="143"/>
      <c r="AO1065" s="143"/>
    </row>
    <row r="1066" spans="3:41">
      <c r="C1066" s="136"/>
      <c r="D1066" s="136"/>
      <c r="F1066" s="15"/>
      <c r="G1066" s="138"/>
      <c r="H1066" s="138"/>
      <c r="I1066" s="126"/>
      <c r="J1066" s="15"/>
      <c r="K1066" s="15"/>
      <c r="L1066" s="20"/>
      <c r="M1066" s="20"/>
      <c r="N1066" s="126"/>
      <c r="O1066" s="126"/>
      <c r="P1066" s="126"/>
      <c r="Q1066" s="171"/>
      <c r="R1066" s="172"/>
      <c r="S1066" s="172"/>
      <c r="AE1066" s="143"/>
      <c r="AF1066" s="143"/>
      <c r="AG1066" s="143"/>
      <c r="AH1066" s="143"/>
      <c r="AI1066" s="143"/>
      <c r="AJ1066" s="143"/>
      <c r="AK1066" s="143"/>
      <c r="AL1066" s="143"/>
      <c r="AM1066" s="145"/>
      <c r="AN1066" s="153"/>
      <c r="AO1066" s="143"/>
    </row>
    <row r="1067" spans="3:41">
      <c r="C1067" s="136"/>
      <c r="D1067" s="136"/>
      <c r="F1067" s="15"/>
      <c r="G1067" s="138"/>
      <c r="H1067" s="138"/>
      <c r="I1067" s="126"/>
      <c r="J1067" s="15"/>
      <c r="K1067" s="15"/>
      <c r="L1067" s="20"/>
      <c r="M1067" s="20"/>
      <c r="N1067" s="126"/>
      <c r="O1067" s="126"/>
      <c r="P1067" s="126"/>
      <c r="Q1067" s="171"/>
      <c r="R1067" s="172"/>
      <c r="S1067" s="172"/>
      <c r="AE1067" s="143"/>
      <c r="AF1067" s="143"/>
      <c r="AG1067" s="143"/>
      <c r="AH1067" s="143"/>
      <c r="AI1067" s="143"/>
      <c r="AJ1067" s="143"/>
      <c r="AK1067" s="143"/>
      <c r="AL1067" s="143"/>
      <c r="AM1067" s="145"/>
      <c r="AN1067" s="153"/>
      <c r="AO1067" s="143"/>
    </row>
    <row r="1068" spans="3:41">
      <c r="C1068" s="136"/>
      <c r="D1068" s="136"/>
      <c r="F1068" s="15"/>
      <c r="G1068" s="138"/>
      <c r="H1068" s="138"/>
      <c r="I1068" s="126"/>
      <c r="J1068" s="15"/>
      <c r="K1068" s="15"/>
      <c r="L1068" s="20"/>
      <c r="M1068" s="20"/>
      <c r="N1068" s="126"/>
      <c r="O1068" s="126"/>
      <c r="P1068" s="126"/>
      <c r="Q1068" s="171"/>
      <c r="R1068" s="172"/>
      <c r="S1068" s="172"/>
      <c r="AE1068" s="143"/>
      <c r="AF1068" s="143"/>
      <c r="AG1068" s="143"/>
      <c r="AH1068" s="143"/>
      <c r="AI1068" s="143"/>
      <c r="AJ1068" s="143"/>
      <c r="AK1068" s="143"/>
      <c r="AL1068" s="143"/>
      <c r="AM1068" s="145"/>
      <c r="AN1068" s="143"/>
      <c r="AO1068" s="143"/>
    </row>
    <row r="1069" spans="3:41">
      <c r="C1069" s="136"/>
      <c r="D1069" s="136"/>
      <c r="F1069" s="15"/>
      <c r="G1069" s="138"/>
      <c r="H1069" s="138"/>
      <c r="I1069" s="126"/>
      <c r="J1069" s="15"/>
      <c r="K1069" s="15"/>
      <c r="L1069" s="20"/>
      <c r="M1069" s="20"/>
      <c r="N1069" s="126"/>
      <c r="O1069" s="126"/>
      <c r="P1069" s="126"/>
      <c r="Q1069" s="171"/>
      <c r="R1069" s="172"/>
      <c r="S1069" s="172"/>
      <c r="AE1069" s="143"/>
      <c r="AF1069" s="143"/>
      <c r="AG1069" s="143"/>
      <c r="AH1069" s="143"/>
      <c r="AI1069" s="143"/>
      <c r="AJ1069" s="143"/>
      <c r="AK1069" s="143"/>
      <c r="AL1069" s="143"/>
      <c r="AM1069" s="145"/>
      <c r="AN1069" s="143"/>
      <c r="AO1069" s="143"/>
    </row>
    <row r="1070" spans="3:41">
      <c r="C1070" s="136"/>
      <c r="D1070" s="136"/>
      <c r="F1070" s="15"/>
      <c r="G1070" s="138"/>
      <c r="H1070" s="138"/>
      <c r="I1070" s="126"/>
      <c r="J1070" s="15"/>
      <c r="K1070" s="15"/>
      <c r="L1070" s="20"/>
      <c r="M1070" s="20"/>
      <c r="N1070" s="126"/>
      <c r="O1070" s="126"/>
      <c r="P1070" s="126"/>
      <c r="Q1070" s="171"/>
      <c r="R1070" s="172"/>
      <c r="S1070" s="172"/>
      <c r="AE1070" s="143"/>
      <c r="AF1070" s="143"/>
      <c r="AG1070" s="143"/>
      <c r="AH1070" s="143"/>
      <c r="AI1070" s="143"/>
      <c r="AJ1070" s="143"/>
      <c r="AK1070" s="143"/>
      <c r="AL1070" s="143"/>
      <c r="AM1070" s="145"/>
      <c r="AN1070" s="143"/>
      <c r="AO1070" s="143"/>
    </row>
    <row r="1071" spans="3:41">
      <c r="C1071" s="136"/>
      <c r="D1071" s="136"/>
      <c r="F1071" s="15"/>
      <c r="G1071" s="138"/>
      <c r="H1071" s="138"/>
      <c r="I1071" s="126"/>
      <c r="J1071" s="15"/>
      <c r="K1071" s="15"/>
      <c r="L1071" s="20"/>
      <c r="M1071" s="20"/>
      <c r="N1071" s="126"/>
      <c r="O1071" s="126"/>
      <c r="P1071" s="126"/>
      <c r="Q1071" s="171"/>
      <c r="R1071" s="172"/>
      <c r="S1071" s="172"/>
      <c r="AE1071" s="143"/>
      <c r="AF1071" s="143"/>
      <c r="AG1071" s="143"/>
      <c r="AH1071" s="143"/>
      <c r="AI1071" s="143"/>
      <c r="AJ1071" s="143"/>
      <c r="AK1071" s="143"/>
      <c r="AL1071" s="143"/>
      <c r="AM1071" s="145"/>
      <c r="AN1071" s="143"/>
      <c r="AO1071" s="143"/>
    </row>
    <row r="1072" spans="3:41">
      <c r="C1072" s="136"/>
      <c r="D1072" s="136"/>
      <c r="F1072" s="15"/>
      <c r="G1072" s="138"/>
      <c r="H1072" s="138"/>
      <c r="I1072" s="126"/>
      <c r="J1072" s="15"/>
      <c r="K1072" s="15"/>
      <c r="L1072" s="20"/>
      <c r="M1072" s="20"/>
      <c r="N1072" s="126"/>
      <c r="O1072" s="126"/>
      <c r="P1072" s="126"/>
      <c r="Q1072" s="171"/>
      <c r="R1072" s="172"/>
      <c r="S1072" s="172"/>
      <c r="AE1072" s="143"/>
      <c r="AF1072" s="143"/>
      <c r="AG1072" s="143"/>
      <c r="AH1072" s="143"/>
      <c r="AI1072" s="143"/>
      <c r="AJ1072" s="143"/>
      <c r="AK1072" s="143"/>
      <c r="AL1072" s="143"/>
      <c r="AM1072" s="145"/>
      <c r="AN1072" s="143"/>
      <c r="AO1072" s="143"/>
    </row>
    <row r="1073" spans="3:41">
      <c r="C1073" s="136"/>
      <c r="D1073" s="136"/>
      <c r="F1073" s="15"/>
      <c r="G1073" s="138"/>
      <c r="H1073" s="138"/>
      <c r="I1073" s="126"/>
      <c r="J1073" s="15"/>
      <c r="K1073" s="15"/>
      <c r="L1073" s="20"/>
      <c r="M1073" s="20"/>
      <c r="N1073" s="126"/>
      <c r="O1073" s="126"/>
      <c r="P1073" s="126"/>
      <c r="Q1073" s="171"/>
      <c r="R1073" s="172"/>
      <c r="S1073" s="172"/>
      <c r="AE1073" s="143"/>
      <c r="AF1073" s="143"/>
      <c r="AG1073" s="143"/>
      <c r="AH1073" s="143"/>
      <c r="AI1073" s="143"/>
      <c r="AJ1073" s="143"/>
      <c r="AK1073" s="143"/>
      <c r="AL1073" s="143"/>
      <c r="AM1073" s="145"/>
      <c r="AN1073" s="143"/>
      <c r="AO1073" s="143"/>
    </row>
    <row r="1074" spans="3:41">
      <c r="C1074" s="136"/>
      <c r="D1074" s="136"/>
      <c r="F1074" s="15"/>
      <c r="G1074" s="138"/>
      <c r="H1074" s="138"/>
      <c r="I1074" s="126"/>
      <c r="J1074" s="15"/>
      <c r="K1074" s="15"/>
      <c r="L1074" s="20"/>
      <c r="M1074" s="20"/>
      <c r="N1074" s="126"/>
      <c r="O1074" s="126"/>
      <c r="P1074" s="126"/>
      <c r="Q1074" s="171"/>
      <c r="R1074" s="172"/>
      <c r="S1074" s="172"/>
      <c r="AE1074" s="143"/>
      <c r="AF1074" s="143"/>
      <c r="AG1074" s="143"/>
      <c r="AH1074" s="143"/>
      <c r="AI1074" s="143"/>
      <c r="AJ1074" s="143"/>
      <c r="AK1074" s="143"/>
      <c r="AL1074" s="143"/>
      <c r="AM1074" s="145"/>
      <c r="AN1074" s="143"/>
      <c r="AO1074" s="143"/>
    </row>
    <row r="1075" spans="3:41">
      <c r="C1075" s="136"/>
      <c r="D1075" s="136"/>
      <c r="F1075" s="15"/>
      <c r="G1075" s="138"/>
      <c r="H1075" s="138"/>
      <c r="I1075" s="126"/>
      <c r="J1075" s="15"/>
      <c r="K1075" s="15"/>
      <c r="L1075" s="20"/>
      <c r="M1075" s="20"/>
      <c r="N1075" s="126"/>
      <c r="O1075" s="126"/>
      <c r="P1075" s="126"/>
      <c r="Q1075" s="171"/>
      <c r="R1075" s="173"/>
      <c r="S1075" s="172"/>
      <c r="AE1075" s="143"/>
      <c r="AF1075" s="143"/>
      <c r="AG1075" s="143"/>
      <c r="AH1075" s="143"/>
      <c r="AI1075" s="143"/>
      <c r="AJ1075" s="143"/>
      <c r="AK1075" s="143"/>
      <c r="AL1075" s="143"/>
      <c r="AM1075" s="145"/>
      <c r="AN1075" s="143"/>
      <c r="AO1075" s="143"/>
    </row>
    <row r="1076" spans="3:41">
      <c r="C1076" s="136"/>
      <c r="D1076" s="136"/>
      <c r="F1076" s="15"/>
      <c r="G1076" s="138"/>
      <c r="H1076" s="138"/>
      <c r="I1076" s="126"/>
      <c r="J1076" s="15"/>
      <c r="K1076" s="15"/>
      <c r="L1076" s="20"/>
      <c r="M1076" s="20"/>
      <c r="N1076" s="126"/>
      <c r="O1076" s="126"/>
      <c r="P1076" s="126"/>
      <c r="Q1076" s="171"/>
      <c r="R1076" s="172"/>
      <c r="S1076" s="172"/>
      <c r="AE1076" s="143"/>
      <c r="AF1076" s="143"/>
      <c r="AG1076" s="143"/>
      <c r="AH1076" s="143"/>
      <c r="AI1076" s="143"/>
      <c r="AJ1076" s="143"/>
      <c r="AK1076" s="143"/>
      <c r="AL1076" s="143"/>
      <c r="AM1076" s="145"/>
      <c r="AN1076" s="143"/>
      <c r="AO1076" s="143"/>
    </row>
    <row r="1077" spans="3:41">
      <c r="C1077" s="136"/>
      <c r="D1077" s="136"/>
      <c r="F1077" s="15"/>
      <c r="G1077" s="138"/>
      <c r="H1077" s="138"/>
      <c r="I1077" s="126"/>
      <c r="J1077" s="15"/>
      <c r="K1077" s="15"/>
      <c r="L1077" s="20"/>
      <c r="M1077" s="20"/>
      <c r="N1077" s="126"/>
      <c r="O1077" s="126"/>
      <c r="P1077" s="126"/>
      <c r="Q1077" s="171"/>
      <c r="R1077" s="173"/>
      <c r="S1077" s="172"/>
      <c r="AE1077" s="143"/>
      <c r="AF1077" s="143"/>
      <c r="AG1077" s="143"/>
      <c r="AH1077" s="143"/>
      <c r="AI1077" s="143"/>
      <c r="AJ1077" s="143"/>
      <c r="AK1077" s="143"/>
      <c r="AL1077" s="143"/>
      <c r="AM1077" s="145"/>
      <c r="AN1077" s="143"/>
      <c r="AO1077" s="143"/>
    </row>
    <row r="1078" spans="3:41">
      <c r="C1078" s="136"/>
      <c r="D1078" s="136"/>
      <c r="F1078" s="15"/>
      <c r="G1078" s="138"/>
      <c r="H1078" s="138"/>
      <c r="I1078" s="126"/>
      <c r="J1078" s="15"/>
      <c r="K1078" s="15"/>
      <c r="L1078" s="20"/>
      <c r="M1078" s="20"/>
      <c r="N1078" s="126"/>
      <c r="O1078" s="126"/>
      <c r="P1078" s="126"/>
      <c r="Q1078" s="171"/>
      <c r="R1078" s="172"/>
      <c r="S1078" s="172"/>
      <c r="AE1078" s="143"/>
      <c r="AF1078" s="143"/>
      <c r="AG1078" s="143"/>
      <c r="AH1078" s="143"/>
      <c r="AI1078" s="143"/>
      <c r="AJ1078" s="143"/>
      <c r="AK1078" s="143"/>
      <c r="AL1078" s="143"/>
      <c r="AM1078" s="145"/>
      <c r="AN1078" s="143"/>
      <c r="AO1078" s="143"/>
    </row>
    <row r="1079" spans="3:41">
      <c r="C1079" s="136"/>
      <c r="D1079" s="136"/>
      <c r="F1079" s="15"/>
      <c r="G1079" s="138"/>
      <c r="H1079" s="138"/>
      <c r="I1079" s="126"/>
      <c r="J1079" s="15"/>
      <c r="K1079" s="15"/>
      <c r="L1079" s="20"/>
      <c r="M1079" s="20"/>
      <c r="N1079" s="126"/>
      <c r="O1079" s="126"/>
      <c r="P1079" s="126"/>
      <c r="Q1079" s="171"/>
      <c r="R1079" s="172"/>
      <c r="S1079" s="172"/>
      <c r="AE1079" s="143"/>
      <c r="AF1079" s="143"/>
      <c r="AG1079" s="143"/>
      <c r="AH1079" s="143"/>
      <c r="AI1079" s="143"/>
      <c r="AJ1079" s="143"/>
      <c r="AK1079" s="143"/>
      <c r="AL1079" s="143"/>
      <c r="AM1079" s="145"/>
      <c r="AN1079" s="143"/>
      <c r="AO1079" s="143"/>
    </row>
    <row r="1080" spans="3:41">
      <c r="C1080" s="136"/>
      <c r="D1080" s="136"/>
      <c r="F1080" s="15"/>
      <c r="G1080" s="138"/>
      <c r="H1080" s="138"/>
      <c r="I1080" s="126"/>
      <c r="J1080" s="15"/>
      <c r="K1080" s="15"/>
      <c r="L1080" s="20"/>
      <c r="M1080" s="20"/>
      <c r="N1080" s="126"/>
      <c r="O1080" s="126"/>
      <c r="P1080" s="126"/>
      <c r="Q1080" s="171"/>
      <c r="R1080" s="172"/>
      <c r="S1080" s="172"/>
      <c r="AE1080" s="143"/>
      <c r="AF1080" s="143"/>
      <c r="AG1080" s="143"/>
      <c r="AH1080" s="143"/>
      <c r="AI1080" s="143"/>
      <c r="AJ1080" s="143"/>
      <c r="AK1080" s="143"/>
      <c r="AL1080" s="143"/>
      <c r="AM1080" s="143"/>
      <c r="AN1080" s="145"/>
      <c r="AO1080" s="143"/>
    </row>
    <row r="1081" spans="3:41">
      <c r="C1081" s="136"/>
      <c r="D1081" s="136"/>
      <c r="F1081" s="15"/>
      <c r="G1081" s="138"/>
      <c r="H1081" s="138"/>
      <c r="I1081" s="126"/>
      <c r="J1081" s="15"/>
      <c r="K1081" s="15"/>
      <c r="L1081" s="20"/>
      <c r="M1081" s="20"/>
      <c r="N1081" s="126"/>
      <c r="O1081" s="126"/>
      <c r="P1081" s="126"/>
      <c r="Q1081" s="171"/>
      <c r="R1081" s="172"/>
      <c r="S1081" s="172"/>
      <c r="AE1081" s="143"/>
      <c r="AF1081" s="143"/>
      <c r="AG1081" s="143"/>
      <c r="AH1081" s="143"/>
      <c r="AI1081" s="143"/>
      <c r="AJ1081" s="143"/>
      <c r="AK1081" s="143"/>
      <c r="AL1081" s="143"/>
      <c r="AM1081" s="145"/>
      <c r="AN1081" s="143"/>
      <c r="AO1081" s="143"/>
    </row>
    <row r="1082" spans="3:41">
      <c r="C1082" s="136"/>
      <c r="D1082" s="136"/>
      <c r="F1082" s="15"/>
      <c r="G1082" s="138"/>
      <c r="H1082" s="138"/>
      <c r="I1082" s="126"/>
      <c r="J1082" s="15"/>
      <c r="K1082" s="15"/>
      <c r="L1082" s="20"/>
      <c r="M1082" s="20"/>
      <c r="N1082" s="126"/>
      <c r="O1082" s="126"/>
      <c r="P1082" s="126"/>
      <c r="Q1082" s="171"/>
      <c r="R1082" s="172"/>
      <c r="S1082" s="172"/>
      <c r="AE1082" s="143"/>
      <c r="AF1082" s="143"/>
      <c r="AG1082" s="143"/>
      <c r="AH1082" s="143"/>
      <c r="AI1082" s="143"/>
      <c r="AJ1082" s="143"/>
      <c r="AK1082" s="143"/>
      <c r="AL1082" s="143"/>
      <c r="AM1082" s="145"/>
      <c r="AN1082" s="145"/>
      <c r="AO1082" s="143"/>
    </row>
    <row r="1083" spans="3:41">
      <c r="C1083" s="136"/>
      <c r="D1083" s="136"/>
      <c r="F1083" s="15"/>
      <c r="G1083" s="138"/>
      <c r="H1083" s="138"/>
      <c r="I1083" s="126"/>
      <c r="J1083" s="15"/>
      <c r="K1083" s="15"/>
      <c r="L1083" s="20"/>
      <c r="M1083" s="20"/>
      <c r="N1083" s="126"/>
      <c r="O1083" s="126"/>
      <c r="P1083" s="126"/>
      <c r="Q1083" s="171"/>
      <c r="R1083" s="172"/>
      <c r="S1083" s="172"/>
      <c r="AE1083" s="143"/>
      <c r="AF1083" s="143"/>
      <c r="AG1083" s="143"/>
      <c r="AH1083" s="143"/>
      <c r="AI1083" s="143"/>
      <c r="AJ1083" s="143"/>
      <c r="AK1083" s="143"/>
      <c r="AL1083" s="143"/>
      <c r="AM1083" s="145"/>
      <c r="AN1083" s="143"/>
      <c r="AO1083" s="143"/>
    </row>
    <row r="1084" spans="3:41">
      <c r="C1084" s="136"/>
      <c r="D1084" s="136"/>
      <c r="F1084" s="15"/>
      <c r="G1084" s="138"/>
      <c r="H1084" s="138"/>
      <c r="I1084" s="126"/>
      <c r="J1084" s="15"/>
      <c r="K1084" s="15"/>
      <c r="L1084" s="20"/>
      <c r="M1084" s="20"/>
      <c r="N1084" s="126"/>
      <c r="O1084" s="126"/>
      <c r="P1084" s="126"/>
      <c r="Q1084" s="171"/>
      <c r="R1084" s="172"/>
      <c r="S1084" s="172"/>
      <c r="AE1084" s="143"/>
      <c r="AF1084" s="143"/>
      <c r="AG1084" s="143"/>
      <c r="AH1084" s="143"/>
      <c r="AI1084" s="143"/>
      <c r="AJ1084" s="143"/>
      <c r="AK1084" s="143"/>
      <c r="AL1084" s="143"/>
      <c r="AM1084" s="145"/>
      <c r="AN1084" s="143"/>
      <c r="AO1084" s="143"/>
    </row>
    <row r="1085" spans="3:41">
      <c r="C1085" s="136"/>
      <c r="D1085" s="136"/>
      <c r="F1085" s="15"/>
      <c r="G1085" s="138"/>
      <c r="H1085" s="138"/>
      <c r="I1085" s="126"/>
      <c r="J1085" s="15"/>
      <c r="K1085" s="15"/>
      <c r="L1085" s="20"/>
      <c r="M1085" s="20"/>
      <c r="N1085" s="126"/>
      <c r="O1085" s="126"/>
      <c r="P1085" s="126"/>
      <c r="Q1085" s="171"/>
      <c r="R1085" s="172"/>
      <c r="S1085" s="172"/>
      <c r="AE1085" s="143"/>
      <c r="AF1085" s="143"/>
      <c r="AG1085" s="143"/>
      <c r="AH1085" s="143"/>
      <c r="AI1085" s="143"/>
      <c r="AJ1085" s="143"/>
      <c r="AK1085" s="143"/>
      <c r="AL1085" s="143"/>
      <c r="AM1085" s="145"/>
      <c r="AN1085" s="153"/>
      <c r="AO1085" s="143"/>
    </row>
    <row r="1086" spans="3:41">
      <c r="C1086" s="136"/>
      <c r="D1086" s="136"/>
      <c r="F1086" s="15"/>
      <c r="G1086" s="138"/>
      <c r="H1086" s="138"/>
      <c r="I1086" s="126"/>
      <c r="J1086" s="15"/>
      <c r="K1086" s="15"/>
      <c r="L1086" s="20"/>
      <c r="M1086" s="20"/>
      <c r="N1086" s="126"/>
      <c r="O1086" s="126"/>
      <c r="P1086" s="126"/>
      <c r="Q1086" s="171"/>
      <c r="R1086" s="172"/>
      <c r="S1086" s="172"/>
      <c r="AE1086" s="143"/>
      <c r="AF1086" s="143"/>
      <c r="AG1086" s="143"/>
      <c r="AH1086" s="143"/>
      <c r="AI1086" s="143"/>
      <c r="AJ1086" s="143"/>
      <c r="AK1086" s="143"/>
      <c r="AL1086" s="143"/>
      <c r="AM1086" s="145"/>
      <c r="AN1086" s="143"/>
      <c r="AO1086" s="143"/>
    </row>
    <row r="1087" spans="3:41">
      <c r="C1087" s="136"/>
      <c r="D1087" s="136"/>
      <c r="F1087" s="15"/>
      <c r="G1087" s="138"/>
      <c r="H1087" s="138"/>
      <c r="I1087" s="126"/>
      <c r="J1087" s="15"/>
      <c r="K1087" s="15"/>
      <c r="L1087" s="20"/>
      <c r="M1087" s="20"/>
      <c r="N1087" s="126"/>
      <c r="O1087" s="126"/>
      <c r="P1087" s="126"/>
      <c r="Q1087" s="171"/>
      <c r="R1087" s="172"/>
      <c r="S1087" s="172"/>
      <c r="AE1087" s="143"/>
      <c r="AF1087" s="143"/>
      <c r="AG1087" s="143"/>
      <c r="AH1087" s="143"/>
      <c r="AI1087" s="143"/>
      <c r="AJ1087" s="143"/>
      <c r="AK1087" s="143"/>
      <c r="AL1087" s="143"/>
      <c r="AM1087" s="143"/>
      <c r="AN1087" s="153"/>
      <c r="AO1087" s="143"/>
    </row>
    <row r="1088" spans="3:41">
      <c r="C1088" s="136"/>
      <c r="D1088" s="136"/>
      <c r="F1088" s="15"/>
      <c r="G1088" s="138"/>
      <c r="H1088" s="138"/>
      <c r="I1088" s="126"/>
      <c r="J1088" s="15"/>
      <c r="K1088" s="15"/>
      <c r="L1088" s="20"/>
      <c r="M1088" s="20"/>
      <c r="N1088" s="126"/>
      <c r="O1088" s="126"/>
      <c r="P1088" s="126"/>
      <c r="Q1088" s="171"/>
      <c r="R1088" s="172"/>
      <c r="S1088" s="172"/>
      <c r="AE1088" s="143"/>
      <c r="AF1088" s="143"/>
      <c r="AG1088" s="143"/>
      <c r="AH1088" s="143"/>
      <c r="AI1088" s="143"/>
      <c r="AJ1088" s="143"/>
      <c r="AK1088" s="143"/>
      <c r="AL1088" s="143"/>
      <c r="AM1088" s="145"/>
      <c r="AN1088" s="143"/>
      <c r="AO1088" s="143"/>
    </row>
    <row r="1089" spans="3:41">
      <c r="C1089" s="136"/>
      <c r="D1089" s="136"/>
      <c r="F1089" s="15"/>
      <c r="G1089" s="138"/>
      <c r="H1089" s="138"/>
      <c r="I1089" s="126"/>
      <c r="J1089" s="15"/>
      <c r="K1089" s="15"/>
      <c r="L1089" s="20"/>
      <c r="M1089" s="20"/>
      <c r="N1089" s="126"/>
      <c r="O1089" s="126"/>
      <c r="P1089" s="126"/>
      <c r="Q1089" s="171"/>
      <c r="R1089" s="172"/>
      <c r="S1089" s="172"/>
      <c r="AE1089" s="143"/>
      <c r="AF1089" s="143"/>
      <c r="AG1089" s="143"/>
      <c r="AH1089" s="143"/>
      <c r="AI1089" s="143"/>
      <c r="AJ1089" s="143"/>
      <c r="AK1089" s="143"/>
      <c r="AL1089" s="143"/>
      <c r="AM1089" s="145"/>
      <c r="AN1089" s="145"/>
      <c r="AO1089" s="143"/>
    </row>
    <row r="1090" spans="3:41">
      <c r="C1090" s="136"/>
      <c r="D1090" s="136"/>
      <c r="F1090" s="15"/>
      <c r="G1090" s="138"/>
      <c r="H1090" s="138"/>
      <c r="I1090" s="126"/>
      <c r="J1090" s="15"/>
      <c r="K1090" s="15"/>
      <c r="L1090" s="20"/>
      <c r="M1090" s="20"/>
      <c r="N1090" s="126"/>
      <c r="O1090" s="126"/>
      <c r="P1090" s="126"/>
      <c r="Q1090" s="171"/>
      <c r="R1090" s="172"/>
      <c r="S1090" s="172"/>
      <c r="AE1090" s="143"/>
      <c r="AF1090" s="143"/>
      <c r="AG1090" s="143"/>
      <c r="AH1090" s="143"/>
      <c r="AI1090" s="143"/>
      <c r="AJ1090" s="143"/>
      <c r="AK1090" s="143"/>
      <c r="AL1090" s="143"/>
      <c r="AM1090" s="143"/>
      <c r="AN1090" s="145"/>
      <c r="AO1090" s="143"/>
    </row>
    <row r="1091" spans="3:41">
      <c r="C1091" s="136"/>
      <c r="D1091" s="136"/>
      <c r="F1091" s="15"/>
      <c r="G1091" s="138"/>
      <c r="H1091" s="138"/>
      <c r="I1091" s="126"/>
      <c r="J1091" s="15"/>
      <c r="K1091" s="15"/>
      <c r="L1091" s="20"/>
      <c r="M1091" s="20"/>
      <c r="N1091" s="126"/>
      <c r="O1091" s="126"/>
      <c r="P1091" s="126"/>
      <c r="Q1091" s="171"/>
      <c r="R1091" s="172"/>
      <c r="S1091" s="172"/>
      <c r="AE1091" s="143"/>
      <c r="AF1091" s="143"/>
      <c r="AG1091" s="143"/>
      <c r="AH1091" s="143"/>
      <c r="AI1091" s="143"/>
      <c r="AJ1091" s="143"/>
      <c r="AK1091" s="143"/>
      <c r="AL1091" s="143"/>
      <c r="AM1091" s="145"/>
      <c r="AN1091" s="143"/>
      <c r="AO1091" s="143"/>
    </row>
    <row r="1092" spans="3:41">
      <c r="C1092" s="136"/>
      <c r="D1092" s="136"/>
      <c r="F1092" s="15"/>
      <c r="G1092" s="138"/>
      <c r="H1092" s="138"/>
      <c r="I1092" s="126"/>
      <c r="J1092" s="15"/>
      <c r="K1092" s="15"/>
      <c r="L1092" s="20"/>
      <c r="M1092" s="20"/>
      <c r="N1092" s="126"/>
      <c r="O1092" s="126"/>
      <c r="P1092" s="126"/>
      <c r="Q1092" s="171"/>
      <c r="R1092" s="172"/>
      <c r="S1092" s="172"/>
      <c r="AE1092" s="143"/>
      <c r="AF1092" s="143"/>
      <c r="AG1092" s="143"/>
      <c r="AH1092" s="143"/>
      <c r="AI1092" s="143"/>
      <c r="AJ1092" s="143"/>
      <c r="AK1092" s="143"/>
      <c r="AL1092" s="143"/>
      <c r="AM1092" s="145"/>
      <c r="AN1092" s="143"/>
      <c r="AO1092" s="143"/>
    </row>
    <row r="1093" spans="3:41">
      <c r="C1093" s="136"/>
      <c r="D1093" s="136"/>
      <c r="F1093" s="15"/>
      <c r="G1093" s="138"/>
      <c r="H1093" s="138"/>
      <c r="I1093" s="126"/>
      <c r="J1093" s="15"/>
      <c r="K1093" s="15"/>
      <c r="L1093" s="20"/>
      <c r="M1093" s="20"/>
      <c r="N1093" s="126"/>
      <c r="O1093" s="126"/>
      <c r="P1093" s="126"/>
      <c r="Q1093" s="171"/>
      <c r="R1093" s="172"/>
      <c r="S1093" s="172"/>
      <c r="AE1093" s="143"/>
      <c r="AF1093" s="143"/>
      <c r="AG1093" s="143"/>
      <c r="AH1093" s="143"/>
      <c r="AI1093" s="143"/>
      <c r="AJ1093" s="143"/>
      <c r="AK1093" s="143"/>
      <c r="AL1093" s="143"/>
      <c r="AM1093" s="145"/>
      <c r="AN1093" s="143"/>
      <c r="AO1093" s="143"/>
    </row>
    <row r="1094" spans="3:41">
      <c r="C1094" s="136"/>
      <c r="D1094" s="136"/>
      <c r="F1094" s="15"/>
      <c r="G1094" s="138"/>
      <c r="H1094" s="138"/>
      <c r="I1094" s="126"/>
      <c r="J1094" s="15"/>
      <c r="K1094" s="15"/>
      <c r="L1094" s="20"/>
      <c r="M1094" s="20"/>
      <c r="N1094" s="126"/>
      <c r="O1094" s="126"/>
      <c r="P1094" s="126"/>
      <c r="Q1094" s="171"/>
      <c r="R1094" s="172"/>
      <c r="S1094" s="172"/>
      <c r="AE1094" s="143"/>
      <c r="AF1094" s="143"/>
      <c r="AG1094" s="143"/>
      <c r="AH1094" s="143"/>
      <c r="AI1094" s="143"/>
      <c r="AJ1094" s="143"/>
      <c r="AK1094" s="143"/>
      <c r="AL1094" s="143"/>
      <c r="AM1094" s="145"/>
      <c r="AN1094" s="143"/>
      <c r="AO1094" s="143"/>
    </row>
    <row r="1095" spans="3:41">
      <c r="C1095" s="136"/>
      <c r="D1095" s="136"/>
      <c r="F1095" s="15"/>
      <c r="G1095" s="138"/>
      <c r="H1095" s="138"/>
      <c r="I1095" s="126"/>
      <c r="J1095" s="15"/>
      <c r="K1095" s="15"/>
      <c r="L1095" s="20"/>
      <c r="M1095" s="20"/>
      <c r="N1095" s="126"/>
      <c r="O1095" s="126"/>
      <c r="P1095" s="126"/>
      <c r="Q1095" s="171"/>
      <c r="R1095" s="172"/>
      <c r="S1095" s="172"/>
      <c r="AE1095" s="143"/>
      <c r="AF1095" s="143"/>
      <c r="AG1095" s="143"/>
      <c r="AH1095" s="143"/>
      <c r="AI1095" s="143"/>
      <c r="AJ1095" s="143"/>
      <c r="AK1095" s="143"/>
      <c r="AL1095" s="143"/>
      <c r="AM1095" s="145"/>
      <c r="AN1095" s="145"/>
      <c r="AO1095" s="143"/>
    </row>
    <row r="1096" spans="3:41">
      <c r="C1096" s="136"/>
      <c r="D1096" s="136"/>
      <c r="F1096" s="15"/>
      <c r="G1096" s="138"/>
      <c r="H1096" s="138"/>
      <c r="I1096" s="126"/>
      <c r="J1096" s="15"/>
      <c r="K1096" s="15"/>
      <c r="L1096" s="20"/>
      <c r="M1096" s="20"/>
      <c r="N1096" s="126"/>
      <c r="O1096" s="126"/>
      <c r="P1096" s="126"/>
      <c r="Q1096" s="171"/>
      <c r="R1096" s="172"/>
      <c r="S1096" s="172"/>
      <c r="AE1096" s="143"/>
      <c r="AF1096" s="143"/>
      <c r="AG1096" s="143"/>
      <c r="AH1096" s="143"/>
      <c r="AI1096" s="143"/>
      <c r="AJ1096" s="143"/>
      <c r="AK1096" s="143"/>
      <c r="AL1096" s="143"/>
      <c r="AM1096" s="145"/>
      <c r="AN1096" s="143"/>
      <c r="AO1096" s="143"/>
    </row>
    <row r="1097" spans="3:41">
      <c r="C1097" s="136"/>
      <c r="D1097" s="136"/>
      <c r="F1097" s="15"/>
      <c r="G1097" s="138"/>
      <c r="H1097" s="138"/>
      <c r="I1097" s="126"/>
      <c r="J1097" s="15"/>
      <c r="K1097" s="15"/>
      <c r="L1097" s="20"/>
      <c r="M1097" s="20"/>
      <c r="N1097" s="126"/>
      <c r="O1097" s="126"/>
      <c r="P1097" s="126"/>
      <c r="Q1097" s="171"/>
      <c r="R1097" s="172"/>
      <c r="S1097" s="172"/>
      <c r="AE1097" s="143"/>
      <c r="AF1097" s="143"/>
      <c r="AG1097" s="143"/>
      <c r="AH1097" s="143"/>
      <c r="AI1097" s="143"/>
      <c r="AJ1097" s="143"/>
      <c r="AK1097" s="143"/>
      <c r="AL1097" s="143"/>
      <c r="AM1097" s="145"/>
      <c r="AN1097" s="143"/>
      <c r="AO1097" s="143"/>
    </row>
    <row r="1098" spans="3:41">
      <c r="C1098" s="136"/>
      <c r="D1098" s="136"/>
      <c r="F1098" s="15"/>
      <c r="G1098" s="138"/>
      <c r="H1098" s="138"/>
      <c r="I1098" s="126"/>
      <c r="J1098" s="15"/>
      <c r="K1098" s="15"/>
      <c r="L1098" s="20"/>
      <c r="M1098" s="20"/>
      <c r="N1098" s="126"/>
      <c r="O1098" s="126"/>
      <c r="P1098" s="126"/>
      <c r="Q1098" s="171"/>
      <c r="R1098" s="172"/>
      <c r="S1098" s="172"/>
      <c r="AE1098" s="143"/>
      <c r="AF1098" s="143"/>
      <c r="AG1098" s="143"/>
      <c r="AH1098" s="143"/>
      <c r="AI1098" s="143"/>
      <c r="AJ1098" s="143"/>
      <c r="AK1098" s="143"/>
      <c r="AL1098" s="143"/>
      <c r="AM1098" s="145"/>
      <c r="AN1098" s="143"/>
      <c r="AO1098" s="143"/>
    </row>
    <row r="1099" spans="3:41">
      <c r="C1099" s="136"/>
      <c r="D1099" s="136"/>
      <c r="F1099" s="15"/>
      <c r="G1099" s="138"/>
      <c r="H1099" s="138"/>
      <c r="I1099" s="126"/>
      <c r="J1099" s="15"/>
      <c r="K1099" s="15"/>
      <c r="L1099" s="20"/>
      <c r="M1099" s="20"/>
      <c r="N1099" s="126"/>
      <c r="O1099" s="126"/>
      <c r="P1099" s="126"/>
      <c r="Q1099" s="171"/>
      <c r="R1099" s="172"/>
      <c r="S1099" s="172"/>
      <c r="AE1099" s="143"/>
      <c r="AF1099" s="143"/>
      <c r="AG1099" s="143"/>
      <c r="AH1099" s="143"/>
      <c r="AI1099" s="143"/>
      <c r="AJ1099" s="143"/>
      <c r="AK1099" s="143"/>
      <c r="AL1099" s="143"/>
      <c r="AM1099" s="145"/>
      <c r="AN1099" s="143"/>
      <c r="AO1099" s="143"/>
    </row>
    <row r="1100" spans="3:41">
      <c r="C1100" s="136"/>
      <c r="D1100" s="136"/>
      <c r="F1100" s="15"/>
      <c r="G1100" s="138"/>
      <c r="H1100" s="138"/>
      <c r="I1100" s="126"/>
      <c r="J1100" s="15"/>
      <c r="K1100" s="15"/>
      <c r="L1100" s="20"/>
      <c r="M1100" s="20"/>
      <c r="N1100" s="126"/>
      <c r="O1100" s="126"/>
      <c r="P1100" s="126"/>
      <c r="Q1100" s="171"/>
      <c r="R1100" s="172"/>
      <c r="S1100" s="172"/>
      <c r="AE1100" s="143"/>
      <c r="AF1100" s="143"/>
      <c r="AG1100" s="143"/>
      <c r="AH1100" s="143"/>
      <c r="AI1100" s="143"/>
      <c r="AJ1100" s="143"/>
      <c r="AK1100" s="143"/>
      <c r="AL1100" s="143"/>
      <c r="AM1100" s="145"/>
      <c r="AN1100" s="153"/>
      <c r="AO1100" s="143"/>
    </row>
    <row r="1101" spans="3:41">
      <c r="C1101" s="136"/>
      <c r="D1101" s="136"/>
      <c r="F1101" s="15"/>
      <c r="G1101" s="138"/>
      <c r="H1101" s="138"/>
      <c r="I1101" s="126"/>
      <c r="J1101" s="15"/>
      <c r="K1101" s="15"/>
      <c r="L1101" s="20"/>
      <c r="M1101" s="20"/>
      <c r="N1101" s="126"/>
      <c r="O1101" s="126"/>
      <c r="P1101" s="126"/>
      <c r="Q1101" s="171"/>
      <c r="R1101" s="172"/>
      <c r="S1101" s="172"/>
      <c r="AE1101" s="143"/>
      <c r="AF1101" s="143"/>
      <c r="AG1101" s="143"/>
      <c r="AH1101" s="143"/>
      <c r="AI1101" s="143"/>
      <c r="AJ1101" s="143"/>
      <c r="AK1101" s="143"/>
      <c r="AL1101" s="143"/>
      <c r="AM1101" s="145"/>
      <c r="AN1101" s="153"/>
      <c r="AO1101" s="143"/>
    </row>
    <row r="1102" spans="3:41">
      <c r="C1102" s="136"/>
      <c r="D1102" s="136"/>
      <c r="F1102" s="15"/>
      <c r="G1102" s="138"/>
      <c r="H1102" s="138"/>
      <c r="I1102" s="126"/>
      <c r="J1102" s="15"/>
      <c r="K1102" s="15"/>
      <c r="L1102" s="20"/>
      <c r="M1102" s="20"/>
      <c r="N1102" s="126"/>
      <c r="O1102" s="126"/>
      <c r="P1102" s="126"/>
      <c r="Q1102" s="171"/>
      <c r="R1102" s="172"/>
      <c r="S1102" s="172"/>
      <c r="AE1102" s="143"/>
      <c r="AF1102" s="143"/>
      <c r="AG1102" s="143"/>
      <c r="AH1102" s="143"/>
      <c r="AI1102" s="143"/>
      <c r="AJ1102" s="143"/>
      <c r="AK1102" s="143"/>
      <c r="AL1102" s="143"/>
      <c r="AM1102" s="145"/>
      <c r="AN1102" s="143"/>
      <c r="AO1102" s="143"/>
    </row>
    <row r="1103" spans="3:41">
      <c r="C1103" s="136"/>
      <c r="D1103" s="136"/>
      <c r="F1103" s="15"/>
      <c r="G1103" s="138"/>
      <c r="H1103" s="138"/>
      <c r="I1103" s="126"/>
      <c r="J1103" s="15"/>
      <c r="K1103" s="15"/>
      <c r="L1103" s="20"/>
      <c r="M1103" s="20"/>
      <c r="N1103" s="126"/>
      <c r="O1103" s="126"/>
      <c r="P1103" s="126"/>
      <c r="Q1103" s="171"/>
      <c r="R1103" s="172"/>
      <c r="S1103" s="172"/>
      <c r="AE1103" s="143"/>
      <c r="AF1103" s="143"/>
      <c r="AG1103" s="143"/>
      <c r="AH1103" s="143"/>
      <c r="AI1103" s="143"/>
      <c r="AJ1103" s="143"/>
      <c r="AK1103" s="143"/>
      <c r="AL1103" s="143"/>
      <c r="AM1103" s="145"/>
      <c r="AN1103" s="143"/>
      <c r="AO1103" s="143"/>
    </row>
    <row r="1104" spans="3:41">
      <c r="C1104" s="136"/>
      <c r="D1104" s="136"/>
      <c r="F1104" s="15"/>
      <c r="G1104" s="138"/>
      <c r="H1104" s="138"/>
      <c r="I1104" s="126"/>
      <c r="J1104" s="15"/>
      <c r="K1104" s="15"/>
      <c r="L1104" s="20"/>
      <c r="M1104" s="20"/>
      <c r="N1104" s="126"/>
      <c r="O1104" s="126"/>
      <c r="P1104" s="126"/>
      <c r="Q1104" s="171"/>
      <c r="R1104" s="172"/>
      <c r="S1104" s="172"/>
      <c r="AE1104" s="143"/>
      <c r="AF1104" s="143"/>
      <c r="AG1104" s="143"/>
      <c r="AH1104" s="143"/>
      <c r="AI1104" s="143"/>
      <c r="AJ1104" s="143"/>
      <c r="AK1104" s="143"/>
      <c r="AL1104" s="143"/>
      <c r="AM1104" s="145"/>
      <c r="AN1104" s="143"/>
      <c r="AO1104" s="143"/>
    </row>
    <row r="1105" spans="3:41">
      <c r="C1105" s="136"/>
      <c r="D1105" s="136"/>
      <c r="F1105" s="15"/>
      <c r="G1105" s="138"/>
      <c r="H1105" s="138"/>
      <c r="I1105" s="126"/>
      <c r="J1105" s="15"/>
      <c r="K1105" s="15"/>
      <c r="L1105" s="20"/>
      <c r="M1105" s="20"/>
      <c r="N1105" s="126"/>
      <c r="O1105" s="126"/>
      <c r="P1105" s="126"/>
      <c r="Q1105" s="171"/>
      <c r="R1105" s="172"/>
      <c r="S1105" s="172"/>
      <c r="AE1105" s="143"/>
      <c r="AF1105" s="143"/>
      <c r="AG1105" s="143"/>
      <c r="AH1105" s="143"/>
      <c r="AI1105" s="143"/>
      <c r="AJ1105" s="143"/>
      <c r="AK1105" s="143"/>
      <c r="AL1105" s="143"/>
      <c r="AM1105" s="145"/>
      <c r="AN1105" s="145"/>
      <c r="AO1105" s="143"/>
    </row>
    <row r="1106" spans="3:41">
      <c r="C1106" s="136"/>
      <c r="D1106" s="136"/>
      <c r="F1106" s="15"/>
      <c r="G1106" s="138"/>
      <c r="H1106" s="138"/>
      <c r="I1106" s="126"/>
      <c r="J1106" s="15"/>
      <c r="K1106" s="15"/>
      <c r="L1106" s="20"/>
      <c r="M1106" s="20"/>
      <c r="N1106" s="126"/>
      <c r="O1106" s="126"/>
      <c r="P1106" s="126"/>
      <c r="Q1106" s="171"/>
      <c r="R1106" s="172"/>
      <c r="S1106" s="172"/>
      <c r="AE1106" s="143"/>
      <c r="AF1106" s="143"/>
      <c r="AG1106" s="143"/>
      <c r="AH1106" s="143"/>
      <c r="AI1106" s="143"/>
      <c r="AJ1106" s="143"/>
      <c r="AK1106" s="143"/>
      <c r="AL1106" s="143"/>
      <c r="AM1106" s="143"/>
      <c r="AN1106" s="145"/>
      <c r="AO1106" s="143"/>
    </row>
    <row r="1107" spans="3:41">
      <c r="C1107" s="136"/>
      <c r="D1107" s="136"/>
      <c r="F1107" s="15"/>
      <c r="G1107" s="138"/>
      <c r="H1107" s="138"/>
      <c r="I1107" s="126"/>
      <c r="J1107" s="15"/>
      <c r="K1107" s="15"/>
      <c r="L1107" s="20"/>
      <c r="M1107" s="20"/>
      <c r="N1107" s="126"/>
      <c r="O1107" s="126"/>
      <c r="P1107" s="126"/>
      <c r="Q1107" s="171"/>
      <c r="R1107" s="172"/>
      <c r="S1107" s="172"/>
      <c r="AE1107" s="143"/>
      <c r="AF1107" s="143"/>
      <c r="AG1107" s="143"/>
      <c r="AH1107" s="143"/>
      <c r="AI1107" s="143"/>
      <c r="AJ1107" s="143"/>
      <c r="AK1107" s="143"/>
      <c r="AL1107" s="143"/>
      <c r="AM1107" s="145"/>
      <c r="AN1107" s="143"/>
      <c r="AO1107" s="143"/>
    </row>
    <row r="1108" spans="3:41">
      <c r="C1108" s="136"/>
      <c r="D1108" s="136"/>
      <c r="F1108" s="15"/>
      <c r="G1108" s="138"/>
      <c r="H1108" s="138"/>
      <c r="I1108" s="126"/>
      <c r="J1108" s="15"/>
      <c r="K1108" s="15"/>
      <c r="L1108" s="20"/>
      <c r="M1108" s="20"/>
      <c r="N1108" s="126"/>
      <c r="O1108" s="126"/>
      <c r="P1108" s="126"/>
      <c r="Q1108" s="171"/>
      <c r="R1108" s="172"/>
      <c r="S1108" s="172"/>
      <c r="AE1108" s="143"/>
      <c r="AF1108" s="143"/>
      <c r="AG1108" s="143"/>
      <c r="AH1108" s="143"/>
      <c r="AI1108" s="143"/>
      <c r="AJ1108" s="143"/>
      <c r="AK1108" s="143"/>
      <c r="AL1108" s="143"/>
      <c r="AM1108" s="151"/>
      <c r="AN1108" s="145"/>
      <c r="AO1108" s="143"/>
    </row>
    <row r="1109" spans="3:41">
      <c r="C1109" s="136"/>
      <c r="D1109" s="136"/>
      <c r="F1109" s="15"/>
      <c r="G1109" s="138"/>
      <c r="H1109" s="138"/>
      <c r="I1109" s="126"/>
      <c r="J1109" s="15"/>
      <c r="K1109" s="15"/>
      <c r="L1109" s="20"/>
      <c r="M1109" s="20"/>
      <c r="N1109" s="126"/>
      <c r="O1109" s="126"/>
      <c r="P1109" s="126"/>
      <c r="Q1109" s="171"/>
      <c r="R1109" s="172"/>
      <c r="S1109" s="172"/>
      <c r="AE1109" s="143"/>
      <c r="AF1109" s="143"/>
      <c r="AG1109" s="143"/>
      <c r="AH1109" s="143"/>
      <c r="AI1109" s="143"/>
      <c r="AJ1109" s="143"/>
      <c r="AK1109" s="143"/>
      <c r="AL1109" s="143"/>
      <c r="AM1109" s="145"/>
      <c r="AN1109" s="143"/>
      <c r="AO1109" s="143"/>
    </row>
    <row r="1110" spans="3:41">
      <c r="C1110" s="136"/>
      <c r="D1110" s="136"/>
      <c r="F1110" s="15"/>
      <c r="G1110" s="138"/>
      <c r="H1110" s="138"/>
      <c r="I1110" s="126"/>
      <c r="J1110" s="15"/>
      <c r="K1110" s="15"/>
      <c r="L1110" s="20"/>
      <c r="M1110" s="20"/>
      <c r="N1110" s="126"/>
      <c r="O1110" s="126"/>
      <c r="P1110" s="126"/>
      <c r="Q1110" s="171"/>
      <c r="R1110" s="172"/>
      <c r="S1110" s="172"/>
      <c r="AE1110" s="143"/>
      <c r="AF1110" s="143"/>
      <c r="AG1110" s="143"/>
      <c r="AH1110" s="143"/>
      <c r="AI1110" s="143"/>
      <c r="AJ1110" s="143"/>
      <c r="AK1110" s="143"/>
      <c r="AL1110" s="143"/>
      <c r="AM1110" s="145"/>
      <c r="AN1110" s="143"/>
      <c r="AO1110" s="143"/>
    </row>
    <row r="1111" spans="3:41">
      <c r="C1111" s="136"/>
      <c r="D1111" s="136"/>
      <c r="F1111" s="15"/>
      <c r="G1111" s="138"/>
      <c r="H1111" s="138"/>
      <c r="I1111" s="126"/>
      <c r="J1111" s="15"/>
      <c r="K1111" s="15"/>
      <c r="L1111" s="20"/>
      <c r="M1111" s="20"/>
      <c r="N1111" s="126"/>
      <c r="O1111" s="126"/>
      <c r="P1111" s="126"/>
      <c r="Q1111" s="171"/>
      <c r="R1111" s="172"/>
      <c r="S1111" s="172"/>
      <c r="AE1111" s="143"/>
      <c r="AF1111" s="143"/>
      <c r="AG1111" s="143"/>
      <c r="AH1111" s="143"/>
      <c r="AI1111" s="143"/>
      <c r="AJ1111" s="143"/>
      <c r="AK1111" s="143"/>
      <c r="AL1111" s="143"/>
      <c r="AM1111" s="145"/>
      <c r="AN1111" s="143"/>
      <c r="AO1111" s="143"/>
    </row>
    <row r="1112" spans="3:41">
      <c r="C1112" s="136"/>
      <c r="D1112" s="136"/>
      <c r="F1112" s="15"/>
      <c r="G1112" s="138"/>
      <c r="H1112" s="138"/>
      <c r="I1112" s="126"/>
      <c r="J1112" s="15"/>
      <c r="K1112" s="15"/>
      <c r="L1112" s="20"/>
      <c r="M1112" s="20"/>
      <c r="N1112" s="126"/>
      <c r="O1112" s="126"/>
      <c r="P1112" s="126"/>
      <c r="Q1112" s="171"/>
      <c r="R1112" s="172"/>
      <c r="S1112" s="172"/>
      <c r="AE1112" s="143"/>
      <c r="AF1112" s="143"/>
      <c r="AG1112" s="143"/>
      <c r="AH1112" s="143"/>
      <c r="AI1112" s="143"/>
      <c r="AJ1112" s="143"/>
      <c r="AK1112" s="143"/>
      <c r="AL1112" s="143"/>
      <c r="AM1112" s="145"/>
      <c r="AN1112" s="143"/>
      <c r="AO1112" s="143"/>
    </row>
    <row r="1113" spans="3:41">
      <c r="C1113" s="136"/>
      <c r="D1113" s="136"/>
      <c r="F1113" s="15"/>
      <c r="G1113" s="138"/>
      <c r="H1113" s="138"/>
      <c r="I1113" s="126"/>
      <c r="J1113" s="15"/>
      <c r="K1113" s="15"/>
      <c r="L1113" s="20"/>
      <c r="M1113" s="20"/>
      <c r="N1113" s="126"/>
      <c r="O1113" s="126"/>
      <c r="P1113" s="126"/>
      <c r="Q1113" s="171"/>
      <c r="R1113" s="172"/>
      <c r="S1113" s="172"/>
      <c r="AE1113" s="143"/>
      <c r="AF1113" s="143"/>
      <c r="AG1113" s="143"/>
      <c r="AH1113" s="143"/>
      <c r="AI1113" s="143"/>
      <c r="AJ1113" s="143"/>
      <c r="AK1113" s="143"/>
      <c r="AL1113" s="143"/>
      <c r="AM1113" s="145"/>
      <c r="AN1113" s="143"/>
      <c r="AO1113" s="143"/>
    </row>
    <row r="1114" spans="3:41">
      <c r="C1114" s="136"/>
      <c r="D1114" s="136"/>
      <c r="F1114" s="15"/>
      <c r="G1114" s="138"/>
      <c r="H1114" s="138"/>
      <c r="I1114" s="126"/>
      <c r="J1114" s="15"/>
      <c r="K1114" s="15"/>
      <c r="L1114" s="20"/>
      <c r="M1114" s="20"/>
      <c r="N1114" s="126"/>
      <c r="O1114" s="126"/>
      <c r="P1114" s="126"/>
      <c r="Q1114" s="171"/>
      <c r="R1114" s="172"/>
      <c r="S1114" s="172"/>
      <c r="AE1114" s="143"/>
      <c r="AF1114" s="143"/>
      <c r="AG1114" s="143"/>
      <c r="AH1114" s="143"/>
      <c r="AI1114" s="143"/>
      <c r="AJ1114" s="143"/>
      <c r="AK1114" s="143"/>
      <c r="AL1114" s="143"/>
      <c r="AM1114" s="145"/>
      <c r="AN1114" s="143"/>
      <c r="AO1114" s="143"/>
    </row>
    <row r="1115" spans="3:41">
      <c r="C1115" s="136"/>
      <c r="D1115" s="136"/>
      <c r="F1115" s="15"/>
      <c r="G1115" s="138"/>
      <c r="H1115" s="138"/>
      <c r="I1115" s="126"/>
      <c r="J1115" s="15"/>
      <c r="K1115" s="15"/>
      <c r="L1115" s="20"/>
      <c r="M1115" s="20"/>
      <c r="N1115" s="126"/>
      <c r="O1115" s="126"/>
      <c r="P1115" s="126"/>
      <c r="Q1115" s="171"/>
      <c r="R1115" s="172"/>
      <c r="S1115" s="172"/>
      <c r="AE1115" s="143"/>
      <c r="AF1115" s="143"/>
      <c r="AG1115" s="143"/>
      <c r="AH1115" s="143"/>
      <c r="AI1115" s="143"/>
      <c r="AJ1115" s="143"/>
      <c r="AK1115" s="143"/>
      <c r="AL1115" s="143"/>
      <c r="AM1115" s="145"/>
      <c r="AN1115" s="143"/>
      <c r="AO1115" s="143"/>
    </row>
    <row r="1116" spans="3:41">
      <c r="C1116" s="136"/>
      <c r="D1116" s="136"/>
      <c r="F1116" s="15"/>
      <c r="G1116" s="138"/>
      <c r="H1116" s="138"/>
      <c r="I1116" s="126"/>
      <c r="J1116" s="15"/>
      <c r="K1116" s="15"/>
      <c r="L1116" s="20"/>
      <c r="M1116" s="20"/>
      <c r="N1116" s="126"/>
      <c r="O1116" s="126"/>
      <c r="P1116" s="126"/>
      <c r="Q1116" s="171"/>
      <c r="R1116" s="173"/>
      <c r="S1116" s="172"/>
      <c r="AE1116" s="143"/>
      <c r="AF1116" s="143"/>
      <c r="AG1116" s="143"/>
      <c r="AH1116" s="143"/>
      <c r="AI1116" s="143"/>
      <c r="AJ1116" s="143"/>
      <c r="AK1116" s="143"/>
      <c r="AL1116" s="192"/>
      <c r="AM1116" s="192"/>
      <c r="AN1116" s="192"/>
      <c r="AO1116" s="143"/>
    </row>
    <row r="1117" spans="3:41">
      <c r="C1117" s="136"/>
      <c r="D1117" s="136"/>
      <c r="F1117" s="15"/>
      <c r="G1117" s="138"/>
      <c r="H1117" s="138"/>
      <c r="I1117" s="126"/>
      <c r="J1117" s="15"/>
      <c r="K1117" s="15"/>
      <c r="L1117" s="20"/>
      <c r="M1117" s="20"/>
      <c r="N1117" s="126"/>
      <c r="O1117" s="126"/>
      <c r="P1117" s="126"/>
      <c r="Q1117" s="171"/>
      <c r="R1117" s="172"/>
      <c r="S1117" s="172"/>
      <c r="AE1117" s="143"/>
      <c r="AF1117" s="143"/>
      <c r="AG1117" s="143"/>
      <c r="AH1117" s="143"/>
      <c r="AI1117" s="143"/>
      <c r="AJ1117" s="143"/>
      <c r="AK1117" s="143"/>
      <c r="AL1117" s="143"/>
      <c r="AM1117" s="145"/>
      <c r="AN1117" s="143"/>
      <c r="AO1117" s="143"/>
    </row>
    <row r="1118" spans="3:41">
      <c r="C1118" s="136"/>
      <c r="D1118" s="136"/>
      <c r="F1118" s="15"/>
      <c r="G1118" s="138"/>
      <c r="H1118" s="138"/>
      <c r="I1118" s="126"/>
      <c r="J1118" s="15"/>
      <c r="K1118" s="15"/>
      <c r="L1118" s="20"/>
      <c r="M1118" s="20"/>
      <c r="N1118" s="126"/>
      <c r="O1118" s="126"/>
      <c r="P1118" s="126"/>
      <c r="Q1118" s="171"/>
      <c r="R1118" s="173"/>
      <c r="S1118" s="172"/>
      <c r="AE1118" s="143"/>
      <c r="AF1118" s="143"/>
      <c r="AG1118" s="143"/>
      <c r="AH1118" s="143"/>
      <c r="AI1118" s="143"/>
      <c r="AJ1118" s="143"/>
      <c r="AK1118" s="143"/>
      <c r="AL1118" s="192"/>
      <c r="AM1118" s="145"/>
      <c r="AN1118" s="192"/>
      <c r="AO1118" s="143"/>
    </row>
    <row r="1119" spans="3:41">
      <c r="C1119" s="136"/>
      <c r="D1119" s="136"/>
      <c r="F1119" s="15"/>
      <c r="G1119" s="138"/>
      <c r="H1119" s="138"/>
      <c r="I1119" s="126"/>
      <c r="J1119" s="15"/>
      <c r="K1119" s="15"/>
      <c r="L1119" s="20"/>
      <c r="M1119" s="20"/>
      <c r="N1119" s="126"/>
      <c r="O1119" s="126"/>
      <c r="P1119" s="126"/>
      <c r="Q1119" s="171"/>
      <c r="R1119" s="173"/>
      <c r="S1119" s="172"/>
      <c r="AE1119" s="143"/>
      <c r="AF1119" s="143"/>
      <c r="AG1119" s="143"/>
      <c r="AH1119" s="143"/>
      <c r="AI1119" s="143"/>
      <c r="AJ1119" s="143"/>
      <c r="AK1119" s="143"/>
      <c r="AL1119" s="143"/>
      <c r="AM1119" s="145"/>
      <c r="AN1119" s="143"/>
      <c r="AO1119" s="143"/>
    </row>
    <row r="1120" spans="3:41">
      <c r="C1120" s="136"/>
      <c r="D1120" s="136"/>
      <c r="F1120" s="15"/>
      <c r="G1120" s="138"/>
      <c r="H1120" s="138"/>
      <c r="I1120" s="126"/>
      <c r="J1120" s="15"/>
      <c r="K1120" s="15"/>
      <c r="L1120" s="20"/>
      <c r="M1120" s="20"/>
      <c r="N1120" s="126"/>
      <c r="O1120" s="126"/>
      <c r="P1120" s="126"/>
      <c r="Q1120" s="171"/>
      <c r="R1120" s="173"/>
      <c r="S1120" s="172"/>
      <c r="AE1120" s="143"/>
      <c r="AF1120" s="143"/>
      <c r="AG1120" s="143"/>
      <c r="AH1120" s="143"/>
      <c r="AI1120" s="143"/>
      <c r="AJ1120" s="143"/>
      <c r="AK1120" s="143"/>
      <c r="AL1120" s="192"/>
      <c r="AM1120" s="145"/>
      <c r="AN1120" s="192"/>
      <c r="AO1120" s="143"/>
    </row>
    <row r="1121" spans="3:41">
      <c r="C1121" s="136"/>
      <c r="D1121" s="136"/>
      <c r="F1121" s="15"/>
      <c r="G1121" s="138"/>
      <c r="H1121" s="138"/>
      <c r="I1121" s="126"/>
      <c r="J1121" s="15"/>
      <c r="K1121" s="15"/>
      <c r="L1121" s="20"/>
      <c r="M1121" s="20"/>
      <c r="N1121" s="126"/>
      <c r="O1121" s="126"/>
      <c r="P1121" s="126"/>
      <c r="Q1121" s="171"/>
      <c r="R1121" s="173"/>
      <c r="S1121" s="172"/>
      <c r="AE1121" s="143"/>
      <c r="AF1121" s="143"/>
      <c r="AG1121" s="143"/>
      <c r="AH1121" s="143"/>
      <c r="AI1121" s="143"/>
      <c r="AJ1121" s="143"/>
      <c r="AK1121" s="143"/>
      <c r="AL1121" s="192"/>
      <c r="AM1121" s="145"/>
      <c r="AN1121" s="192"/>
      <c r="AO1121" s="143"/>
    </row>
    <row r="1122" spans="3:41">
      <c r="C1122" s="136"/>
      <c r="D1122" s="136"/>
      <c r="F1122" s="15"/>
      <c r="G1122" s="138"/>
      <c r="H1122" s="138"/>
      <c r="I1122" s="126"/>
      <c r="J1122" s="15"/>
      <c r="K1122" s="15"/>
      <c r="L1122" s="20"/>
      <c r="M1122" s="20"/>
      <c r="N1122" s="126"/>
      <c r="O1122" s="126"/>
      <c r="P1122" s="126"/>
      <c r="Q1122" s="171"/>
      <c r="R1122" s="173"/>
      <c r="S1122" s="172"/>
      <c r="AE1122" s="143"/>
      <c r="AF1122" s="143"/>
      <c r="AG1122" s="143"/>
      <c r="AH1122" s="143"/>
      <c r="AI1122" s="143"/>
      <c r="AJ1122" s="143"/>
      <c r="AK1122" s="143"/>
      <c r="AL1122" s="143"/>
      <c r="AM1122" s="143"/>
      <c r="AN1122" s="143"/>
      <c r="AO1122" s="143"/>
    </row>
    <row r="1123" spans="3:41">
      <c r="C1123" s="136"/>
      <c r="D1123" s="136"/>
      <c r="F1123" s="15"/>
      <c r="G1123" s="138"/>
      <c r="H1123" s="138"/>
      <c r="I1123" s="126"/>
      <c r="J1123" s="15"/>
      <c r="K1123" s="15"/>
      <c r="L1123" s="20"/>
      <c r="M1123" s="20"/>
      <c r="N1123" s="126"/>
      <c r="O1123" s="126"/>
      <c r="P1123" s="126"/>
      <c r="Q1123" s="171"/>
      <c r="R1123" s="173"/>
      <c r="S1123" s="172"/>
      <c r="AE1123" s="143"/>
      <c r="AF1123" s="143"/>
      <c r="AG1123" s="143"/>
      <c r="AH1123" s="143"/>
      <c r="AI1123" s="143"/>
      <c r="AJ1123" s="143"/>
      <c r="AK1123" s="143"/>
      <c r="AL1123" s="192"/>
      <c r="AM1123" s="145"/>
      <c r="AN1123" s="192"/>
      <c r="AO1123" s="143"/>
    </row>
    <row r="1124" spans="3:41">
      <c r="C1124" s="136"/>
      <c r="D1124" s="136"/>
      <c r="F1124" s="15"/>
      <c r="G1124" s="138"/>
      <c r="H1124" s="138"/>
      <c r="I1124" s="126"/>
      <c r="J1124" s="15"/>
      <c r="K1124" s="15"/>
      <c r="L1124" s="20"/>
      <c r="M1124" s="20"/>
      <c r="N1124" s="126"/>
      <c r="O1124" s="126"/>
      <c r="P1124" s="126"/>
      <c r="Q1124" s="171"/>
      <c r="R1124" s="173"/>
      <c r="S1124" s="172"/>
      <c r="AE1124" s="143"/>
      <c r="AF1124" s="143"/>
      <c r="AG1124" s="143"/>
      <c r="AH1124" s="143"/>
      <c r="AI1124" s="143"/>
      <c r="AJ1124" s="143"/>
      <c r="AK1124" s="143"/>
      <c r="AL1124" s="192"/>
      <c r="AM1124" s="192"/>
      <c r="AN1124" s="195"/>
      <c r="AO1124" s="143"/>
    </row>
    <row r="1125" spans="3:41">
      <c r="C1125" s="136"/>
      <c r="D1125" s="136"/>
      <c r="F1125" s="15"/>
      <c r="G1125" s="138"/>
      <c r="H1125" s="138"/>
      <c r="I1125" s="126"/>
      <c r="J1125" s="15"/>
      <c r="K1125" s="15"/>
      <c r="L1125" s="20"/>
      <c r="M1125" s="20"/>
      <c r="N1125" s="126"/>
      <c r="O1125" s="126"/>
      <c r="P1125" s="126"/>
      <c r="Q1125" s="171"/>
      <c r="R1125" s="173"/>
      <c r="S1125" s="172"/>
      <c r="AE1125" s="143"/>
      <c r="AF1125" s="143"/>
      <c r="AG1125" s="143"/>
      <c r="AH1125" s="143"/>
      <c r="AI1125" s="143"/>
      <c r="AJ1125" s="143"/>
      <c r="AK1125" s="143"/>
      <c r="AL1125" s="143"/>
      <c r="AM1125" s="145"/>
      <c r="AN1125" s="143"/>
      <c r="AO1125" s="143"/>
    </row>
    <row r="1126" spans="3:41">
      <c r="C1126" s="136"/>
      <c r="D1126" s="136"/>
      <c r="F1126" s="15"/>
      <c r="G1126" s="138"/>
      <c r="H1126" s="138"/>
      <c r="I1126" s="126"/>
      <c r="J1126" s="15"/>
      <c r="K1126" s="15"/>
      <c r="L1126" s="20"/>
      <c r="M1126" s="20"/>
      <c r="N1126" s="126"/>
      <c r="O1126" s="126"/>
      <c r="P1126" s="126"/>
      <c r="Q1126" s="171"/>
      <c r="R1126" s="172"/>
      <c r="S1126" s="172"/>
      <c r="AE1126" s="143"/>
      <c r="AF1126" s="143"/>
      <c r="AG1126" s="143"/>
      <c r="AH1126" s="143"/>
      <c r="AI1126" s="143"/>
      <c r="AJ1126" s="143"/>
      <c r="AK1126" s="143"/>
      <c r="AL1126" s="192"/>
      <c r="AM1126" s="145"/>
      <c r="AN1126" s="143"/>
      <c r="AO1126" s="143"/>
    </row>
    <row r="1127" spans="3:41">
      <c r="C1127" s="136"/>
      <c r="D1127" s="136"/>
      <c r="F1127" s="15"/>
      <c r="G1127" s="138"/>
      <c r="H1127" s="138"/>
      <c r="I1127" s="126"/>
      <c r="J1127" s="15"/>
      <c r="K1127" s="15"/>
      <c r="L1127" s="20"/>
      <c r="M1127" s="20"/>
      <c r="N1127" s="126"/>
      <c r="O1127" s="126"/>
      <c r="P1127" s="126"/>
      <c r="Q1127" s="171"/>
      <c r="R1127" s="172"/>
      <c r="S1127" s="172"/>
      <c r="AE1127" s="143"/>
      <c r="AF1127" s="143"/>
      <c r="AG1127" s="143"/>
      <c r="AH1127" s="143"/>
      <c r="AI1127" s="143"/>
      <c r="AJ1127" s="143"/>
      <c r="AK1127" s="143"/>
      <c r="AL1127" s="192"/>
      <c r="AM1127" s="192"/>
      <c r="AN1127" s="145"/>
      <c r="AO1127" s="143"/>
    </row>
    <row r="1128" spans="3:41">
      <c r="C1128" s="136"/>
      <c r="D1128" s="136"/>
      <c r="F1128" s="15"/>
      <c r="G1128" s="138"/>
      <c r="H1128" s="138"/>
      <c r="I1128" s="126"/>
      <c r="J1128" s="15"/>
      <c r="K1128" s="15"/>
      <c r="L1128" s="20"/>
      <c r="M1128" s="20"/>
      <c r="N1128" s="126"/>
      <c r="O1128" s="126"/>
      <c r="P1128" s="126"/>
      <c r="Q1128" s="171"/>
      <c r="R1128" s="172"/>
      <c r="S1128" s="172"/>
      <c r="AE1128" s="143"/>
      <c r="AF1128" s="143"/>
      <c r="AG1128" s="143"/>
      <c r="AH1128" s="143"/>
      <c r="AI1128" s="143"/>
      <c r="AJ1128" s="143"/>
      <c r="AK1128" s="143"/>
      <c r="AL1128" s="192"/>
      <c r="AM1128" s="192"/>
      <c r="AN1128" s="145"/>
      <c r="AO1128" s="143"/>
    </row>
    <row r="1129" spans="3:41">
      <c r="C1129" s="136"/>
      <c r="D1129" s="136"/>
      <c r="F1129" s="15"/>
      <c r="G1129" s="138"/>
      <c r="H1129" s="138"/>
      <c r="I1129" s="126"/>
      <c r="J1129" s="15"/>
      <c r="K1129" s="15"/>
      <c r="L1129" s="20"/>
      <c r="M1129" s="20"/>
      <c r="N1129" s="126"/>
      <c r="O1129" s="126"/>
      <c r="P1129" s="126"/>
      <c r="Q1129" s="171"/>
      <c r="R1129" s="172"/>
      <c r="S1129" s="172"/>
      <c r="AE1129" s="143"/>
      <c r="AF1129" s="143"/>
      <c r="AG1129" s="143"/>
      <c r="AH1129" s="143"/>
      <c r="AI1129" s="143"/>
      <c r="AJ1129" s="143"/>
      <c r="AK1129" s="143"/>
      <c r="AL1129" s="192"/>
      <c r="AM1129" s="145"/>
      <c r="AN1129" s="192"/>
      <c r="AO1129" s="143"/>
    </row>
    <row r="1130" spans="3:41">
      <c r="C1130" s="136"/>
      <c r="D1130" s="136"/>
      <c r="F1130" s="15"/>
      <c r="G1130" s="138"/>
      <c r="H1130" s="138"/>
      <c r="I1130" s="126"/>
      <c r="J1130" s="15"/>
      <c r="K1130" s="15"/>
      <c r="L1130" s="20"/>
      <c r="M1130" s="20"/>
      <c r="N1130" s="126"/>
      <c r="O1130" s="126"/>
      <c r="P1130" s="126"/>
      <c r="Q1130" s="171"/>
      <c r="R1130" s="172"/>
      <c r="S1130" s="172"/>
      <c r="AE1130" s="143"/>
      <c r="AF1130" s="143"/>
      <c r="AG1130" s="143"/>
      <c r="AH1130" s="143"/>
      <c r="AI1130" s="143"/>
      <c r="AJ1130" s="143"/>
      <c r="AK1130" s="143"/>
      <c r="AL1130" s="192"/>
      <c r="AM1130" s="192"/>
      <c r="AN1130" s="192"/>
      <c r="AO1130" s="143"/>
    </row>
    <row r="1131" spans="3:41">
      <c r="C1131" s="136"/>
      <c r="D1131" s="136"/>
      <c r="F1131" s="15"/>
      <c r="G1131" s="138"/>
      <c r="H1131" s="138"/>
      <c r="I1131" s="126"/>
      <c r="J1131" s="15"/>
      <c r="K1131" s="15"/>
      <c r="L1131" s="20"/>
      <c r="M1131" s="20"/>
      <c r="N1131" s="126"/>
      <c r="O1131" s="126"/>
      <c r="P1131" s="126"/>
      <c r="Q1131" s="171"/>
      <c r="R1131" s="172"/>
      <c r="S1131" s="172"/>
      <c r="AE1131" s="143"/>
      <c r="AF1131" s="143"/>
      <c r="AG1131" s="143"/>
      <c r="AH1131" s="143"/>
      <c r="AI1131" s="143"/>
      <c r="AJ1131" s="143"/>
      <c r="AK1131" s="143"/>
      <c r="AL1131" s="192"/>
      <c r="AM1131" s="145"/>
      <c r="AN1131" s="192"/>
      <c r="AO1131" s="143"/>
    </row>
    <row r="1132" spans="3:41">
      <c r="C1132" s="136"/>
      <c r="D1132" s="136"/>
      <c r="F1132" s="15"/>
      <c r="G1132" s="138"/>
      <c r="H1132" s="138"/>
      <c r="I1132" s="126"/>
      <c r="J1132" s="15"/>
      <c r="K1132" s="15"/>
      <c r="L1132" s="20"/>
      <c r="M1132" s="20"/>
      <c r="N1132" s="126"/>
      <c r="O1132" s="126"/>
      <c r="P1132" s="126"/>
      <c r="Q1132" s="171"/>
      <c r="R1132" s="172"/>
      <c r="S1132" s="172"/>
      <c r="AE1132" s="143"/>
      <c r="AF1132" s="143"/>
      <c r="AG1132" s="143"/>
      <c r="AH1132" s="143"/>
      <c r="AI1132" s="143"/>
      <c r="AJ1132" s="143"/>
      <c r="AK1132" s="143"/>
      <c r="AL1132" s="192"/>
      <c r="AM1132" s="192"/>
      <c r="AN1132" s="145"/>
      <c r="AO1132" s="143"/>
    </row>
    <row r="1133" spans="3:41">
      <c r="C1133" s="136"/>
      <c r="D1133" s="136"/>
      <c r="F1133" s="15"/>
      <c r="G1133" s="138"/>
      <c r="H1133" s="138"/>
      <c r="I1133" s="126"/>
      <c r="J1133" s="15"/>
      <c r="K1133" s="15"/>
      <c r="L1133" s="20"/>
      <c r="M1133" s="20"/>
      <c r="N1133" s="126"/>
      <c r="O1133" s="126"/>
      <c r="P1133" s="126"/>
      <c r="Q1133" s="171"/>
      <c r="R1133" s="172"/>
      <c r="S1133" s="172"/>
      <c r="AE1133" s="143"/>
      <c r="AF1133" s="143"/>
      <c r="AG1133" s="143"/>
      <c r="AH1133" s="143"/>
      <c r="AI1133" s="143"/>
      <c r="AJ1133" s="143"/>
      <c r="AK1133" s="143"/>
      <c r="AL1133" s="192"/>
      <c r="AM1133" s="192"/>
      <c r="AN1133" s="192"/>
      <c r="AO1133" s="143"/>
    </row>
    <row r="1134" spans="3:41">
      <c r="C1134" s="136"/>
      <c r="D1134" s="136"/>
      <c r="F1134" s="15"/>
      <c r="G1134" s="138"/>
      <c r="H1134" s="138"/>
      <c r="I1134" s="126"/>
      <c r="J1134" s="15"/>
      <c r="K1134" s="15"/>
      <c r="L1134" s="20"/>
      <c r="M1134" s="20"/>
      <c r="N1134" s="126"/>
      <c r="O1134" s="126"/>
      <c r="P1134" s="126"/>
      <c r="Q1134" s="171"/>
      <c r="R1134" s="172"/>
      <c r="S1134" s="172"/>
      <c r="AE1134" s="143"/>
      <c r="AF1134" s="143"/>
      <c r="AG1134" s="143"/>
      <c r="AH1134" s="143"/>
      <c r="AI1134" s="143"/>
      <c r="AJ1134" s="143"/>
      <c r="AK1134" s="143"/>
      <c r="AL1134" s="143"/>
      <c r="AM1134" s="143"/>
      <c r="AN1134" s="143"/>
      <c r="AO1134" s="143"/>
    </row>
    <row r="1135" spans="3:41">
      <c r="C1135" s="136"/>
      <c r="D1135" s="136"/>
      <c r="F1135" s="15"/>
      <c r="G1135" s="138"/>
      <c r="H1135" s="138"/>
      <c r="I1135" s="126"/>
      <c r="J1135" s="15"/>
      <c r="K1135" s="15"/>
      <c r="L1135" s="20"/>
      <c r="M1135" s="20"/>
      <c r="N1135" s="126"/>
      <c r="O1135" s="126"/>
      <c r="P1135" s="126"/>
      <c r="Q1135" s="171"/>
      <c r="R1135" s="172"/>
      <c r="S1135" s="172"/>
      <c r="AE1135" s="143"/>
      <c r="AF1135" s="143"/>
      <c r="AG1135" s="143"/>
      <c r="AH1135" s="143"/>
      <c r="AI1135" s="143"/>
      <c r="AJ1135" s="143"/>
      <c r="AK1135" s="143"/>
      <c r="AL1135" s="192"/>
      <c r="AM1135" s="192"/>
      <c r="AN1135" s="192"/>
      <c r="AO1135" s="143"/>
    </row>
    <row r="1136" spans="3:41">
      <c r="C1136" s="136"/>
      <c r="D1136" s="136"/>
      <c r="F1136" s="15"/>
      <c r="G1136" s="138"/>
      <c r="H1136" s="138"/>
      <c r="I1136" s="126"/>
      <c r="J1136" s="15"/>
      <c r="K1136" s="15"/>
      <c r="L1136" s="20"/>
      <c r="M1136" s="20"/>
      <c r="N1136" s="126"/>
      <c r="O1136" s="126"/>
      <c r="P1136" s="126"/>
      <c r="Q1136" s="171"/>
      <c r="R1136" s="172"/>
      <c r="S1136" s="172"/>
      <c r="AE1136" s="143"/>
      <c r="AF1136" s="143"/>
      <c r="AG1136" s="143"/>
      <c r="AH1136" s="143"/>
      <c r="AI1136" s="143"/>
      <c r="AJ1136" s="143"/>
      <c r="AK1136" s="143"/>
      <c r="AL1136" s="192"/>
      <c r="AM1136" s="192"/>
      <c r="AN1136" s="145"/>
      <c r="AO1136" s="143"/>
    </row>
    <row r="1137" spans="3:41">
      <c r="C1137" s="136"/>
      <c r="D1137" s="136"/>
      <c r="F1137" s="15"/>
      <c r="G1137" s="138"/>
      <c r="H1137" s="138"/>
      <c r="I1137" s="126"/>
      <c r="J1137" s="15"/>
      <c r="K1137" s="15"/>
      <c r="L1137" s="20"/>
      <c r="M1137" s="20"/>
      <c r="N1137" s="126"/>
      <c r="O1137" s="126"/>
      <c r="P1137" s="126"/>
      <c r="Q1137" s="171"/>
      <c r="R1137" s="172"/>
      <c r="S1137" s="172"/>
      <c r="AE1137" s="143"/>
      <c r="AF1137" s="143"/>
      <c r="AG1137" s="143"/>
      <c r="AH1137" s="143"/>
      <c r="AI1137" s="143"/>
      <c r="AJ1137" s="143"/>
      <c r="AK1137" s="143"/>
      <c r="AL1137" s="192"/>
      <c r="AM1137" s="145"/>
      <c r="AN1137" s="192"/>
      <c r="AO1137" s="143"/>
    </row>
    <row r="1138" spans="3:41">
      <c r="C1138" s="136"/>
      <c r="D1138" s="136"/>
      <c r="F1138" s="15"/>
      <c r="G1138" s="138"/>
      <c r="H1138" s="138"/>
      <c r="I1138" s="126"/>
      <c r="J1138" s="15"/>
      <c r="K1138" s="15"/>
      <c r="L1138" s="20"/>
      <c r="M1138" s="20"/>
      <c r="N1138" s="126"/>
      <c r="O1138" s="126"/>
      <c r="P1138" s="126"/>
      <c r="Q1138" s="171"/>
      <c r="R1138" s="172"/>
      <c r="S1138" s="172"/>
      <c r="AE1138" s="143"/>
      <c r="AF1138" s="143"/>
      <c r="AG1138" s="143"/>
      <c r="AH1138" s="143"/>
      <c r="AI1138" s="143"/>
      <c r="AJ1138" s="143"/>
      <c r="AK1138" s="143"/>
      <c r="AL1138" s="192"/>
      <c r="AM1138" s="192"/>
      <c r="AN1138" s="145"/>
      <c r="AO1138" s="143"/>
    </row>
    <row r="1139" spans="3:41">
      <c r="C1139" s="136"/>
      <c r="D1139" s="136"/>
      <c r="F1139" s="15"/>
      <c r="G1139" s="138"/>
      <c r="H1139" s="138"/>
      <c r="I1139" s="126"/>
      <c r="J1139" s="15"/>
      <c r="K1139" s="15"/>
      <c r="L1139" s="20"/>
      <c r="M1139" s="20"/>
      <c r="N1139" s="126"/>
      <c r="O1139" s="126"/>
      <c r="P1139" s="126"/>
      <c r="Q1139" s="171"/>
      <c r="R1139" s="172"/>
      <c r="S1139" s="172"/>
      <c r="AE1139" s="143"/>
      <c r="AF1139" s="143"/>
      <c r="AG1139" s="143"/>
      <c r="AH1139" s="143"/>
      <c r="AI1139" s="143"/>
      <c r="AJ1139" s="143"/>
      <c r="AK1139" s="143"/>
      <c r="AL1139" s="192"/>
      <c r="AM1139" s="145"/>
      <c r="AN1139" s="192"/>
      <c r="AO1139" s="143"/>
    </row>
    <row r="1140" spans="3:41">
      <c r="C1140" s="136"/>
      <c r="D1140" s="136"/>
      <c r="F1140" s="15"/>
      <c r="G1140" s="138"/>
      <c r="H1140" s="138"/>
      <c r="I1140" s="126"/>
      <c r="J1140" s="15"/>
      <c r="K1140" s="15"/>
      <c r="L1140" s="20"/>
      <c r="M1140" s="20"/>
      <c r="N1140" s="126"/>
      <c r="O1140" s="126"/>
      <c r="P1140" s="126"/>
      <c r="Q1140" s="171"/>
      <c r="R1140" s="172"/>
      <c r="S1140" s="172"/>
      <c r="AE1140" s="143"/>
      <c r="AF1140" s="143"/>
      <c r="AG1140" s="143"/>
      <c r="AH1140" s="143"/>
      <c r="AI1140" s="143"/>
      <c r="AJ1140" s="143"/>
      <c r="AK1140" s="143"/>
      <c r="AL1140" s="192"/>
      <c r="AM1140" s="192"/>
      <c r="AN1140" s="145"/>
      <c r="AO1140" s="143"/>
    </row>
    <row r="1141" spans="3:41">
      <c r="C1141" s="136"/>
      <c r="D1141" s="136"/>
      <c r="F1141" s="15"/>
      <c r="G1141" s="138"/>
      <c r="H1141" s="138"/>
      <c r="I1141" s="126"/>
      <c r="J1141" s="15"/>
      <c r="K1141" s="15"/>
      <c r="L1141" s="20"/>
      <c r="M1141" s="20"/>
      <c r="N1141" s="126"/>
      <c r="O1141" s="126"/>
      <c r="P1141" s="126"/>
      <c r="Q1141" s="171"/>
      <c r="R1141" s="172"/>
      <c r="S1141" s="172"/>
      <c r="AE1141" s="143"/>
      <c r="AF1141" s="143"/>
      <c r="AG1141" s="143"/>
      <c r="AH1141" s="143"/>
      <c r="AI1141" s="143"/>
      <c r="AJ1141" s="143"/>
      <c r="AK1141" s="143"/>
      <c r="AL1141" s="192"/>
      <c r="AM1141" s="192"/>
      <c r="AN1141" s="192"/>
      <c r="AO1141" s="143"/>
    </row>
    <row r="1142" spans="3:41">
      <c r="C1142" s="136"/>
      <c r="D1142" s="136"/>
      <c r="F1142" s="15"/>
      <c r="G1142" s="138"/>
      <c r="H1142" s="138"/>
      <c r="I1142" s="126"/>
      <c r="J1142" s="15"/>
      <c r="K1142" s="15"/>
      <c r="L1142" s="20"/>
      <c r="M1142" s="20"/>
      <c r="N1142" s="126"/>
      <c r="O1142" s="126"/>
      <c r="P1142" s="126"/>
      <c r="Q1142" s="171"/>
      <c r="R1142" s="172"/>
      <c r="S1142" s="172"/>
      <c r="AE1142" s="143"/>
      <c r="AF1142" s="143"/>
      <c r="AG1142" s="143"/>
      <c r="AH1142" s="143"/>
      <c r="AI1142" s="143"/>
      <c r="AJ1142" s="143"/>
      <c r="AK1142" s="143"/>
      <c r="AL1142" s="192"/>
      <c r="AM1142" s="192"/>
      <c r="AN1142" s="145"/>
      <c r="AO1142" s="143"/>
    </row>
    <row r="1143" spans="3:41">
      <c r="C1143" s="136"/>
      <c r="D1143" s="136"/>
      <c r="F1143" s="15"/>
      <c r="G1143" s="138"/>
      <c r="H1143" s="138"/>
      <c r="I1143" s="126"/>
      <c r="J1143" s="15"/>
      <c r="K1143" s="15"/>
      <c r="L1143" s="20"/>
      <c r="M1143" s="20"/>
      <c r="N1143" s="126"/>
      <c r="O1143" s="126"/>
      <c r="P1143" s="126"/>
      <c r="Q1143" s="171"/>
      <c r="R1143" s="172"/>
      <c r="S1143" s="172"/>
      <c r="AE1143" s="143"/>
      <c r="AF1143" s="143"/>
      <c r="AG1143" s="143"/>
      <c r="AH1143" s="143"/>
      <c r="AI1143" s="143"/>
      <c r="AJ1143" s="143"/>
      <c r="AK1143" s="143"/>
      <c r="AL1143" s="192"/>
      <c r="AM1143" s="145"/>
      <c r="AN1143" s="192"/>
      <c r="AO1143" s="143"/>
    </row>
    <row r="1144" spans="3:41">
      <c r="C1144" s="136"/>
      <c r="D1144" s="136"/>
      <c r="F1144" s="15"/>
      <c r="G1144" s="138"/>
      <c r="H1144" s="138"/>
      <c r="I1144" s="126"/>
      <c r="J1144" s="15"/>
      <c r="K1144" s="15"/>
      <c r="L1144" s="20"/>
      <c r="M1144" s="20"/>
      <c r="N1144" s="126"/>
      <c r="O1144" s="126"/>
      <c r="P1144" s="126"/>
      <c r="Q1144" s="171"/>
      <c r="R1144" s="172"/>
      <c r="S1144" s="172"/>
      <c r="AE1144" s="143"/>
      <c r="AF1144" s="143"/>
      <c r="AG1144" s="143"/>
      <c r="AH1144" s="143"/>
      <c r="AI1144" s="143"/>
      <c r="AJ1144" s="143"/>
      <c r="AK1144" s="143"/>
      <c r="AL1144" s="192"/>
      <c r="AM1144" s="192"/>
      <c r="AN1144" s="192"/>
      <c r="AO1144" s="143"/>
    </row>
    <row r="1145" spans="3:41">
      <c r="C1145" s="136"/>
      <c r="D1145" s="136"/>
      <c r="F1145" s="15"/>
      <c r="G1145" s="138"/>
      <c r="H1145" s="138"/>
      <c r="I1145" s="126"/>
      <c r="J1145" s="15"/>
      <c r="K1145" s="15"/>
      <c r="L1145" s="20"/>
      <c r="M1145" s="20"/>
      <c r="N1145" s="126"/>
      <c r="O1145" s="126"/>
      <c r="P1145" s="126"/>
      <c r="Q1145" s="171"/>
      <c r="R1145" s="172"/>
      <c r="S1145" s="172"/>
      <c r="AE1145" s="143"/>
      <c r="AF1145" s="143"/>
      <c r="AG1145" s="143"/>
      <c r="AH1145" s="143"/>
      <c r="AI1145" s="143"/>
      <c r="AJ1145" s="143"/>
      <c r="AK1145" s="143"/>
      <c r="AL1145" s="143"/>
      <c r="AM1145" s="145"/>
      <c r="AN1145" s="143"/>
      <c r="AO1145" s="143"/>
    </row>
    <row r="1146" spans="3:41">
      <c r="C1146" s="136"/>
      <c r="D1146" s="136"/>
      <c r="F1146" s="15"/>
      <c r="G1146" s="138"/>
      <c r="H1146" s="138"/>
      <c r="I1146" s="126"/>
      <c r="J1146" s="15"/>
      <c r="K1146" s="15"/>
      <c r="L1146" s="20"/>
      <c r="M1146" s="20"/>
      <c r="N1146" s="126"/>
      <c r="O1146" s="126"/>
      <c r="P1146" s="126"/>
      <c r="Q1146" s="171"/>
      <c r="R1146" s="172"/>
      <c r="S1146" s="172"/>
      <c r="AE1146" s="143"/>
      <c r="AF1146" s="143"/>
      <c r="AG1146" s="143"/>
      <c r="AH1146" s="143"/>
      <c r="AI1146" s="143"/>
      <c r="AJ1146" s="143"/>
      <c r="AK1146" s="143"/>
      <c r="AL1146" s="192"/>
      <c r="AM1146" s="192"/>
      <c r="AN1146" s="145"/>
      <c r="AO1146" s="143"/>
    </row>
    <row r="1147" spans="3:41">
      <c r="C1147" s="136"/>
      <c r="D1147" s="136"/>
      <c r="F1147" s="15"/>
      <c r="G1147" s="138"/>
      <c r="H1147" s="138"/>
      <c r="I1147" s="126"/>
      <c r="J1147" s="15"/>
      <c r="K1147" s="15"/>
      <c r="L1147" s="20"/>
      <c r="M1147" s="20"/>
      <c r="N1147" s="126"/>
      <c r="O1147" s="126"/>
      <c r="P1147" s="126"/>
      <c r="Q1147" s="171"/>
      <c r="R1147" s="172"/>
      <c r="S1147" s="172"/>
      <c r="AE1147" s="143"/>
      <c r="AF1147" s="143"/>
      <c r="AG1147" s="143"/>
      <c r="AH1147" s="143"/>
      <c r="AI1147" s="143"/>
      <c r="AJ1147" s="143"/>
      <c r="AK1147" s="143"/>
      <c r="AL1147" s="192"/>
      <c r="AM1147" s="192"/>
      <c r="AN1147" s="145"/>
      <c r="AO1147" s="143"/>
    </row>
    <row r="1148" spans="3:41">
      <c r="C1148" s="136"/>
      <c r="D1148" s="136"/>
      <c r="F1148" s="15"/>
      <c r="G1148" s="138"/>
      <c r="H1148" s="138"/>
      <c r="I1148" s="126"/>
      <c r="J1148" s="15"/>
      <c r="K1148" s="15"/>
      <c r="L1148" s="20"/>
      <c r="M1148" s="20"/>
      <c r="N1148" s="126"/>
      <c r="O1148" s="126"/>
      <c r="P1148" s="126"/>
      <c r="Q1148" s="171"/>
      <c r="R1148" s="172"/>
      <c r="S1148" s="172"/>
      <c r="AE1148" s="143"/>
      <c r="AF1148" s="143"/>
      <c r="AG1148" s="143"/>
      <c r="AH1148" s="143"/>
      <c r="AI1148" s="143"/>
      <c r="AJ1148" s="143"/>
      <c r="AK1148" s="143"/>
      <c r="AL1148" s="192"/>
      <c r="AM1148" s="145"/>
      <c r="AN1148" s="192"/>
      <c r="AO1148" s="143"/>
    </row>
    <row r="1149" spans="3:41">
      <c r="C1149" s="136"/>
      <c r="D1149" s="136"/>
      <c r="F1149" s="15"/>
      <c r="G1149" s="138"/>
      <c r="H1149" s="138"/>
      <c r="I1149" s="126"/>
      <c r="J1149" s="15"/>
      <c r="K1149" s="15"/>
      <c r="L1149" s="20"/>
      <c r="M1149" s="20"/>
      <c r="N1149" s="126"/>
      <c r="O1149" s="126"/>
      <c r="P1149" s="126"/>
      <c r="Q1149" s="171"/>
      <c r="R1149" s="172"/>
      <c r="S1149" s="172"/>
      <c r="AE1149" s="143"/>
      <c r="AF1149" s="143"/>
      <c r="AG1149" s="143"/>
      <c r="AH1149" s="143"/>
      <c r="AI1149" s="143"/>
      <c r="AJ1149" s="143"/>
      <c r="AK1149" s="143"/>
      <c r="AL1149" s="192"/>
      <c r="AM1149" s="145"/>
      <c r="AN1149" s="192"/>
      <c r="AO1149" s="143"/>
    </row>
    <row r="1150" spans="3:41">
      <c r="C1150" s="136"/>
      <c r="D1150" s="136"/>
      <c r="F1150" s="15"/>
      <c r="G1150" s="138"/>
      <c r="H1150" s="138"/>
      <c r="I1150" s="126"/>
      <c r="J1150" s="15"/>
      <c r="K1150" s="15"/>
      <c r="L1150" s="20"/>
      <c r="M1150" s="20"/>
      <c r="N1150" s="126"/>
      <c r="O1150" s="126"/>
      <c r="P1150" s="126"/>
      <c r="Q1150" s="171"/>
      <c r="R1150" s="172"/>
      <c r="S1150" s="172"/>
      <c r="AE1150" s="143"/>
      <c r="AF1150" s="143"/>
      <c r="AG1150" s="143"/>
      <c r="AH1150" s="143"/>
      <c r="AI1150" s="143"/>
      <c r="AJ1150" s="143"/>
      <c r="AK1150" s="143"/>
      <c r="AL1150" s="192"/>
      <c r="AM1150" s="192"/>
      <c r="AN1150" s="145"/>
      <c r="AO1150" s="143"/>
    </row>
    <row r="1151" spans="3:41">
      <c r="C1151" s="136"/>
      <c r="D1151" s="136"/>
      <c r="F1151" s="15"/>
      <c r="G1151" s="138"/>
      <c r="H1151" s="138"/>
      <c r="I1151" s="126"/>
      <c r="J1151" s="15"/>
      <c r="K1151" s="15"/>
      <c r="L1151" s="20"/>
      <c r="M1151" s="20"/>
      <c r="N1151" s="126"/>
      <c r="O1151" s="126"/>
      <c r="P1151" s="126"/>
      <c r="Q1151" s="171"/>
      <c r="R1151" s="172"/>
      <c r="S1151" s="172"/>
      <c r="AE1151" s="143"/>
      <c r="AF1151" s="143"/>
      <c r="AG1151" s="143"/>
      <c r="AH1151" s="143"/>
      <c r="AI1151" s="143"/>
      <c r="AJ1151" s="143"/>
      <c r="AK1151" s="143"/>
      <c r="AL1151" s="143"/>
      <c r="AM1151" s="145"/>
      <c r="AN1151" s="192"/>
      <c r="AO1151" s="143"/>
    </row>
    <row r="1152" spans="3:41">
      <c r="C1152" s="136"/>
      <c r="D1152" s="136"/>
      <c r="F1152" s="15"/>
      <c r="G1152" s="138"/>
      <c r="H1152" s="138"/>
      <c r="I1152" s="126"/>
      <c r="J1152" s="15"/>
      <c r="K1152" s="15"/>
      <c r="L1152" s="20"/>
      <c r="M1152" s="20"/>
      <c r="N1152" s="126"/>
      <c r="O1152" s="126"/>
      <c r="P1152" s="126"/>
      <c r="Q1152" s="171"/>
      <c r="R1152" s="172"/>
      <c r="S1152" s="172"/>
      <c r="AE1152" s="143"/>
      <c r="AF1152" s="143"/>
      <c r="AG1152" s="143"/>
      <c r="AH1152" s="143"/>
      <c r="AI1152" s="143"/>
      <c r="AJ1152" s="143"/>
      <c r="AK1152" s="143"/>
      <c r="AL1152" s="143"/>
      <c r="AM1152" s="145"/>
      <c r="AN1152" s="143"/>
      <c r="AO1152" s="143"/>
    </row>
    <row r="1153" spans="3:41">
      <c r="C1153" s="136"/>
      <c r="D1153" s="136"/>
      <c r="F1153" s="15"/>
      <c r="G1153" s="138"/>
      <c r="H1153" s="138"/>
      <c r="I1153" s="126"/>
      <c r="J1153" s="15"/>
      <c r="K1153" s="15"/>
      <c r="L1153" s="20"/>
      <c r="M1153" s="20"/>
      <c r="N1153" s="126"/>
      <c r="O1153" s="126"/>
      <c r="P1153" s="126"/>
      <c r="Q1153" s="171"/>
      <c r="R1153" s="172"/>
      <c r="S1153" s="172"/>
      <c r="AE1153" s="143"/>
      <c r="AF1153" s="143"/>
      <c r="AG1153" s="143"/>
      <c r="AH1153" s="143"/>
      <c r="AI1153" s="143"/>
      <c r="AJ1153" s="143"/>
      <c r="AK1153" s="193"/>
      <c r="AL1153" s="192"/>
      <c r="AM1153" s="145"/>
      <c r="AN1153" s="192"/>
      <c r="AO1153" s="143"/>
    </row>
    <row r="1154" spans="3:41">
      <c r="C1154" s="136"/>
      <c r="D1154" s="136"/>
      <c r="F1154" s="15"/>
      <c r="G1154" s="138"/>
      <c r="H1154" s="138"/>
      <c r="I1154" s="126"/>
      <c r="J1154" s="15"/>
      <c r="K1154" s="15"/>
      <c r="L1154" s="20"/>
      <c r="M1154" s="20"/>
      <c r="N1154" s="126"/>
      <c r="O1154" s="126"/>
      <c r="P1154" s="126"/>
      <c r="Q1154" s="171"/>
      <c r="R1154" s="173"/>
      <c r="S1154" s="172"/>
      <c r="AE1154" s="143"/>
      <c r="AF1154" s="143"/>
      <c r="AG1154" s="143"/>
      <c r="AH1154" s="143"/>
      <c r="AI1154" s="143"/>
      <c r="AJ1154" s="143"/>
      <c r="AK1154" s="193"/>
      <c r="AL1154" s="192"/>
      <c r="AM1154" s="192"/>
      <c r="AN1154" s="153"/>
      <c r="AO1154" s="143"/>
    </row>
    <row r="1155" spans="3:41">
      <c r="C1155" s="136"/>
      <c r="D1155" s="136"/>
      <c r="F1155" s="15"/>
      <c r="G1155" s="138"/>
      <c r="H1155" s="138"/>
      <c r="I1155" s="126"/>
      <c r="J1155" s="15"/>
      <c r="K1155" s="15"/>
      <c r="L1155" s="20"/>
      <c r="M1155" s="20"/>
      <c r="N1155" s="126"/>
      <c r="O1155" s="126"/>
      <c r="P1155" s="126"/>
      <c r="Q1155" s="171"/>
      <c r="R1155" s="172"/>
      <c r="S1155" s="172"/>
      <c r="AE1155" s="143"/>
      <c r="AF1155" s="143"/>
      <c r="AG1155" s="143"/>
      <c r="AH1155" s="143"/>
      <c r="AI1155" s="143"/>
      <c r="AJ1155" s="143"/>
      <c r="AK1155" s="193"/>
      <c r="AL1155" s="192"/>
      <c r="AM1155" s="192"/>
      <c r="AN1155" s="153"/>
      <c r="AO1155" s="143"/>
    </row>
    <row r="1156" spans="3:41">
      <c r="C1156" s="136"/>
      <c r="D1156" s="136"/>
      <c r="F1156" s="15"/>
      <c r="G1156" s="138"/>
      <c r="H1156" s="138"/>
      <c r="I1156" s="126"/>
      <c r="J1156" s="15"/>
      <c r="K1156" s="15"/>
      <c r="L1156" s="20"/>
      <c r="M1156" s="20"/>
      <c r="N1156" s="126"/>
      <c r="O1156" s="126"/>
      <c r="P1156" s="126"/>
      <c r="Q1156" s="171"/>
      <c r="R1156" s="172"/>
      <c r="S1156" s="172"/>
      <c r="AE1156" s="143"/>
      <c r="AF1156" s="143"/>
      <c r="AG1156" s="143"/>
      <c r="AH1156" s="143"/>
      <c r="AI1156" s="143"/>
      <c r="AJ1156" s="143"/>
      <c r="AK1156" s="193"/>
      <c r="AL1156" s="192"/>
      <c r="AM1156" s="192"/>
      <c r="AN1156" s="153"/>
      <c r="AO1156" s="143"/>
    </row>
    <row r="1157" spans="3:41">
      <c r="C1157" s="136"/>
      <c r="D1157" s="136"/>
      <c r="F1157" s="15"/>
      <c r="G1157" s="138"/>
      <c r="H1157" s="138"/>
      <c r="I1157" s="126"/>
      <c r="J1157" s="15"/>
      <c r="K1157" s="15"/>
      <c r="L1157" s="20"/>
      <c r="M1157" s="20"/>
      <c r="N1157" s="126"/>
      <c r="O1157" s="126"/>
      <c r="P1157" s="126"/>
      <c r="Q1157" s="171"/>
      <c r="R1157" s="173"/>
      <c r="S1157" s="172"/>
      <c r="AE1157" s="143"/>
      <c r="AF1157" s="143"/>
      <c r="AG1157" s="143"/>
      <c r="AH1157" s="143"/>
      <c r="AI1157" s="143"/>
      <c r="AJ1157" s="143"/>
      <c r="AK1157" s="193"/>
      <c r="AL1157" s="192"/>
      <c r="AM1157" s="145"/>
      <c r="AN1157" s="192"/>
      <c r="AO1157" s="143"/>
    </row>
    <row r="1158" spans="3:41">
      <c r="C1158" s="136"/>
      <c r="D1158" s="136"/>
      <c r="F1158" s="15"/>
      <c r="G1158" s="138"/>
      <c r="H1158" s="138"/>
      <c r="I1158" s="126"/>
      <c r="J1158" s="15"/>
      <c r="K1158" s="15"/>
      <c r="L1158" s="20"/>
      <c r="M1158" s="20"/>
      <c r="N1158" s="126"/>
      <c r="O1158" s="126"/>
      <c r="P1158" s="126"/>
      <c r="Q1158" s="171"/>
      <c r="R1158" s="172"/>
      <c r="S1158" s="172"/>
      <c r="AE1158" s="143"/>
      <c r="AF1158" s="143"/>
      <c r="AG1158" s="143"/>
      <c r="AH1158" s="143"/>
      <c r="AI1158" s="143"/>
      <c r="AJ1158" s="143"/>
      <c r="AK1158" s="193"/>
      <c r="AL1158" s="192"/>
      <c r="AM1158" s="192"/>
      <c r="AN1158" s="153"/>
      <c r="AO1158" s="143"/>
    </row>
    <row r="1159" spans="3:41">
      <c r="C1159" s="136"/>
      <c r="D1159" s="136"/>
      <c r="F1159" s="15"/>
      <c r="G1159" s="138"/>
      <c r="H1159" s="138"/>
      <c r="I1159" s="126"/>
      <c r="J1159" s="15"/>
      <c r="K1159" s="15"/>
      <c r="L1159" s="20"/>
      <c r="M1159" s="20"/>
      <c r="N1159" s="126"/>
      <c r="O1159" s="126"/>
      <c r="P1159" s="126"/>
      <c r="Q1159" s="171"/>
      <c r="R1159" s="172"/>
      <c r="S1159" s="172"/>
      <c r="AE1159" s="143"/>
      <c r="AF1159" s="143"/>
      <c r="AG1159" s="143"/>
      <c r="AH1159" s="143"/>
      <c r="AI1159" s="143"/>
      <c r="AJ1159" s="143"/>
      <c r="AK1159" s="193"/>
      <c r="AL1159" s="192"/>
      <c r="AM1159" s="145"/>
      <c r="AN1159" s="192"/>
      <c r="AO1159" s="143"/>
    </row>
    <row r="1160" spans="3:41">
      <c r="C1160" s="136"/>
      <c r="D1160" s="136"/>
      <c r="F1160" s="15"/>
      <c r="G1160" s="138"/>
      <c r="H1160" s="138"/>
      <c r="I1160" s="126"/>
      <c r="J1160" s="15"/>
      <c r="K1160" s="15"/>
      <c r="L1160" s="20"/>
      <c r="M1160" s="20"/>
      <c r="N1160" s="126"/>
      <c r="O1160" s="126"/>
      <c r="P1160" s="126"/>
      <c r="Q1160" s="171"/>
      <c r="R1160" s="172"/>
      <c r="S1160" s="172"/>
      <c r="AE1160" s="143"/>
      <c r="AF1160" s="143"/>
      <c r="AG1160" s="143"/>
      <c r="AH1160" s="143"/>
      <c r="AI1160" s="143"/>
      <c r="AJ1160" s="143"/>
      <c r="AK1160" s="193"/>
      <c r="AL1160" s="192"/>
      <c r="AM1160" s="145"/>
      <c r="AN1160" s="192"/>
      <c r="AO1160" s="143"/>
    </row>
    <row r="1161" spans="3:41">
      <c r="C1161" s="136"/>
      <c r="D1161" s="136"/>
      <c r="F1161" s="15"/>
      <c r="G1161" s="138"/>
      <c r="H1161" s="138"/>
      <c r="I1161" s="126"/>
      <c r="J1161" s="15"/>
      <c r="K1161" s="15"/>
      <c r="L1161" s="20"/>
      <c r="M1161" s="20"/>
      <c r="N1161" s="126"/>
      <c r="O1161" s="126"/>
      <c r="P1161" s="126"/>
      <c r="Q1161" s="171"/>
      <c r="R1161" s="172"/>
      <c r="S1161" s="172"/>
      <c r="AE1161" s="143"/>
      <c r="AF1161" s="143"/>
      <c r="AG1161" s="143"/>
      <c r="AH1161" s="143"/>
      <c r="AI1161" s="143"/>
      <c r="AJ1161" s="143"/>
      <c r="AK1161" s="193"/>
      <c r="AL1161" s="192"/>
      <c r="AM1161" s="145"/>
      <c r="AN1161" s="192"/>
      <c r="AO1161" s="143"/>
    </row>
    <row r="1162" spans="3:41">
      <c r="C1162" s="136"/>
      <c r="D1162" s="136"/>
      <c r="F1162" s="15"/>
      <c r="G1162" s="138"/>
      <c r="H1162" s="138"/>
      <c r="I1162" s="126"/>
      <c r="J1162" s="15"/>
      <c r="K1162" s="15"/>
      <c r="L1162" s="20"/>
      <c r="M1162" s="20"/>
      <c r="N1162" s="126"/>
      <c r="O1162" s="126"/>
      <c r="P1162" s="126"/>
      <c r="Q1162" s="171"/>
      <c r="R1162" s="172"/>
      <c r="S1162" s="172"/>
      <c r="AE1162" s="143"/>
      <c r="AF1162" s="143"/>
      <c r="AG1162" s="143"/>
      <c r="AH1162" s="143"/>
      <c r="AI1162" s="143"/>
      <c r="AJ1162" s="143"/>
      <c r="AK1162" s="193"/>
      <c r="AL1162" s="192"/>
      <c r="AM1162" s="192"/>
      <c r="AN1162" s="153"/>
      <c r="AO1162" s="143"/>
    </row>
    <row r="1163" spans="3:41">
      <c r="C1163" s="136"/>
      <c r="D1163" s="136"/>
      <c r="F1163" s="15"/>
      <c r="G1163" s="138"/>
      <c r="H1163" s="138"/>
      <c r="I1163" s="126"/>
      <c r="J1163" s="15"/>
      <c r="K1163" s="15"/>
      <c r="L1163" s="20"/>
      <c r="M1163" s="20"/>
      <c r="N1163" s="126"/>
      <c r="O1163" s="126"/>
      <c r="P1163" s="126"/>
      <c r="Q1163" s="171"/>
      <c r="R1163" s="172"/>
      <c r="S1163" s="172"/>
      <c r="AE1163" s="143"/>
      <c r="AF1163" s="143"/>
      <c r="AG1163" s="143"/>
      <c r="AH1163" s="143"/>
      <c r="AI1163" s="143"/>
      <c r="AJ1163" s="143"/>
      <c r="AK1163" s="193"/>
      <c r="AL1163" s="192"/>
      <c r="AM1163" s="192"/>
      <c r="AN1163" s="192"/>
      <c r="AO1163" s="143"/>
    </row>
    <row r="1164" spans="3:41">
      <c r="C1164" s="136"/>
      <c r="D1164" s="136"/>
      <c r="F1164" s="15"/>
      <c r="G1164" s="138"/>
      <c r="H1164" s="138"/>
      <c r="I1164" s="126"/>
      <c r="J1164" s="15"/>
      <c r="K1164" s="15"/>
      <c r="L1164" s="20"/>
      <c r="M1164" s="20"/>
      <c r="N1164" s="126"/>
      <c r="O1164" s="126"/>
      <c r="P1164" s="126"/>
      <c r="Q1164" s="171"/>
      <c r="R1164" s="172"/>
      <c r="S1164" s="172"/>
      <c r="AE1164" s="143"/>
      <c r="AF1164" s="143"/>
      <c r="AG1164" s="143"/>
      <c r="AH1164" s="143"/>
      <c r="AI1164" s="143"/>
      <c r="AJ1164" s="143"/>
      <c r="AK1164" s="193"/>
      <c r="AL1164" s="192"/>
      <c r="AM1164" s="192"/>
      <c r="AN1164" s="192"/>
      <c r="AO1164" s="143"/>
    </row>
    <row r="1165" spans="3:41">
      <c r="C1165" s="136"/>
      <c r="D1165" s="136"/>
      <c r="F1165" s="15"/>
      <c r="G1165" s="138"/>
      <c r="H1165" s="138"/>
      <c r="I1165" s="126"/>
      <c r="J1165" s="15"/>
      <c r="K1165" s="15"/>
      <c r="L1165" s="20"/>
      <c r="M1165" s="20"/>
      <c r="N1165" s="126"/>
      <c r="O1165" s="126"/>
      <c r="P1165" s="126"/>
      <c r="Q1165" s="171"/>
      <c r="R1165" s="172"/>
      <c r="S1165" s="172"/>
      <c r="AE1165" s="143"/>
      <c r="AF1165" s="143"/>
      <c r="AG1165" s="143"/>
      <c r="AH1165" s="143"/>
      <c r="AI1165" s="143"/>
      <c r="AJ1165" s="143"/>
      <c r="AK1165" s="193"/>
      <c r="AL1165" s="192"/>
      <c r="AM1165" s="192"/>
      <c r="AN1165" s="192"/>
      <c r="AO1165" s="143"/>
    </row>
    <row r="1166" spans="3:41">
      <c r="C1166" s="136"/>
      <c r="D1166" s="136"/>
      <c r="F1166" s="15"/>
      <c r="G1166" s="138"/>
      <c r="H1166" s="138"/>
      <c r="I1166" s="126"/>
      <c r="J1166" s="15"/>
      <c r="K1166" s="15"/>
      <c r="L1166" s="20"/>
      <c r="M1166" s="20"/>
      <c r="N1166" s="126"/>
      <c r="O1166" s="126"/>
      <c r="P1166" s="126"/>
      <c r="Q1166" s="171"/>
      <c r="R1166" s="172"/>
      <c r="S1166" s="172"/>
      <c r="AE1166" s="143"/>
      <c r="AF1166" s="143"/>
      <c r="AG1166" s="143"/>
      <c r="AH1166" s="143"/>
      <c r="AI1166" s="143"/>
      <c r="AJ1166" s="143"/>
      <c r="AK1166" s="193"/>
      <c r="AL1166" s="192"/>
      <c r="AM1166" s="192"/>
      <c r="AN1166" s="192"/>
      <c r="AO1166" s="143"/>
    </row>
    <row r="1167" spans="3:41">
      <c r="C1167" s="136"/>
      <c r="D1167" s="136"/>
      <c r="F1167" s="15"/>
      <c r="G1167" s="138"/>
      <c r="H1167" s="138"/>
      <c r="I1167" s="126"/>
      <c r="J1167" s="15"/>
      <c r="K1167" s="15"/>
      <c r="L1167" s="20"/>
      <c r="M1167" s="20"/>
      <c r="N1167" s="126"/>
      <c r="O1167" s="126"/>
      <c r="P1167" s="126"/>
      <c r="Q1167" s="171"/>
      <c r="R1167" s="172"/>
      <c r="S1167" s="172"/>
      <c r="AE1167" s="143"/>
      <c r="AF1167" s="143"/>
      <c r="AG1167" s="143"/>
      <c r="AH1167" s="143"/>
      <c r="AI1167" s="143"/>
      <c r="AJ1167" s="143"/>
      <c r="AK1167" s="193"/>
      <c r="AL1167" s="192"/>
      <c r="AM1167" s="145"/>
      <c r="AN1167" s="192"/>
      <c r="AO1167" s="143"/>
    </row>
    <row r="1168" spans="3:41">
      <c r="C1168" s="136"/>
      <c r="D1168" s="136"/>
      <c r="F1168" s="15"/>
      <c r="G1168" s="138"/>
      <c r="H1168" s="138"/>
      <c r="I1168" s="126"/>
      <c r="J1168" s="15"/>
      <c r="K1168" s="15"/>
      <c r="L1168" s="20"/>
      <c r="M1168" s="20"/>
      <c r="N1168" s="126"/>
      <c r="O1168" s="126"/>
      <c r="P1168" s="126"/>
      <c r="Q1168" s="171"/>
      <c r="R1168" s="172"/>
      <c r="S1168" s="172"/>
      <c r="AE1168" s="143"/>
      <c r="AF1168" s="143"/>
      <c r="AG1168" s="143"/>
      <c r="AH1168" s="143"/>
      <c r="AI1168" s="143"/>
      <c r="AJ1168" s="143"/>
      <c r="AK1168" s="193"/>
      <c r="AL1168" s="192"/>
      <c r="AM1168" s="192"/>
      <c r="AN1168" s="153"/>
      <c r="AO1168" s="143"/>
    </row>
    <row r="1169" spans="3:41">
      <c r="C1169" s="136"/>
      <c r="D1169" s="136"/>
      <c r="F1169" s="15"/>
      <c r="G1169" s="138"/>
      <c r="H1169" s="138"/>
      <c r="I1169" s="126"/>
      <c r="J1169" s="15"/>
      <c r="K1169" s="15"/>
      <c r="L1169" s="20"/>
      <c r="M1169" s="20"/>
      <c r="N1169" s="126"/>
      <c r="O1169" s="126"/>
      <c r="P1169" s="126"/>
      <c r="Q1169" s="171"/>
      <c r="R1169" s="172"/>
      <c r="S1169" s="172"/>
      <c r="AE1169" s="143"/>
      <c r="AF1169" s="143"/>
      <c r="AG1169" s="143"/>
      <c r="AH1169" s="143"/>
      <c r="AI1169" s="143"/>
      <c r="AJ1169" s="143"/>
      <c r="AK1169" s="193"/>
      <c r="AL1169" s="192"/>
      <c r="AM1169" s="192"/>
      <c r="AN1169" s="192"/>
      <c r="AO1169" s="143"/>
    </row>
    <row r="1170" spans="3:41">
      <c r="C1170" s="136"/>
      <c r="D1170" s="136"/>
      <c r="F1170" s="15"/>
      <c r="G1170" s="138"/>
      <c r="H1170" s="138"/>
      <c r="I1170" s="126"/>
      <c r="J1170" s="15"/>
      <c r="K1170" s="15"/>
      <c r="L1170" s="20"/>
      <c r="M1170" s="20"/>
      <c r="N1170" s="126"/>
      <c r="O1170" s="126"/>
      <c r="P1170" s="126"/>
      <c r="Q1170" s="171"/>
      <c r="R1170" s="172"/>
      <c r="S1170" s="172"/>
      <c r="AE1170" s="143"/>
      <c r="AF1170" s="143"/>
      <c r="AG1170" s="143"/>
      <c r="AH1170" s="143"/>
      <c r="AI1170" s="143"/>
      <c r="AJ1170" s="143"/>
      <c r="AK1170" s="193"/>
      <c r="AL1170" s="192"/>
      <c r="AM1170" s="192"/>
      <c r="AN1170" s="153"/>
      <c r="AO1170" s="143"/>
    </row>
    <row r="1171" spans="3:41">
      <c r="C1171" s="136"/>
      <c r="D1171" s="136"/>
      <c r="F1171" s="15"/>
      <c r="G1171" s="138"/>
      <c r="H1171" s="138"/>
      <c r="I1171" s="126"/>
      <c r="J1171" s="15"/>
      <c r="K1171" s="15"/>
      <c r="L1171" s="20"/>
      <c r="M1171" s="20"/>
      <c r="N1171" s="126"/>
      <c r="O1171" s="126"/>
      <c r="P1171" s="126"/>
      <c r="Q1171" s="171"/>
      <c r="R1171" s="172"/>
      <c r="S1171" s="172"/>
      <c r="AE1171" s="143"/>
      <c r="AF1171" s="143"/>
      <c r="AG1171" s="143"/>
      <c r="AH1171" s="143"/>
      <c r="AI1171" s="143"/>
      <c r="AJ1171" s="143"/>
      <c r="AK1171" s="193"/>
      <c r="AL1171" s="192"/>
      <c r="AM1171" s="145"/>
      <c r="AN1171" s="192"/>
      <c r="AO1171" s="143"/>
    </row>
    <row r="1172" spans="3:41">
      <c r="C1172" s="136"/>
      <c r="D1172" s="136"/>
      <c r="F1172" s="15"/>
      <c r="G1172" s="138"/>
      <c r="H1172" s="138"/>
      <c r="I1172" s="126"/>
      <c r="J1172" s="15"/>
      <c r="K1172" s="15"/>
      <c r="L1172" s="20"/>
      <c r="M1172" s="20"/>
      <c r="N1172" s="126"/>
      <c r="O1172" s="126"/>
      <c r="P1172" s="126"/>
      <c r="Q1172" s="171"/>
      <c r="R1172" s="172"/>
      <c r="S1172" s="172"/>
      <c r="AE1172" s="143"/>
      <c r="AF1172" s="143"/>
      <c r="AG1172" s="143"/>
      <c r="AH1172" s="143"/>
      <c r="AI1172" s="143"/>
      <c r="AJ1172" s="143"/>
      <c r="AK1172" s="193"/>
      <c r="AL1172" s="192"/>
      <c r="AM1172" s="192"/>
      <c r="AN1172" s="192"/>
      <c r="AO1172" s="143"/>
    </row>
    <row r="1173" spans="3:41">
      <c r="C1173" s="136"/>
      <c r="D1173" s="136"/>
      <c r="F1173" s="15"/>
      <c r="G1173" s="138"/>
      <c r="H1173" s="138"/>
      <c r="I1173" s="126"/>
      <c r="J1173" s="15"/>
      <c r="K1173" s="15"/>
      <c r="L1173" s="20"/>
      <c r="M1173" s="20"/>
      <c r="N1173" s="126"/>
      <c r="O1173" s="126"/>
      <c r="P1173" s="126"/>
      <c r="Q1173" s="171"/>
      <c r="R1173" s="172"/>
      <c r="S1173" s="172"/>
      <c r="AE1173" s="143"/>
      <c r="AF1173" s="143"/>
      <c r="AG1173" s="143"/>
      <c r="AH1173" s="143"/>
      <c r="AI1173" s="143"/>
      <c r="AJ1173" s="143"/>
      <c r="AK1173" s="193"/>
      <c r="AL1173" s="192"/>
      <c r="AM1173" s="145"/>
      <c r="AN1173" s="192"/>
      <c r="AO1173" s="143"/>
    </row>
    <row r="1174" spans="3:41">
      <c r="C1174" s="136"/>
      <c r="D1174" s="136"/>
      <c r="F1174" s="15"/>
      <c r="G1174" s="138"/>
      <c r="H1174" s="138"/>
      <c r="I1174" s="126"/>
      <c r="J1174" s="15"/>
      <c r="K1174" s="15"/>
      <c r="L1174" s="20"/>
      <c r="M1174" s="20"/>
      <c r="N1174" s="126"/>
      <c r="O1174" s="126"/>
      <c r="P1174" s="126"/>
      <c r="Q1174" s="171"/>
      <c r="R1174" s="172"/>
      <c r="S1174" s="172"/>
      <c r="AE1174" s="143"/>
      <c r="AF1174" s="143"/>
      <c r="AG1174" s="143"/>
      <c r="AH1174" s="143"/>
      <c r="AI1174" s="143"/>
      <c r="AJ1174" s="143"/>
      <c r="AK1174" s="193"/>
      <c r="AL1174" s="192"/>
      <c r="AM1174" s="192"/>
      <c r="AN1174" s="153"/>
      <c r="AO1174" s="143"/>
    </row>
    <row r="1175" spans="3:41">
      <c r="C1175" s="136"/>
      <c r="D1175" s="136"/>
      <c r="F1175" s="15"/>
      <c r="G1175" s="138"/>
      <c r="H1175" s="138"/>
      <c r="I1175" s="126"/>
      <c r="J1175" s="15"/>
      <c r="K1175" s="15"/>
      <c r="L1175" s="20"/>
      <c r="M1175" s="20"/>
      <c r="N1175" s="126"/>
      <c r="O1175" s="126"/>
      <c r="P1175" s="126"/>
      <c r="Q1175" s="171"/>
      <c r="R1175" s="172"/>
      <c r="S1175" s="172"/>
      <c r="AE1175" s="143"/>
      <c r="AF1175" s="143"/>
      <c r="AG1175" s="143"/>
      <c r="AH1175" s="143"/>
      <c r="AI1175" s="143"/>
      <c r="AJ1175" s="143"/>
      <c r="AK1175" s="193"/>
      <c r="AL1175" s="192"/>
      <c r="AM1175" s="145"/>
      <c r="AN1175" s="143"/>
      <c r="AO1175" s="143"/>
    </row>
    <row r="1176" spans="3:41">
      <c r="C1176" s="136"/>
      <c r="D1176" s="136"/>
      <c r="F1176" s="15"/>
      <c r="G1176" s="138"/>
      <c r="H1176" s="138"/>
      <c r="I1176" s="126"/>
      <c r="J1176" s="15"/>
      <c r="K1176" s="15"/>
      <c r="L1176" s="20"/>
      <c r="M1176" s="20"/>
      <c r="N1176" s="126"/>
      <c r="O1176" s="126"/>
      <c r="P1176" s="126"/>
      <c r="Q1176" s="171"/>
      <c r="R1176" s="172"/>
      <c r="S1176" s="172"/>
      <c r="AE1176" s="143"/>
      <c r="AF1176" s="143"/>
      <c r="AG1176" s="143"/>
      <c r="AH1176" s="143"/>
      <c r="AI1176" s="143"/>
      <c r="AJ1176" s="143"/>
      <c r="AK1176" s="193"/>
      <c r="AL1176" s="192"/>
      <c r="AM1176" s="145"/>
      <c r="AN1176" s="143"/>
      <c r="AO1176" s="143"/>
    </row>
    <row r="1177" spans="3:41">
      <c r="C1177" s="136"/>
      <c r="D1177" s="136"/>
      <c r="F1177" s="15"/>
      <c r="G1177" s="138"/>
      <c r="H1177" s="138"/>
      <c r="I1177" s="126"/>
      <c r="J1177" s="15"/>
      <c r="K1177" s="15"/>
      <c r="L1177" s="20"/>
      <c r="M1177" s="20"/>
      <c r="N1177" s="126"/>
      <c r="O1177" s="126"/>
      <c r="P1177" s="126"/>
      <c r="Q1177" s="171"/>
      <c r="R1177" s="172"/>
      <c r="S1177" s="172"/>
      <c r="AE1177" s="143"/>
      <c r="AF1177" s="143"/>
      <c r="AG1177" s="143"/>
      <c r="AH1177" s="143"/>
      <c r="AI1177" s="143"/>
      <c r="AJ1177" s="143"/>
      <c r="AK1177" s="193"/>
      <c r="AL1177" s="192"/>
      <c r="AM1177" s="145"/>
      <c r="AN1177" s="143"/>
      <c r="AO1177" s="143"/>
    </row>
    <row r="1178" spans="3:41">
      <c r="C1178" s="136"/>
      <c r="D1178" s="136"/>
      <c r="F1178" s="15"/>
      <c r="G1178" s="138"/>
      <c r="H1178" s="138"/>
      <c r="I1178" s="126"/>
      <c r="J1178" s="15"/>
      <c r="K1178" s="15"/>
      <c r="L1178" s="20"/>
      <c r="M1178" s="20"/>
      <c r="N1178" s="126"/>
      <c r="O1178" s="126"/>
      <c r="P1178" s="126"/>
      <c r="Q1178" s="171"/>
      <c r="R1178" s="172"/>
      <c r="S1178" s="172"/>
      <c r="AE1178" s="143"/>
      <c r="AF1178" s="143"/>
      <c r="AG1178" s="143"/>
      <c r="AH1178" s="143"/>
      <c r="AI1178" s="143"/>
      <c r="AJ1178" s="143"/>
      <c r="AK1178" s="193"/>
      <c r="AL1178" s="192"/>
      <c r="AM1178" s="192"/>
      <c r="AN1178" s="153"/>
      <c r="AO1178" s="143"/>
    </row>
    <row r="1179" spans="3:41">
      <c r="C1179" s="136"/>
      <c r="D1179" s="136"/>
      <c r="F1179" s="15"/>
      <c r="G1179" s="138"/>
      <c r="H1179" s="138"/>
      <c r="I1179" s="126"/>
      <c r="J1179" s="15"/>
      <c r="K1179" s="15"/>
      <c r="L1179" s="20"/>
      <c r="M1179" s="20"/>
      <c r="N1179" s="126"/>
      <c r="O1179" s="126"/>
      <c r="P1179" s="126"/>
      <c r="Q1179" s="171"/>
      <c r="R1179" s="172"/>
      <c r="S1179" s="172"/>
      <c r="AE1179" s="143"/>
      <c r="AF1179" s="143"/>
      <c r="AG1179" s="143"/>
      <c r="AH1179" s="143"/>
      <c r="AI1179" s="143"/>
      <c r="AJ1179" s="143"/>
      <c r="AK1179" s="193"/>
      <c r="AL1179" s="192"/>
      <c r="AM1179" s="145"/>
      <c r="AN1179" s="192"/>
      <c r="AO1179" s="143"/>
    </row>
    <row r="1180" spans="3:41">
      <c r="C1180" s="136"/>
      <c r="D1180" s="136"/>
      <c r="F1180" s="15"/>
      <c r="G1180" s="138"/>
      <c r="H1180" s="138"/>
      <c r="I1180" s="126"/>
      <c r="J1180" s="15"/>
      <c r="K1180" s="15"/>
      <c r="L1180" s="20"/>
      <c r="M1180" s="20"/>
      <c r="N1180" s="126"/>
      <c r="O1180" s="126"/>
      <c r="P1180" s="126"/>
      <c r="Q1180" s="171"/>
      <c r="R1180" s="172"/>
      <c r="S1180" s="172"/>
      <c r="AE1180" s="143"/>
      <c r="AF1180" s="143"/>
      <c r="AG1180" s="143"/>
      <c r="AH1180" s="143"/>
      <c r="AI1180" s="143"/>
      <c r="AJ1180" s="143"/>
      <c r="AK1180" s="193"/>
      <c r="AL1180" s="192"/>
      <c r="AM1180" s="192"/>
      <c r="AN1180" s="192"/>
      <c r="AO1180" s="143"/>
    </row>
    <row r="1181" spans="3:41">
      <c r="C1181" s="136"/>
      <c r="D1181" s="136"/>
      <c r="F1181" s="15"/>
      <c r="G1181" s="138"/>
      <c r="H1181" s="138"/>
      <c r="I1181" s="126"/>
      <c r="J1181" s="15"/>
      <c r="K1181" s="15"/>
      <c r="L1181" s="20"/>
      <c r="M1181" s="20"/>
      <c r="N1181" s="126"/>
      <c r="O1181" s="126"/>
      <c r="P1181" s="126"/>
      <c r="Q1181" s="171"/>
      <c r="R1181" s="172"/>
      <c r="S1181" s="172"/>
      <c r="AE1181" s="143"/>
      <c r="AF1181" s="143"/>
      <c r="AG1181" s="143"/>
      <c r="AH1181" s="143"/>
      <c r="AI1181" s="143"/>
      <c r="AJ1181" s="143"/>
      <c r="AK1181" s="193"/>
      <c r="AL1181" s="192"/>
      <c r="AM1181" s="192"/>
      <c r="AN1181" s="192"/>
      <c r="AO1181" s="143"/>
    </row>
    <row r="1182" spans="3:41">
      <c r="C1182" s="136"/>
      <c r="D1182" s="136"/>
      <c r="F1182" s="15"/>
      <c r="G1182" s="138"/>
      <c r="H1182" s="138"/>
      <c r="I1182" s="126"/>
      <c r="J1182" s="15"/>
      <c r="K1182" s="15"/>
      <c r="L1182" s="20"/>
      <c r="M1182" s="20"/>
      <c r="N1182" s="126"/>
      <c r="O1182" s="126"/>
      <c r="P1182" s="126"/>
      <c r="Q1182" s="171"/>
      <c r="R1182" s="172"/>
      <c r="S1182" s="172"/>
      <c r="AE1182" s="143"/>
      <c r="AF1182" s="143"/>
      <c r="AG1182" s="143"/>
      <c r="AH1182" s="143"/>
      <c r="AI1182" s="143"/>
      <c r="AJ1182" s="143"/>
      <c r="AK1182" s="193"/>
      <c r="AL1182" s="192"/>
      <c r="AM1182" s="192"/>
      <c r="AN1182" s="192"/>
      <c r="AO1182" s="143"/>
    </row>
    <row r="1183" spans="3:41">
      <c r="C1183" s="136"/>
      <c r="D1183" s="136"/>
      <c r="F1183" s="15"/>
      <c r="G1183" s="138"/>
      <c r="H1183" s="138"/>
      <c r="I1183" s="126"/>
      <c r="J1183" s="15"/>
      <c r="K1183" s="15"/>
      <c r="L1183" s="20"/>
      <c r="M1183" s="20"/>
      <c r="N1183" s="126"/>
      <c r="O1183" s="126"/>
      <c r="P1183" s="126"/>
      <c r="Q1183" s="171"/>
      <c r="R1183" s="172"/>
      <c r="S1183" s="172"/>
      <c r="AE1183" s="143"/>
      <c r="AF1183" s="143"/>
      <c r="AG1183" s="143"/>
      <c r="AH1183" s="143"/>
      <c r="AI1183" s="143"/>
      <c r="AJ1183" s="143"/>
      <c r="AK1183" s="193"/>
      <c r="AL1183" s="192"/>
      <c r="AM1183" s="192"/>
      <c r="AN1183" s="153"/>
      <c r="AO1183" s="143"/>
    </row>
    <row r="1184" spans="3:41">
      <c r="C1184" s="136"/>
      <c r="D1184" s="136"/>
      <c r="F1184" s="15"/>
      <c r="G1184" s="138"/>
      <c r="H1184" s="138"/>
      <c r="I1184" s="126"/>
      <c r="J1184" s="15"/>
      <c r="K1184" s="15"/>
      <c r="L1184" s="20"/>
      <c r="M1184" s="20"/>
      <c r="N1184" s="126"/>
      <c r="O1184" s="126"/>
      <c r="P1184" s="126"/>
      <c r="Q1184" s="171"/>
      <c r="R1184" s="172"/>
      <c r="S1184" s="172"/>
      <c r="AE1184" s="143"/>
      <c r="AF1184" s="143"/>
      <c r="AG1184" s="143"/>
      <c r="AH1184" s="143"/>
      <c r="AI1184" s="143"/>
      <c r="AJ1184" s="143"/>
      <c r="AK1184" s="193"/>
      <c r="AL1184" s="192"/>
      <c r="AM1184" s="145"/>
      <c r="AN1184" s="192"/>
      <c r="AO1184" s="143"/>
    </row>
    <row r="1185" spans="3:41">
      <c r="C1185" s="136"/>
      <c r="D1185" s="136"/>
      <c r="F1185" s="15"/>
      <c r="G1185" s="138"/>
      <c r="H1185" s="138"/>
      <c r="I1185" s="126"/>
      <c r="J1185" s="15"/>
      <c r="K1185" s="15"/>
      <c r="L1185" s="20"/>
      <c r="M1185" s="20"/>
      <c r="N1185" s="126"/>
      <c r="O1185" s="126"/>
      <c r="P1185" s="126"/>
      <c r="Q1185" s="171"/>
      <c r="R1185" s="172"/>
      <c r="S1185" s="172"/>
      <c r="AE1185" s="143"/>
      <c r="AF1185" s="143"/>
      <c r="AG1185" s="143"/>
      <c r="AH1185" s="143"/>
      <c r="AI1185" s="143"/>
      <c r="AJ1185" s="143"/>
      <c r="AK1185" s="193"/>
      <c r="AL1185" s="192"/>
      <c r="AM1185" s="145"/>
      <c r="AN1185" s="143"/>
      <c r="AO1185" s="143"/>
    </row>
    <row r="1186" spans="3:41">
      <c r="C1186" s="136"/>
      <c r="D1186" s="136"/>
      <c r="F1186" s="15"/>
      <c r="G1186" s="138"/>
      <c r="H1186" s="138"/>
      <c r="I1186" s="126"/>
      <c r="J1186" s="15"/>
      <c r="K1186" s="15"/>
      <c r="L1186" s="20"/>
      <c r="M1186" s="20"/>
      <c r="N1186" s="126"/>
      <c r="O1186" s="126"/>
      <c r="P1186" s="126"/>
      <c r="Q1186" s="171"/>
      <c r="R1186" s="172"/>
      <c r="S1186" s="172"/>
      <c r="AE1186" s="143"/>
      <c r="AF1186" s="143"/>
      <c r="AG1186" s="143"/>
      <c r="AH1186" s="143"/>
      <c r="AI1186" s="143"/>
      <c r="AJ1186" s="143"/>
      <c r="AK1186" s="193"/>
      <c r="AL1186" s="143"/>
      <c r="AM1186" s="145"/>
      <c r="AN1186" s="143"/>
      <c r="AO1186" s="143"/>
    </row>
    <row r="1187" spans="3:41">
      <c r="C1187" s="136"/>
      <c r="D1187" s="136"/>
      <c r="F1187" s="15"/>
      <c r="G1187" s="138"/>
      <c r="H1187" s="138"/>
      <c r="I1187" s="126"/>
      <c r="J1187" s="15"/>
      <c r="K1187" s="15"/>
      <c r="L1187" s="20"/>
      <c r="M1187" s="20"/>
      <c r="N1187" s="126"/>
      <c r="O1187" s="126"/>
      <c r="P1187" s="126"/>
      <c r="Q1187" s="171"/>
      <c r="R1187" s="172"/>
      <c r="S1187" s="172"/>
      <c r="AE1187" s="143"/>
      <c r="AF1187" s="143"/>
      <c r="AG1187" s="143"/>
      <c r="AH1187" s="143"/>
      <c r="AI1187" s="143"/>
      <c r="AJ1187" s="143"/>
      <c r="AK1187" s="193"/>
      <c r="AL1187" s="143"/>
      <c r="AM1187" s="145"/>
      <c r="AN1187" s="153"/>
      <c r="AO1187" s="143"/>
    </row>
    <row r="1188" spans="3:41">
      <c r="C1188" s="136"/>
      <c r="D1188" s="136"/>
      <c r="F1188" s="15"/>
      <c r="G1188" s="138"/>
      <c r="H1188" s="138"/>
      <c r="I1188" s="126"/>
      <c r="J1188" s="15"/>
      <c r="K1188" s="15"/>
      <c r="L1188" s="20"/>
      <c r="M1188" s="20"/>
      <c r="N1188" s="126"/>
      <c r="O1188" s="126"/>
      <c r="P1188" s="126"/>
      <c r="Q1188" s="171"/>
      <c r="R1188" s="172"/>
      <c r="S1188" s="172"/>
      <c r="AE1188" s="143"/>
      <c r="AF1188" s="143"/>
      <c r="AG1188" s="143"/>
      <c r="AH1188" s="143"/>
      <c r="AI1188" s="143"/>
      <c r="AJ1188" s="143"/>
      <c r="AK1188" s="193"/>
      <c r="AL1188" s="143"/>
      <c r="AM1188" s="145"/>
      <c r="AN1188" s="153"/>
      <c r="AO1188" s="143"/>
    </row>
    <row r="1189" spans="3:41">
      <c r="C1189" s="136"/>
      <c r="D1189" s="136"/>
      <c r="F1189" s="15"/>
      <c r="G1189" s="138"/>
      <c r="H1189" s="138"/>
      <c r="I1189" s="126"/>
      <c r="J1189" s="15"/>
      <c r="K1189" s="15"/>
      <c r="L1189" s="20"/>
      <c r="M1189" s="20"/>
      <c r="N1189" s="126"/>
      <c r="O1189" s="126"/>
      <c r="P1189" s="126"/>
      <c r="Q1189" s="171"/>
      <c r="R1189" s="172"/>
      <c r="S1189" s="172"/>
      <c r="AE1189" s="143"/>
      <c r="AF1189" s="143"/>
      <c r="AG1189" s="143"/>
      <c r="AH1189" s="143"/>
      <c r="AI1189" s="143"/>
      <c r="AJ1189" s="143"/>
      <c r="AK1189" s="193"/>
      <c r="AL1189" s="143"/>
      <c r="AM1189" s="145"/>
      <c r="AN1189" s="153"/>
      <c r="AO1189" s="143"/>
    </row>
    <row r="1190" spans="3:41">
      <c r="C1190" s="136"/>
      <c r="D1190" s="136"/>
      <c r="F1190" s="15"/>
      <c r="G1190" s="138"/>
      <c r="H1190" s="138"/>
      <c r="I1190" s="126"/>
      <c r="J1190" s="15"/>
      <c r="K1190" s="15"/>
      <c r="L1190" s="20"/>
      <c r="M1190" s="20"/>
      <c r="N1190" s="126"/>
      <c r="O1190" s="126"/>
      <c r="P1190" s="126"/>
      <c r="Q1190" s="171"/>
      <c r="R1190" s="172"/>
      <c r="S1190" s="172"/>
      <c r="AE1190" s="143"/>
      <c r="AF1190" s="143"/>
      <c r="AG1190" s="143"/>
      <c r="AH1190" s="143"/>
      <c r="AI1190" s="143"/>
      <c r="AJ1190" s="143"/>
      <c r="AK1190" s="193"/>
      <c r="AL1190" s="143"/>
      <c r="AM1190" s="145"/>
      <c r="AN1190" s="143"/>
      <c r="AO1190" s="143"/>
    </row>
    <row r="1191" spans="3:41">
      <c r="C1191" s="136"/>
      <c r="D1191" s="136"/>
      <c r="F1191" s="15"/>
      <c r="G1191" s="138"/>
      <c r="H1191" s="138"/>
      <c r="I1191" s="126"/>
      <c r="J1191" s="15"/>
      <c r="K1191" s="15"/>
      <c r="L1191" s="20"/>
      <c r="M1191" s="20"/>
      <c r="N1191" s="126"/>
      <c r="O1191" s="126"/>
      <c r="P1191" s="126"/>
      <c r="Q1191" s="171"/>
      <c r="R1191" s="172"/>
      <c r="S1191" s="172"/>
      <c r="AE1191" s="143"/>
      <c r="AF1191" s="143"/>
      <c r="AG1191" s="143"/>
      <c r="AH1191" s="143"/>
      <c r="AI1191" s="143"/>
      <c r="AJ1191" s="143"/>
      <c r="AK1191" s="193"/>
      <c r="AL1191" s="143"/>
      <c r="AM1191" s="145"/>
      <c r="AN1191" s="143"/>
      <c r="AO1191" s="143"/>
    </row>
    <row r="1192" spans="3:41">
      <c r="C1192" s="136"/>
      <c r="D1192" s="136"/>
      <c r="F1192" s="15"/>
      <c r="G1192" s="138"/>
      <c r="H1192" s="138"/>
      <c r="I1192" s="126"/>
      <c r="J1192" s="15"/>
      <c r="K1192" s="15"/>
      <c r="L1192" s="20"/>
      <c r="M1192" s="20"/>
      <c r="N1192" s="126"/>
      <c r="O1192" s="126"/>
      <c r="P1192" s="126"/>
      <c r="Q1192" s="171"/>
      <c r="R1192" s="172"/>
      <c r="S1192" s="172"/>
      <c r="AE1192" s="143"/>
      <c r="AF1192" s="143"/>
      <c r="AG1192" s="143"/>
      <c r="AH1192" s="143"/>
      <c r="AI1192" s="143"/>
      <c r="AJ1192" s="143"/>
      <c r="AK1192" s="193"/>
      <c r="AL1192" s="143"/>
      <c r="AM1192" s="145"/>
      <c r="AN1192" s="143"/>
      <c r="AO1192" s="143"/>
    </row>
    <row r="1193" spans="3:41">
      <c r="C1193" s="136"/>
      <c r="D1193" s="136"/>
      <c r="F1193" s="15"/>
      <c r="G1193" s="138"/>
      <c r="H1193" s="138"/>
      <c r="I1193" s="126"/>
      <c r="J1193" s="15"/>
      <c r="K1193" s="15"/>
      <c r="L1193" s="20"/>
      <c r="M1193" s="20"/>
      <c r="N1193" s="126"/>
      <c r="O1193" s="126"/>
      <c r="P1193" s="126"/>
      <c r="Q1193" s="171"/>
      <c r="R1193" s="172"/>
      <c r="S1193" s="172"/>
      <c r="AE1193" s="143"/>
      <c r="AF1193" s="143"/>
      <c r="AG1193" s="143"/>
      <c r="AH1193" s="143"/>
      <c r="AI1193" s="143"/>
      <c r="AJ1193" s="143"/>
      <c r="AK1193" s="193"/>
      <c r="AL1193" s="143"/>
      <c r="AM1193" s="145"/>
      <c r="AN1193" s="143"/>
      <c r="AO1193" s="143"/>
    </row>
    <row r="1194" spans="3:41">
      <c r="C1194" s="136"/>
      <c r="D1194" s="136"/>
      <c r="F1194" s="15"/>
      <c r="G1194" s="138"/>
      <c r="H1194" s="138"/>
      <c r="I1194" s="126"/>
      <c r="J1194" s="15"/>
      <c r="K1194" s="15"/>
      <c r="L1194" s="20"/>
      <c r="M1194" s="20"/>
      <c r="N1194" s="126"/>
      <c r="O1194" s="126"/>
      <c r="P1194" s="126"/>
      <c r="Q1194" s="171"/>
      <c r="R1194" s="172"/>
      <c r="S1194" s="172"/>
      <c r="AE1194" s="143"/>
      <c r="AF1194" s="143"/>
      <c r="AG1194" s="143"/>
      <c r="AH1194" s="143"/>
      <c r="AI1194" s="143"/>
      <c r="AJ1194" s="143"/>
      <c r="AK1194" s="193"/>
      <c r="AL1194" s="143"/>
      <c r="AM1194" s="145"/>
      <c r="AN1194" s="192"/>
      <c r="AO1194" s="143"/>
    </row>
    <row r="1195" spans="3:41">
      <c r="C1195" s="136"/>
      <c r="D1195" s="136"/>
      <c r="F1195" s="15"/>
      <c r="G1195" s="138"/>
      <c r="H1195" s="138"/>
      <c r="I1195" s="126"/>
      <c r="J1195" s="15"/>
      <c r="K1195" s="15"/>
      <c r="L1195" s="20"/>
      <c r="M1195" s="20"/>
      <c r="N1195" s="126"/>
      <c r="O1195" s="126"/>
      <c r="P1195" s="126"/>
      <c r="Q1195" s="171"/>
      <c r="R1195" s="172"/>
      <c r="S1195" s="172"/>
      <c r="AE1195" s="143"/>
      <c r="AF1195" s="143"/>
      <c r="AG1195" s="143"/>
      <c r="AH1195" s="143"/>
      <c r="AI1195" s="143"/>
      <c r="AJ1195" s="143"/>
      <c r="AK1195" s="193"/>
      <c r="AL1195" s="143"/>
      <c r="AM1195" s="145"/>
      <c r="AN1195" s="143"/>
      <c r="AO1195" s="143"/>
    </row>
    <row r="1196" spans="3:41">
      <c r="C1196" s="136"/>
      <c r="D1196" s="136"/>
      <c r="F1196" s="15"/>
      <c r="G1196" s="138"/>
      <c r="H1196" s="138"/>
      <c r="I1196" s="126"/>
      <c r="J1196" s="15"/>
      <c r="K1196" s="15"/>
      <c r="L1196" s="20"/>
      <c r="M1196" s="20"/>
      <c r="N1196" s="126"/>
      <c r="O1196" s="126"/>
      <c r="P1196" s="126"/>
      <c r="Q1196" s="171"/>
      <c r="R1196" s="173"/>
      <c r="S1196" s="172"/>
      <c r="AE1196" s="143"/>
      <c r="AF1196" s="143"/>
      <c r="AG1196" s="143"/>
      <c r="AH1196" s="143"/>
      <c r="AI1196" s="143"/>
      <c r="AJ1196" s="143"/>
      <c r="AK1196" s="143"/>
      <c r="AL1196" s="143"/>
      <c r="AM1196" s="143"/>
      <c r="AN1196" s="143"/>
      <c r="AO1196" s="143"/>
    </row>
    <row r="1197" spans="3:41">
      <c r="C1197" s="136"/>
      <c r="D1197" s="136"/>
      <c r="F1197" s="15"/>
      <c r="G1197" s="138"/>
      <c r="H1197" s="138"/>
      <c r="I1197" s="126"/>
      <c r="J1197" s="15"/>
      <c r="K1197" s="15"/>
      <c r="L1197" s="20"/>
      <c r="M1197" s="20"/>
      <c r="N1197" s="126"/>
      <c r="O1197" s="126"/>
      <c r="P1197" s="126"/>
      <c r="Q1197" s="171"/>
      <c r="R1197" s="173"/>
      <c r="S1197" s="172"/>
      <c r="AE1197" s="143"/>
      <c r="AF1197" s="143"/>
      <c r="AG1197" s="143"/>
      <c r="AH1197" s="143"/>
      <c r="AI1197" s="143"/>
      <c r="AJ1197" s="143"/>
      <c r="AK1197" s="143"/>
      <c r="AL1197" s="143"/>
      <c r="AM1197" s="145"/>
      <c r="AN1197" s="143"/>
      <c r="AO1197" s="143"/>
    </row>
    <row r="1198" spans="3:41">
      <c r="C1198" s="136"/>
      <c r="D1198" s="136"/>
      <c r="F1198" s="15"/>
      <c r="G1198" s="138"/>
      <c r="H1198" s="138"/>
      <c r="I1198" s="126"/>
      <c r="J1198" s="15"/>
      <c r="K1198" s="15"/>
      <c r="L1198" s="20"/>
      <c r="M1198" s="20"/>
      <c r="N1198" s="126"/>
      <c r="O1198" s="126"/>
      <c r="P1198" s="126"/>
      <c r="Q1198" s="171"/>
      <c r="R1198" s="173"/>
      <c r="S1198" s="172"/>
      <c r="AE1198" s="143"/>
      <c r="AF1198" s="143"/>
      <c r="AG1198" s="143"/>
      <c r="AH1198" s="143"/>
      <c r="AI1198" s="143"/>
      <c r="AJ1198" s="143"/>
      <c r="AK1198" s="143"/>
      <c r="AL1198" s="143"/>
      <c r="AM1198" s="145"/>
      <c r="AN1198" s="143"/>
      <c r="AO1198" s="143"/>
    </row>
    <row r="1199" spans="3:41">
      <c r="C1199" s="136"/>
      <c r="D1199" s="136"/>
      <c r="F1199" s="15"/>
      <c r="G1199" s="138"/>
      <c r="H1199" s="138"/>
      <c r="I1199" s="126"/>
      <c r="J1199" s="15"/>
      <c r="K1199" s="15"/>
      <c r="L1199" s="20"/>
      <c r="M1199" s="20"/>
      <c r="N1199" s="126"/>
      <c r="O1199" s="126"/>
      <c r="P1199" s="126"/>
      <c r="Q1199" s="171"/>
      <c r="R1199" s="173"/>
      <c r="S1199" s="172"/>
      <c r="AE1199" s="143"/>
      <c r="AF1199" s="143"/>
      <c r="AG1199" s="143"/>
      <c r="AH1199" s="143"/>
      <c r="AI1199" s="143"/>
      <c r="AJ1199" s="143"/>
      <c r="AK1199" s="143"/>
      <c r="AL1199" s="143"/>
      <c r="AM1199" s="145"/>
      <c r="AN1199" s="143"/>
      <c r="AO1199" s="143"/>
    </row>
    <row r="1200" spans="3:41">
      <c r="C1200" s="136"/>
      <c r="D1200" s="136"/>
      <c r="F1200" s="15"/>
      <c r="G1200" s="138"/>
      <c r="H1200" s="138"/>
      <c r="I1200" s="126"/>
      <c r="J1200" s="15"/>
      <c r="K1200" s="15"/>
      <c r="L1200" s="20"/>
      <c r="M1200" s="20"/>
      <c r="N1200" s="126"/>
      <c r="O1200" s="126"/>
      <c r="P1200" s="126"/>
      <c r="Q1200" s="171"/>
      <c r="R1200" s="172"/>
      <c r="S1200" s="172"/>
      <c r="AE1200" s="143"/>
      <c r="AF1200" s="143"/>
      <c r="AG1200" s="143"/>
      <c r="AH1200" s="143"/>
      <c r="AI1200" s="143"/>
      <c r="AJ1200" s="143"/>
      <c r="AK1200" s="143"/>
      <c r="AL1200" s="143"/>
      <c r="AM1200" s="145"/>
      <c r="AN1200" s="143"/>
      <c r="AO1200" s="143"/>
    </row>
    <row r="1201" spans="3:41">
      <c r="C1201" s="136"/>
      <c r="D1201" s="136"/>
      <c r="F1201" s="15"/>
      <c r="G1201" s="138"/>
      <c r="H1201" s="138"/>
      <c r="I1201" s="126"/>
      <c r="J1201" s="15"/>
      <c r="K1201" s="15"/>
      <c r="L1201" s="20"/>
      <c r="M1201" s="20"/>
      <c r="N1201" s="126"/>
      <c r="O1201" s="126"/>
      <c r="P1201" s="126"/>
      <c r="Q1201" s="171"/>
      <c r="R1201" s="172"/>
      <c r="S1201" s="172"/>
      <c r="AE1201" s="143"/>
      <c r="AF1201" s="143"/>
      <c r="AG1201" s="143"/>
      <c r="AH1201" s="143"/>
      <c r="AI1201" s="143"/>
      <c r="AJ1201" s="143"/>
      <c r="AK1201" s="143"/>
      <c r="AL1201" s="143"/>
      <c r="AM1201" s="145"/>
      <c r="AN1201" s="143"/>
      <c r="AO1201" s="143"/>
    </row>
    <row r="1202" spans="3:41">
      <c r="C1202" s="136"/>
      <c r="D1202" s="136"/>
      <c r="F1202" s="15"/>
      <c r="G1202" s="138"/>
      <c r="H1202" s="138"/>
      <c r="I1202" s="126"/>
      <c r="J1202" s="15"/>
      <c r="K1202" s="15"/>
      <c r="L1202" s="20"/>
      <c r="M1202" s="20"/>
      <c r="N1202" s="126"/>
      <c r="O1202" s="126"/>
      <c r="P1202" s="126"/>
      <c r="Q1202" s="171"/>
      <c r="R1202" s="172"/>
      <c r="S1202" s="172"/>
      <c r="AE1202" s="143"/>
      <c r="AF1202" s="143"/>
      <c r="AG1202" s="143"/>
      <c r="AH1202" s="143"/>
      <c r="AI1202" s="143"/>
      <c r="AJ1202" s="143"/>
      <c r="AK1202" s="143"/>
      <c r="AL1202" s="143"/>
      <c r="AM1202" s="145"/>
      <c r="AN1202" s="143"/>
      <c r="AO1202" s="143"/>
    </row>
    <row r="1203" spans="3:41">
      <c r="C1203" s="136"/>
      <c r="D1203" s="136"/>
      <c r="F1203" s="15"/>
      <c r="G1203" s="138"/>
      <c r="H1203" s="138"/>
      <c r="I1203" s="126"/>
      <c r="J1203" s="15"/>
      <c r="K1203" s="15"/>
      <c r="L1203" s="20"/>
      <c r="M1203" s="20"/>
      <c r="N1203" s="126"/>
      <c r="O1203" s="126"/>
      <c r="P1203" s="126"/>
      <c r="Q1203" s="171"/>
      <c r="R1203" s="172"/>
      <c r="S1203" s="172"/>
      <c r="AE1203" s="143"/>
      <c r="AF1203" s="143"/>
      <c r="AG1203" s="143"/>
      <c r="AH1203" s="143"/>
      <c r="AI1203" s="143"/>
      <c r="AJ1203" s="143"/>
      <c r="AK1203" s="143"/>
      <c r="AL1203" s="143"/>
      <c r="AM1203" s="145"/>
      <c r="AN1203" s="143"/>
      <c r="AO1203" s="143"/>
    </row>
    <row r="1204" spans="3:41">
      <c r="C1204" s="136"/>
      <c r="D1204" s="136"/>
      <c r="F1204" s="15"/>
      <c r="G1204" s="138"/>
      <c r="H1204" s="138"/>
      <c r="I1204" s="126"/>
      <c r="J1204" s="15"/>
      <c r="K1204" s="15"/>
      <c r="L1204" s="20"/>
      <c r="M1204" s="20"/>
      <c r="N1204" s="126"/>
      <c r="O1204" s="126"/>
      <c r="P1204" s="126"/>
      <c r="Q1204" s="171"/>
      <c r="R1204" s="172"/>
      <c r="S1204" s="172"/>
      <c r="AE1204" s="143"/>
      <c r="AF1204" s="143"/>
      <c r="AG1204" s="143"/>
      <c r="AH1204" s="143"/>
      <c r="AI1204" s="143"/>
      <c r="AJ1204" s="143"/>
      <c r="AK1204" s="143"/>
      <c r="AL1204" s="143"/>
      <c r="AM1204" s="145"/>
      <c r="AN1204" s="143"/>
      <c r="AO1204" s="143"/>
    </row>
    <row r="1205" spans="3:41">
      <c r="C1205" s="136"/>
      <c r="D1205" s="136"/>
      <c r="F1205" s="15"/>
      <c r="G1205" s="138"/>
      <c r="H1205" s="138"/>
      <c r="I1205" s="126"/>
      <c r="J1205" s="15"/>
      <c r="K1205" s="15"/>
      <c r="L1205" s="20"/>
      <c r="M1205" s="20"/>
      <c r="N1205" s="126"/>
      <c r="O1205" s="126"/>
      <c r="P1205" s="126"/>
      <c r="Q1205" s="171"/>
      <c r="R1205" s="172"/>
      <c r="S1205" s="172"/>
      <c r="AE1205" s="143"/>
      <c r="AF1205" s="143"/>
      <c r="AG1205" s="143"/>
      <c r="AH1205" s="143"/>
      <c r="AI1205" s="143"/>
      <c r="AJ1205" s="143"/>
      <c r="AK1205" s="143"/>
      <c r="AL1205" s="143"/>
      <c r="AM1205" s="145"/>
      <c r="AN1205" s="143"/>
      <c r="AO1205" s="143"/>
    </row>
    <row r="1206" spans="3:41">
      <c r="C1206" s="136"/>
      <c r="D1206" s="136"/>
      <c r="F1206" s="15"/>
      <c r="G1206" s="138"/>
      <c r="H1206" s="138"/>
      <c r="I1206" s="126"/>
      <c r="J1206" s="15"/>
      <c r="K1206" s="15"/>
      <c r="L1206" s="20"/>
      <c r="M1206" s="20"/>
      <c r="N1206" s="126"/>
      <c r="O1206" s="126"/>
      <c r="P1206" s="126"/>
      <c r="Q1206" s="171"/>
      <c r="R1206" s="172"/>
      <c r="S1206" s="172"/>
      <c r="AE1206" s="143"/>
      <c r="AF1206" s="143"/>
      <c r="AG1206" s="143"/>
      <c r="AH1206" s="143"/>
      <c r="AI1206" s="143"/>
      <c r="AJ1206" s="143"/>
      <c r="AK1206" s="143"/>
      <c r="AL1206" s="143"/>
      <c r="AM1206" s="145"/>
      <c r="AN1206" s="143"/>
      <c r="AO1206" s="143"/>
    </row>
    <row r="1207" spans="3:41">
      <c r="C1207" s="136"/>
      <c r="D1207" s="136"/>
      <c r="F1207" s="15"/>
      <c r="G1207" s="138"/>
      <c r="H1207" s="138"/>
      <c r="I1207" s="126"/>
      <c r="J1207" s="15"/>
      <c r="K1207" s="15"/>
      <c r="L1207" s="20"/>
      <c r="M1207" s="20"/>
      <c r="N1207" s="126"/>
      <c r="O1207" s="126"/>
      <c r="P1207" s="126"/>
      <c r="Q1207" s="171"/>
      <c r="R1207" s="172"/>
      <c r="S1207" s="172"/>
      <c r="AE1207" s="143"/>
      <c r="AF1207" s="143"/>
      <c r="AG1207" s="143"/>
      <c r="AH1207" s="143"/>
      <c r="AI1207" s="143"/>
      <c r="AJ1207" s="143"/>
      <c r="AK1207" s="143"/>
      <c r="AL1207" s="143"/>
      <c r="AM1207" s="145"/>
      <c r="AN1207" s="143"/>
      <c r="AO1207" s="143"/>
    </row>
    <row r="1208" spans="3:41">
      <c r="C1208" s="136"/>
      <c r="D1208" s="136"/>
      <c r="F1208" s="15"/>
      <c r="G1208" s="138"/>
      <c r="H1208" s="138"/>
      <c r="I1208" s="126"/>
      <c r="J1208" s="15"/>
      <c r="K1208" s="15"/>
      <c r="L1208" s="20"/>
      <c r="M1208" s="20"/>
      <c r="N1208" s="126"/>
      <c r="O1208" s="126"/>
      <c r="P1208" s="126"/>
      <c r="Q1208" s="171"/>
      <c r="R1208" s="172"/>
      <c r="S1208" s="172"/>
      <c r="AE1208" s="143"/>
      <c r="AF1208" s="143"/>
      <c r="AG1208" s="143"/>
      <c r="AH1208" s="143"/>
      <c r="AI1208" s="143"/>
      <c r="AJ1208" s="143"/>
      <c r="AK1208" s="143"/>
      <c r="AL1208" s="143"/>
      <c r="AM1208" s="145"/>
      <c r="AN1208" s="143"/>
      <c r="AO1208" s="143"/>
    </row>
    <row r="1209" spans="3:41">
      <c r="C1209" s="136"/>
      <c r="D1209" s="136"/>
      <c r="F1209" s="15"/>
      <c r="G1209" s="138"/>
      <c r="H1209" s="138"/>
      <c r="I1209" s="126"/>
      <c r="J1209" s="15"/>
      <c r="K1209" s="15"/>
      <c r="L1209" s="20"/>
      <c r="M1209" s="20"/>
      <c r="N1209" s="126"/>
      <c r="O1209" s="126"/>
      <c r="P1209" s="126"/>
      <c r="Q1209" s="171"/>
      <c r="R1209" s="172"/>
      <c r="S1209" s="172"/>
      <c r="AE1209" s="143"/>
      <c r="AF1209" s="143"/>
      <c r="AG1209" s="143"/>
      <c r="AH1209" s="143"/>
      <c r="AI1209" s="143"/>
      <c r="AJ1209" s="143"/>
      <c r="AK1209" s="143"/>
      <c r="AL1209" s="143"/>
      <c r="AM1209" s="143"/>
      <c r="AN1209" s="143"/>
      <c r="AO1209" s="143"/>
    </row>
    <row r="1210" spans="3:41">
      <c r="C1210" s="136"/>
      <c r="D1210" s="136"/>
      <c r="F1210" s="15"/>
      <c r="G1210" s="138"/>
      <c r="H1210" s="138"/>
      <c r="I1210" s="126"/>
      <c r="J1210" s="15"/>
      <c r="K1210" s="15"/>
      <c r="L1210" s="20"/>
      <c r="M1210" s="20"/>
      <c r="N1210" s="126"/>
      <c r="O1210" s="126"/>
      <c r="P1210" s="126"/>
      <c r="Q1210" s="171"/>
      <c r="R1210" s="172"/>
      <c r="S1210" s="172"/>
      <c r="AE1210" s="143"/>
      <c r="AF1210" s="143"/>
      <c r="AG1210" s="143"/>
      <c r="AH1210" s="143"/>
      <c r="AI1210" s="143"/>
      <c r="AJ1210" s="143"/>
      <c r="AK1210" s="143"/>
      <c r="AL1210" s="143"/>
      <c r="AM1210" s="143"/>
      <c r="AN1210" s="143"/>
      <c r="AO1210" s="143"/>
    </row>
    <row r="1211" spans="3:41">
      <c r="C1211" s="136"/>
      <c r="D1211" s="136"/>
      <c r="F1211" s="15"/>
      <c r="G1211" s="138"/>
      <c r="H1211" s="138"/>
      <c r="I1211" s="126"/>
      <c r="J1211" s="15"/>
      <c r="K1211" s="15"/>
      <c r="L1211" s="20"/>
      <c r="M1211" s="20"/>
      <c r="N1211" s="126"/>
      <c r="O1211" s="126"/>
      <c r="P1211" s="126"/>
      <c r="Q1211" s="171"/>
      <c r="R1211" s="172"/>
      <c r="S1211" s="172"/>
      <c r="AE1211" s="143"/>
      <c r="AF1211" s="143"/>
      <c r="AG1211" s="143"/>
      <c r="AH1211" s="143"/>
      <c r="AI1211" s="143"/>
      <c r="AJ1211" s="143"/>
      <c r="AK1211" s="143"/>
      <c r="AL1211" s="143"/>
      <c r="AM1211" s="143"/>
      <c r="AN1211" s="143"/>
      <c r="AO1211" s="143"/>
    </row>
    <row r="1212" spans="3:41">
      <c r="C1212" s="136"/>
      <c r="D1212" s="136"/>
      <c r="F1212" s="15"/>
      <c r="G1212" s="138"/>
      <c r="H1212" s="138"/>
      <c r="I1212" s="126"/>
      <c r="J1212" s="15"/>
      <c r="K1212" s="15"/>
      <c r="L1212" s="20"/>
      <c r="M1212" s="20"/>
      <c r="N1212" s="126"/>
      <c r="O1212" s="126"/>
      <c r="P1212" s="126"/>
      <c r="Q1212" s="171"/>
      <c r="R1212" s="172"/>
      <c r="S1212" s="172"/>
      <c r="AE1212" s="143"/>
      <c r="AF1212" s="143"/>
      <c r="AG1212" s="143"/>
      <c r="AH1212" s="143"/>
      <c r="AI1212" s="143"/>
      <c r="AJ1212" s="143"/>
      <c r="AK1212" s="143"/>
      <c r="AL1212" s="143"/>
      <c r="AM1212" s="145"/>
      <c r="AN1212" s="143"/>
      <c r="AO1212" s="143"/>
    </row>
    <row r="1213" spans="3:41">
      <c r="C1213" s="136"/>
      <c r="D1213" s="136"/>
      <c r="F1213" s="15"/>
      <c r="G1213" s="138"/>
      <c r="H1213" s="138"/>
      <c r="I1213" s="126"/>
      <c r="J1213" s="15"/>
      <c r="K1213" s="15"/>
      <c r="L1213" s="20"/>
      <c r="M1213" s="20"/>
      <c r="N1213" s="126"/>
      <c r="O1213" s="126"/>
      <c r="P1213" s="126"/>
      <c r="Q1213" s="171"/>
      <c r="R1213" s="172"/>
      <c r="S1213" s="172"/>
      <c r="AE1213" s="143"/>
      <c r="AF1213" s="143"/>
      <c r="AG1213" s="143"/>
      <c r="AH1213" s="143"/>
      <c r="AI1213" s="143"/>
      <c r="AJ1213" s="143"/>
      <c r="AK1213" s="143"/>
      <c r="AL1213" s="143"/>
      <c r="AM1213" s="145"/>
      <c r="AN1213" s="143"/>
      <c r="AO1213" s="143"/>
    </row>
    <row r="1214" spans="3:41">
      <c r="C1214" s="136"/>
      <c r="D1214" s="136"/>
      <c r="F1214" s="15"/>
      <c r="G1214" s="138"/>
      <c r="H1214" s="138"/>
      <c r="I1214" s="126"/>
      <c r="J1214" s="15"/>
      <c r="K1214" s="15"/>
      <c r="L1214" s="20"/>
      <c r="M1214" s="20"/>
      <c r="N1214" s="126"/>
      <c r="O1214" s="126"/>
      <c r="P1214" s="126"/>
      <c r="Q1214" s="171"/>
      <c r="R1214" s="172"/>
      <c r="S1214" s="172"/>
      <c r="AE1214" s="143"/>
      <c r="AF1214" s="143"/>
      <c r="AG1214" s="143"/>
      <c r="AH1214" s="143"/>
      <c r="AI1214" s="143"/>
      <c r="AJ1214" s="143"/>
      <c r="AK1214" s="143"/>
      <c r="AL1214" s="143"/>
      <c r="AM1214" s="145"/>
      <c r="AN1214" s="143"/>
      <c r="AO1214" s="143"/>
    </row>
    <row r="1215" spans="3:41">
      <c r="C1215" s="136"/>
      <c r="D1215" s="136"/>
      <c r="F1215" s="15"/>
      <c r="G1215" s="138"/>
      <c r="H1215" s="138"/>
      <c r="I1215" s="126"/>
      <c r="J1215" s="15"/>
      <c r="K1215" s="15"/>
      <c r="L1215" s="20"/>
      <c r="M1215" s="20"/>
      <c r="N1215" s="126"/>
      <c r="O1215" s="126"/>
      <c r="P1215" s="126"/>
      <c r="Q1215" s="171"/>
      <c r="R1215" s="172"/>
      <c r="S1215" s="172"/>
      <c r="AE1215" s="143"/>
      <c r="AF1215" s="143"/>
      <c r="AG1215" s="143"/>
      <c r="AH1215" s="143"/>
      <c r="AI1215" s="143"/>
      <c r="AJ1215" s="143"/>
      <c r="AK1215" s="143"/>
      <c r="AL1215" s="143"/>
      <c r="AM1215" s="145"/>
      <c r="AN1215" s="143"/>
      <c r="AO1215" s="143"/>
    </row>
    <row r="1216" spans="3:41">
      <c r="C1216" s="136"/>
      <c r="D1216" s="136"/>
      <c r="F1216" s="15"/>
      <c r="G1216" s="138"/>
      <c r="H1216" s="138"/>
      <c r="I1216" s="126"/>
      <c r="J1216" s="15"/>
      <c r="K1216" s="15"/>
      <c r="L1216" s="20"/>
      <c r="M1216" s="20"/>
      <c r="N1216" s="126"/>
      <c r="O1216" s="126"/>
      <c r="P1216" s="126"/>
      <c r="Q1216" s="171"/>
      <c r="R1216" s="172"/>
      <c r="S1216" s="172"/>
      <c r="AE1216" s="143"/>
      <c r="AF1216" s="143"/>
      <c r="AG1216" s="143"/>
      <c r="AH1216" s="143"/>
      <c r="AI1216" s="143"/>
      <c r="AJ1216" s="143"/>
      <c r="AK1216" s="143"/>
      <c r="AL1216" s="143"/>
      <c r="AM1216" s="145"/>
      <c r="AN1216" s="143"/>
      <c r="AO1216" s="143"/>
    </row>
    <row r="1217" spans="3:41">
      <c r="C1217" s="136"/>
      <c r="D1217" s="136"/>
      <c r="F1217" s="15"/>
      <c r="G1217" s="138"/>
      <c r="H1217" s="138"/>
      <c r="I1217" s="126"/>
      <c r="J1217" s="15"/>
      <c r="K1217" s="15"/>
      <c r="L1217" s="20"/>
      <c r="M1217" s="20"/>
      <c r="N1217" s="126"/>
      <c r="O1217" s="126"/>
      <c r="P1217" s="126"/>
      <c r="Q1217" s="171"/>
      <c r="R1217" s="172"/>
      <c r="S1217" s="172"/>
      <c r="AE1217" s="143"/>
      <c r="AF1217" s="143"/>
      <c r="AG1217" s="143"/>
      <c r="AH1217" s="143"/>
      <c r="AI1217" s="143"/>
      <c r="AJ1217" s="143"/>
      <c r="AK1217" s="143"/>
      <c r="AL1217" s="143"/>
      <c r="AM1217" s="145"/>
      <c r="AN1217" s="143"/>
      <c r="AO1217" s="143"/>
    </row>
    <row r="1218" spans="3:41">
      <c r="C1218" s="136"/>
      <c r="D1218" s="136"/>
      <c r="F1218" s="15"/>
      <c r="G1218" s="138"/>
      <c r="H1218" s="138"/>
      <c r="I1218" s="126"/>
      <c r="J1218" s="15"/>
      <c r="K1218" s="15"/>
      <c r="L1218" s="20"/>
      <c r="M1218" s="20"/>
      <c r="N1218" s="126"/>
      <c r="O1218" s="126"/>
      <c r="P1218" s="126"/>
      <c r="Q1218" s="171"/>
      <c r="R1218" s="172"/>
      <c r="S1218" s="172"/>
      <c r="AE1218" s="143"/>
      <c r="AF1218" s="143"/>
      <c r="AG1218" s="143"/>
      <c r="AH1218" s="143"/>
      <c r="AI1218" s="143"/>
      <c r="AJ1218" s="143"/>
      <c r="AK1218" s="143"/>
      <c r="AL1218" s="143"/>
      <c r="AM1218" s="145"/>
      <c r="AN1218" s="143"/>
      <c r="AO1218" s="143"/>
    </row>
    <row r="1219" spans="3:41">
      <c r="C1219" s="136"/>
      <c r="D1219" s="136"/>
      <c r="F1219" s="15"/>
      <c r="G1219" s="138"/>
      <c r="H1219" s="138"/>
      <c r="I1219" s="126"/>
      <c r="J1219" s="15"/>
      <c r="K1219" s="15"/>
      <c r="L1219" s="20"/>
      <c r="M1219" s="20"/>
      <c r="N1219" s="126"/>
      <c r="O1219" s="126"/>
      <c r="P1219" s="126"/>
      <c r="Q1219" s="171"/>
      <c r="R1219" s="172"/>
      <c r="S1219" s="172"/>
      <c r="AE1219" s="143"/>
      <c r="AF1219" s="143"/>
      <c r="AG1219" s="143"/>
      <c r="AH1219" s="143"/>
      <c r="AI1219" s="194"/>
      <c r="AJ1219" s="143"/>
      <c r="AK1219" s="143"/>
      <c r="AL1219" s="143"/>
      <c r="AM1219" s="145"/>
      <c r="AN1219" s="143"/>
      <c r="AO1219" s="147"/>
    </row>
    <row r="1220" spans="3:41">
      <c r="C1220" s="136"/>
      <c r="D1220" s="136"/>
      <c r="F1220" s="15"/>
      <c r="G1220" s="138"/>
      <c r="H1220" s="138"/>
      <c r="I1220" s="126"/>
      <c r="J1220" s="15"/>
      <c r="K1220" s="15"/>
      <c r="L1220" s="20"/>
      <c r="M1220" s="20"/>
      <c r="N1220" s="126"/>
      <c r="O1220" s="126"/>
      <c r="P1220" s="126"/>
      <c r="Q1220" s="171"/>
      <c r="R1220" s="172"/>
      <c r="S1220" s="172"/>
      <c r="AE1220" s="143"/>
      <c r="AF1220" s="143"/>
      <c r="AG1220" s="143"/>
      <c r="AH1220" s="143"/>
      <c r="AI1220" s="143"/>
      <c r="AJ1220" s="143"/>
      <c r="AK1220" s="143"/>
      <c r="AL1220" s="143"/>
      <c r="AM1220" s="143"/>
      <c r="AN1220" s="143"/>
      <c r="AO1220" s="147"/>
    </row>
    <row r="1221" spans="3:41">
      <c r="C1221" s="136"/>
      <c r="D1221" s="136"/>
      <c r="F1221" s="15"/>
      <c r="G1221" s="138"/>
      <c r="H1221" s="138"/>
      <c r="I1221" s="126"/>
      <c r="J1221" s="15"/>
      <c r="K1221" s="15"/>
      <c r="L1221" s="20"/>
      <c r="M1221" s="20"/>
      <c r="N1221" s="126"/>
      <c r="O1221" s="126"/>
      <c r="P1221" s="126"/>
      <c r="Q1221" s="171"/>
      <c r="R1221" s="172"/>
      <c r="S1221" s="172"/>
      <c r="AE1221" s="143"/>
      <c r="AF1221" s="143"/>
      <c r="AG1221" s="143"/>
      <c r="AH1221" s="143"/>
      <c r="AI1221" s="143"/>
      <c r="AJ1221" s="143"/>
      <c r="AK1221" s="143"/>
      <c r="AL1221" s="143"/>
      <c r="AM1221" s="145"/>
      <c r="AN1221" s="143"/>
      <c r="AO1221" s="143"/>
    </row>
    <row r="1222" spans="3:41">
      <c r="C1222" s="136"/>
      <c r="D1222" s="136"/>
      <c r="F1222" s="15"/>
      <c r="G1222" s="138"/>
      <c r="H1222" s="138"/>
      <c r="I1222" s="126"/>
      <c r="J1222" s="15"/>
      <c r="K1222" s="15"/>
      <c r="L1222" s="20"/>
      <c r="M1222" s="20"/>
      <c r="N1222" s="126"/>
      <c r="O1222" s="126"/>
      <c r="P1222" s="126"/>
      <c r="Q1222" s="171"/>
      <c r="R1222" s="172"/>
      <c r="S1222" s="172"/>
      <c r="AE1222" s="143"/>
      <c r="AF1222" s="143"/>
      <c r="AG1222" s="143"/>
      <c r="AH1222" s="143"/>
      <c r="AI1222" s="143"/>
      <c r="AJ1222" s="143"/>
      <c r="AK1222" s="143"/>
      <c r="AL1222" s="143"/>
      <c r="AM1222" s="143"/>
      <c r="AN1222" s="143"/>
      <c r="AO1222" s="147"/>
    </row>
    <row r="1223" spans="3:41">
      <c r="C1223" s="136"/>
      <c r="D1223" s="136"/>
      <c r="F1223" s="15"/>
      <c r="G1223" s="138"/>
      <c r="H1223" s="138"/>
      <c r="I1223" s="126"/>
      <c r="J1223" s="15"/>
      <c r="K1223" s="15"/>
      <c r="L1223" s="20"/>
      <c r="M1223" s="20"/>
      <c r="N1223" s="126"/>
      <c r="O1223" s="126"/>
      <c r="P1223" s="126"/>
      <c r="Q1223" s="171"/>
      <c r="R1223" s="172"/>
      <c r="S1223" s="172"/>
      <c r="AE1223" s="143"/>
      <c r="AF1223" s="143"/>
      <c r="AG1223" s="143"/>
      <c r="AH1223" s="143"/>
      <c r="AI1223" s="143"/>
      <c r="AJ1223" s="143"/>
      <c r="AK1223" s="143"/>
      <c r="AL1223" s="143"/>
      <c r="AM1223" s="143"/>
      <c r="AN1223" s="143"/>
      <c r="AO1223" s="147"/>
    </row>
    <row r="1224" spans="3:41">
      <c r="C1224" s="136"/>
      <c r="D1224" s="136"/>
      <c r="F1224" s="15"/>
      <c r="G1224" s="138"/>
      <c r="H1224" s="138"/>
      <c r="I1224" s="126"/>
      <c r="J1224" s="15"/>
      <c r="K1224" s="15"/>
      <c r="L1224" s="20"/>
      <c r="M1224" s="20"/>
      <c r="N1224" s="126"/>
      <c r="O1224" s="126"/>
      <c r="P1224" s="126"/>
      <c r="Q1224" s="171"/>
      <c r="R1224" s="172"/>
      <c r="S1224" s="172"/>
      <c r="AE1224" s="143"/>
      <c r="AF1224" s="143"/>
      <c r="AG1224" s="143"/>
      <c r="AH1224" s="143"/>
      <c r="AI1224" s="143"/>
      <c r="AJ1224" s="143"/>
      <c r="AK1224" s="143"/>
      <c r="AL1224" s="143"/>
      <c r="AM1224" s="143"/>
      <c r="AN1224" s="143"/>
      <c r="AO1224" s="147"/>
    </row>
    <row r="1225" spans="3:41">
      <c r="C1225" s="136"/>
      <c r="D1225" s="136"/>
      <c r="F1225" s="15"/>
      <c r="G1225" s="138"/>
      <c r="H1225" s="138"/>
      <c r="I1225" s="126"/>
      <c r="J1225" s="15"/>
      <c r="K1225" s="15"/>
      <c r="L1225" s="20"/>
      <c r="M1225" s="20"/>
      <c r="N1225" s="126"/>
      <c r="O1225" s="126"/>
      <c r="P1225" s="126"/>
      <c r="Q1225" s="171"/>
      <c r="R1225" s="172"/>
      <c r="S1225" s="172"/>
      <c r="AE1225" s="143"/>
      <c r="AF1225" s="143"/>
      <c r="AG1225" s="143"/>
      <c r="AH1225" s="143"/>
      <c r="AI1225" s="143"/>
      <c r="AJ1225" s="143"/>
      <c r="AK1225" s="143"/>
      <c r="AL1225" s="143"/>
      <c r="AM1225" s="145"/>
      <c r="AN1225" s="143"/>
      <c r="AO1225" s="147"/>
    </row>
    <row r="1226" spans="3:41">
      <c r="C1226" s="136"/>
      <c r="D1226" s="136"/>
      <c r="F1226" s="15"/>
      <c r="G1226" s="138"/>
      <c r="H1226" s="138"/>
      <c r="I1226" s="126"/>
      <c r="J1226" s="15"/>
      <c r="K1226" s="15"/>
      <c r="L1226" s="20"/>
      <c r="M1226" s="20"/>
      <c r="N1226" s="126"/>
      <c r="O1226" s="126"/>
      <c r="P1226" s="126"/>
      <c r="Q1226" s="171"/>
      <c r="R1226" s="172"/>
      <c r="S1226" s="172"/>
      <c r="AE1226" s="143"/>
      <c r="AF1226" s="143"/>
      <c r="AG1226" s="143"/>
      <c r="AH1226" s="143"/>
      <c r="AI1226" s="143"/>
      <c r="AJ1226" s="143"/>
      <c r="AK1226" s="143"/>
      <c r="AL1226" s="143"/>
      <c r="AM1226" s="143"/>
      <c r="AN1226" s="143"/>
      <c r="AO1226" s="147"/>
    </row>
    <row r="1227" spans="3:41">
      <c r="C1227" s="136"/>
      <c r="D1227" s="136"/>
      <c r="F1227" s="15"/>
      <c r="G1227" s="138"/>
      <c r="H1227" s="138"/>
      <c r="I1227" s="126"/>
      <c r="J1227" s="15"/>
      <c r="K1227" s="15"/>
      <c r="L1227" s="20"/>
      <c r="M1227" s="20"/>
      <c r="N1227" s="126"/>
      <c r="O1227" s="126"/>
      <c r="P1227" s="126"/>
      <c r="Q1227" s="171"/>
      <c r="R1227" s="172"/>
      <c r="S1227" s="172"/>
      <c r="AE1227" s="143"/>
      <c r="AF1227" s="143"/>
      <c r="AG1227" s="143"/>
      <c r="AH1227" s="143"/>
      <c r="AI1227" s="143"/>
      <c r="AJ1227" s="143"/>
      <c r="AK1227" s="143"/>
      <c r="AL1227" s="143"/>
      <c r="AM1227" s="143"/>
      <c r="AN1227" s="143"/>
      <c r="AO1227" s="143"/>
    </row>
    <row r="1228" spans="3:41">
      <c r="C1228" s="136"/>
      <c r="D1228" s="136"/>
      <c r="F1228" s="15"/>
      <c r="G1228" s="138"/>
      <c r="H1228" s="138"/>
      <c r="I1228" s="126"/>
      <c r="J1228" s="15"/>
      <c r="K1228" s="15"/>
      <c r="L1228" s="20"/>
      <c r="M1228" s="20"/>
      <c r="N1228" s="126"/>
      <c r="O1228" s="126"/>
      <c r="P1228" s="126"/>
      <c r="Q1228" s="171"/>
      <c r="R1228" s="172"/>
      <c r="S1228" s="172"/>
      <c r="AE1228" s="143"/>
      <c r="AF1228" s="143"/>
      <c r="AG1228" s="143"/>
      <c r="AH1228" s="143"/>
      <c r="AI1228" s="143"/>
      <c r="AJ1228" s="143"/>
      <c r="AK1228" s="143"/>
      <c r="AL1228" s="143"/>
      <c r="AM1228" s="145"/>
      <c r="AN1228" s="143"/>
      <c r="AO1228" s="143"/>
    </row>
    <row r="1229" spans="3:41">
      <c r="C1229" s="136"/>
      <c r="D1229" s="136"/>
      <c r="F1229" s="15"/>
      <c r="G1229" s="138"/>
      <c r="H1229" s="138"/>
      <c r="I1229" s="126"/>
      <c r="J1229" s="15"/>
      <c r="K1229" s="15"/>
      <c r="L1229" s="20"/>
      <c r="M1229" s="20"/>
      <c r="N1229" s="126"/>
      <c r="O1229" s="126"/>
      <c r="P1229" s="126"/>
      <c r="Q1229" s="171"/>
      <c r="R1229" s="172"/>
      <c r="S1229" s="172"/>
      <c r="AE1229" s="143"/>
      <c r="AF1229" s="143"/>
      <c r="AG1229" s="143"/>
      <c r="AH1229" s="143"/>
      <c r="AI1229" s="143"/>
      <c r="AJ1229" s="143"/>
      <c r="AK1229" s="143"/>
      <c r="AL1229" s="143"/>
      <c r="AM1229" s="145"/>
      <c r="AN1229" s="143"/>
      <c r="AO1229" s="143"/>
    </row>
    <row r="1230" spans="3:41">
      <c r="C1230" s="136"/>
      <c r="D1230" s="136"/>
      <c r="F1230" s="15"/>
      <c r="G1230" s="138"/>
      <c r="H1230" s="138"/>
      <c r="I1230" s="126"/>
      <c r="J1230" s="15"/>
      <c r="K1230" s="15"/>
      <c r="L1230" s="20"/>
      <c r="M1230" s="20"/>
      <c r="N1230" s="126"/>
      <c r="O1230" s="126"/>
      <c r="P1230" s="126"/>
      <c r="Q1230" s="171"/>
      <c r="R1230" s="172"/>
      <c r="S1230" s="172"/>
      <c r="AE1230" s="143"/>
      <c r="AF1230" s="143"/>
      <c r="AG1230" s="143"/>
      <c r="AH1230" s="143"/>
      <c r="AI1230" s="143"/>
      <c r="AJ1230" s="143"/>
      <c r="AK1230" s="143"/>
      <c r="AL1230" s="143"/>
      <c r="AM1230" s="145"/>
      <c r="AN1230" s="143"/>
      <c r="AO1230" s="147"/>
    </row>
    <row r="1231" spans="3:41">
      <c r="C1231" s="136"/>
      <c r="D1231" s="136"/>
      <c r="F1231" s="15"/>
      <c r="G1231" s="138"/>
      <c r="H1231" s="138"/>
      <c r="I1231" s="126"/>
      <c r="J1231" s="15"/>
      <c r="K1231" s="15"/>
      <c r="L1231" s="20"/>
      <c r="M1231" s="20"/>
      <c r="N1231" s="126"/>
      <c r="O1231" s="126"/>
      <c r="P1231" s="126"/>
      <c r="Q1231" s="171"/>
      <c r="R1231" s="172"/>
      <c r="S1231" s="172"/>
      <c r="AE1231" s="143"/>
      <c r="AF1231" s="143"/>
      <c r="AG1231" s="143"/>
      <c r="AH1231" s="143"/>
      <c r="AI1231" s="143"/>
      <c r="AJ1231" s="143"/>
      <c r="AK1231" s="143"/>
      <c r="AL1231" s="143"/>
      <c r="AM1231" s="145"/>
      <c r="AN1231" s="143"/>
      <c r="AO1231" s="147"/>
    </row>
    <row r="1232" spans="3:41">
      <c r="C1232" s="136"/>
      <c r="D1232" s="136"/>
      <c r="F1232" s="15"/>
      <c r="G1232" s="138"/>
      <c r="H1232" s="138"/>
      <c r="I1232" s="126"/>
      <c r="J1232" s="15"/>
      <c r="K1232" s="15"/>
      <c r="L1232" s="20"/>
      <c r="M1232" s="20"/>
      <c r="N1232" s="126"/>
      <c r="O1232" s="126"/>
      <c r="P1232" s="126"/>
      <c r="Q1232" s="171"/>
      <c r="R1232" s="172"/>
      <c r="S1232" s="172"/>
      <c r="AE1232" s="143"/>
      <c r="AF1232" s="143"/>
      <c r="AG1232" s="143"/>
      <c r="AH1232" s="143"/>
      <c r="AI1232" s="143"/>
      <c r="AJ1232" s="143"/>
      <c r="AK1232" s="143"/>
      <c r="AL1232" s="143"/>
      <c r="AM1232" s="143"/>
      <c r="AN1232" s="143"/>
      <c r="AO1232" s="143"/>
    </row>
    <row r="1233" spans="3:41">
      <c r="C1233" s="136"/>
      <c r="D1233" s="136"/>
      <c r="F1233" s="15"/>
      <c r="G1233" s="138"/>
      <c r="H1233" s="138"/>
      <c r="I1233" s="126"/>
      <c r="J1233" s="15"/>
      <c r="K1233" s="15"/>
      <c r="L1233" s="20"/>
      <c r="M1233" s="20"/>
      <c r="N1233" s="126"/>
      <c r="O1233" s="126"/>
      <c r="P1233" s="126"/>
      <c r="Q1233" s="171"/>
      <c r="R1233" s="172"/>
      <c r="S1233" s="172"/>
      <c r="AE1233" s="143"/>
      <c r="AF1233" s="143"/>
      <c r="AG1233" s="143"/>
      <c r="AH1233" s="143"/>
      <c r="AI1233" s="143"/>
      <c r="AJ1233" s="143"/>
      <c r="AK1233" s="143"/>
      <c r="AL1233" s="143"/>
      <c r="AM1233" s="143"/>
      <c r="AN1233" s="143"/>
      <c r="AO1233" s="147"/>
    </row>
    <row r="1234" spans="3:41">
      <c r="C1234" s="136"/>
      <c r="D1234" s="136"/>
      <c r="F1234" s="15"/>
      <c r="G1234" s="138"/>
      <c r="H1234" s="138"/>
      <c r="I1234" s="126"/>
      <c r="J1234" s="15"/>
      <c r="K1234" s="15"/>
      <c r="L1234" s="20"/>
      <c r="M1234" s="20"/>
      <c r="N1234" s="126"/>
      <c r="O1234" s="126"/>
      <c r="P1234" s="126"/>
      <c r="Q1234" s="171"/>
      <c r="R1234" s="172"/>
      <c r="S1234" s="172"/>
      <c r="AE1234" s="143"/>
      <c r="AF1234" s="143"/>
      <c r="AG1234" s="143"/>
      <c r="AH1234" s="143"/>
      <c r="AI1234" s="143"/>
      <c r="AJ1234" s="143"/>
      <c r="AK1234" s="143"/>
      <c r="AL1234" s="143"/>
      <c r="AM1234" s="145"/>
      <c r="AN1234" s="143"/>
      <c r="AO1234" s="143"/>
    </row>
    <row r="1235" spans="3:41">
      <c r="C1235" s="136"/>
      <c r="D1235" s="136"/>
      <c r="F1235" s="15"/>
      <c r="G1235" s="138"/>
      <c r="H1235" s="138"/>
      <c r="I1235" s="126"/>
      <c r="J1235" s="15"/>
      <c r="K1235" s="15"/>
      <c r="L1235" s="20"/>
      <c r="M1235" s="20"/>
      <c r="N1235" s="126"/>
      <c r="O1235" s="126"/>
      <c r="P1235" s="126"/>
      <c r="Q1235" s="171"/>
      <c r="R1235" s="172"/>
      <c r="S1235" s="172"/>
      <c r="AE1235" s="143"/>
      <c r="AF1235" s="143"/>
      <c r="AG1235" s="143"/>
      <c r="AH1235" s="143"/>
      <c r="AI1235" s="143"/>
      <c r="AJ1235" s="143"/>
      <c r="AK1235" s="143"/>
      <c r="AL1235" s="143"/>
      <c r="AM1235" s="145"/>
      <c r="AN1235" s="143"/>
      <c r="AO1235" s="143"/>
    </row>
    <row r="1236" spans="3:41">
      <c r="C1236" s="136"/>
      <c r="D1236" s="136"/>
      <c r="F1236" s="15"/>
      <c r="G1236" s="138"/>
      <c r="H1236" s="138"/>
      <c r="I1236" s="126"/>
      <c r="J1236" s="15"/>
      <c r="K1236" s="15"/>
      <c r="L1236" s="20"/>
      <c r="M1236" s="20"/>
      <c r="N1236" s="126"/>
      <c r="O1236" s="126"/>
      <c r="P1236" s="126"/>
      <c r="Q1236" s="171"/>
      <c r="R1236" s="172"/>
      <c r="S1236" s="172"/>
      <c r="AE1236" s="143"/>
      <c r="AF1236" s="143"/>
      <c r="AG1236" s="143"/>
      <c r="AH1236" s="143"/>
      <c r="AI1236" s="143"/>
      <c r="AJ1236" s="143"/>
      <c r="AK1236" s="143"/>
      <c r="AL1236" s="143"/>
      <c r="AM1236" s="145"/>
      <c r="AN1236" s="143"/>
      <c r="AO1236" s="143"/>
    </row>
    <row r="1237" spans="3:41">
      <c r="C1237" s="136"/>
      <c r="D1237" s="136"/>
      <c r="F1237" s="15"/>
      <c r="G1237" s="138"/>
      <c r="H1237" s="138"/>
      <c r="I1237" s="126"/>
      <c r="J1237" s="15"/>
      <c r="K1237" s="15"/>
      <c r="L1237" s="20"/>
      <c r="M1237" s="20"/>
      <c r="N1237" s="126"/>
      <c r="O1237" s="126"/>
      <c r="P1237" s="126"/>
      <c r="Q1237" s="171"/>
      <c r="R1237" s="172"/>
      <c r="S1237" s="172"/>
      <c r="AE1237" s="143"/>
      <c r="AF1237" s="143"/>
      <c r="AG1237" s="143"/>
      <c r="AH1237" s="143"/>
      <c r="AI1237" s="143"/>
      <c r="AJ1237" s="143"/>
      <c r="AK1237" s="143"/>
      <c r="AL1237" s="143"/>
      <c r="AM1237" s="145"/>
      <c r="AN1237" s="143"/>
      <c r="AO1237" s="143"/>
    </row>
    <row r="1238" spans="3:41">
      <c r="C1238" s="136"/>
      <c r="D1238" s="136"/>
      <c r="F1238" s="15"/>
      <c r="G1238" s="138"/>
      <c r="H1238" s="138"/>
      <c r="I1238" s="126"/>
      <c r="J1238" s="15"/>
      <c r="K1238" s="15"/>
      <c r="L1238" s="20"/>
      <c r="M1238" s="20"/>
      <c r="N1238" s="126"/>
      <c r="O1238" s="126"/>
      <c r="P1238" s="126"/>
      <c r="Q1238" s="171"/>
      <c r="R1238" s="172"/>
      <c r="S1238" s="172"/>
      <c r="AE1238" s="143"/>
      <c r="AF1238" s="143"/>
      <c r="AG1238" s="143"/>
      <c r="AH1238" s="143"/>
      <c r="AI1238" s="143"/>
      <c r="AJ1238" s="143"/>
      <c r="AK1238" s="143"/>
      <c r="AL1238" s="143"/>
      <c r="AM1238" s="143"/>
      <c r="AN1238" s="143"/>
      <c r="AO1238" s="143"/>
    </row>
    <row r="1239" spans="3:41">
      <c r="C1239" s="136"/>
      <c r="D1239" s="136"/>
      <c r="F1239" s="15"/>
      <c r="G1239" s="138"/>
      <c r="H1239" s="138"/>
      <c r="I1239" s="126"/>
      <c r="J1239" s="15"/>
      <c r="K1239" s="15"/>
      <c r="L1239" s="20"/>
      <c r="M1239" s="20"/>
      <c r="N1239" s="126"/>
      <c r="O1239" s="126"/>
      <c r="P1239" s="126"/>
      <c r="Q1239" s="171"/>
      <c r="R1239" s="172"/>
      <c r="S1239" s="172"/>
      <c r="AE1239" s="143"/>
      <c r="AF1239" s="143"/>
      <c r="AG1239" s="143"/>
      <c r="AH1239" s="143"/>
      <c r="AI1239" s="143"/>
      <c r="AJ1239" s="143"/>
      <c r="AK1239" s="143"/>
      <c r="AL1239" s="143"/>
      <c r="AM1239" s="145"/>
      <c r="AN1239" s="143"/>
      <c r="AO1239" s="147"/>
    </row>
    <row r="1240" spans="3:41">
      <c r="C1240" s="136"/>
      <c r="D1240" s="136"/>
      <c r="F1240" s="15"/>
      <c r="G1240" s="138"/>
      <c r="H1240" s="138"/>
      <c r="I1240" s="126"/>
      <c r="J1240" s="15"/>
      <c r="K1240" s="15"/>
      <c r="L1240" s="20"/>
      <c r="M1240" s="20"/>
      <c r="N1240" s="126"/>
      <c r="O1240" s="126"/>
      <c r="P1240" s="126"/>
      <c r="Q1240" s="171"/>
      <c r="R1240" s="172"/>
      <c r="S1240" s="172"/>
      <c r="AE1240" s="143"/>
      <c r="AF1240" s="143"/>
      <c r="AG1240" s="143"/>
      <c r="AH1240" s="143"/>
      <c r="AI1240" s="143"/>
      <c r="AJ1240" s="143"/>
      <c r="AK1240" s="143"/>
      <c r="AL1240" s="143"/>
      <c r="AM1240" s="145"/>
      <c r="AN1240" s="143"/>
      <c r="AO1240" s="143"/>
    </row>
    <row r="1241" spans="3:41">
      <c r="C1241" s="136"/>
      <c r="D1241" s="136"/>
      <c r="F1241" s="15"/>
      <c r="G1241" s="138"/>
      <c r="H1241" s="138"/>
      <c r="I1241" s="126"/>
      <c r="J1241" s="15"/>
      <c r="K1241" s="15"/>
      <c r="L1241" s="20"/>
      <c r="M1241" s="20"/>
      <c r="N1241" s="126"/>
      <c r="O1241" s="126"/>
      <c r="P1241" s="126"/>
      <c r="Q1241" s="171"/>
      <c r="R1241" s="172"/>
      <c r="S1241" s="172"/>
      <c r="AE1241" s="143"/>
      <c r="AF1241" s="143"/>
      <c r="AG1241" s="143"/>
      <c r="AH1241" s="143"/>
      <c r="AI1241" s="143"/>
      <c r="AJ1241" s="143"/>
      <c r="AK1241" s="143"/>
      <c r="AL1241" s="143"/>
      <c r="AM1241" s="145"/>
      <c r="AN1241" s="143"/>
      <c r="AO1241" s="143"/>
    </row>
    <row r="1242" spans="3:41">
      <c r="C1242" s="136"/>
      <c r="D1242" s="136"/>
      <c r="F1242" s="15"/>
      <c r="G1242" s="138"/>
      <c r="H1242" s="138"/>
      <c r="I1242" s="126"/>
      <c r="J1242" s="15"/>
      <c r="K1242" s="15"/>
      <c r="L1242" s="20"/>
      <c r="M1242" s="20"/>
      <c r="N1242" s="126"/>
      <c r="O1242" s="126"/>
      <c r="P1242" s="126"/>
      <c r="Q1242" s="171"/>
      <c r="R1242" s="172"/>
      <c r="S1242" s="172"/>
      <c r="AE1242" s="143"/>
      <c r="AF1242" s="143"/>
      <c r="AG1242" s="143"/>
      <c r="AH1242" s="143"/>
      <c r="AI1242" s="143"/>
      <c r="AJ1242" s="143"/>
      <c r="AK1242" s="143"/>
      <c r="AL1242" s="143"/>
      <c r="AM1242" s="145"/>
      <c r="AN1242" s="143"/>
      <c r="AO1242" s="143"/>
    </row>
    <row r="1243" spans="3:41">
      <c r="C1243" s="136"/>
      <c r="D1243" s="136"/>
      <c r="F1243" s="15"/>
      <c r="G1243" s="138"/>
      <c r="H1243" s="138"/>
      <c r="I1243" s="126"/>
      <c r="J1243" s="15"/>
      <c r="K1243" s="15"/>
      <c r="L1243" s="20"/>
      <c r="M1243" s="20"/>
      <c r="N1243" s="126"/>
      <c r="O1243" s="126"/>
      <c r="P1243" s="126"/>
      <c r="Q1243" s="171"/>
      <c r="R1243" s="172"/>
      <c r="S1243" s="172"/>
      <c r="AE1243" s="143"/>
      <c r="AF1243" s="143"/>
      <c r="AG1243" s="143"/>
      <c r="AH1243" s="143"/>
      <c r="AI1243" s="143"/>
      <c r="AJ1243" s="143"/>
      <c r="AK1243" s="143"/>
      <c r="AL1243" s="143"/>
      <c r="AM1243" s="145"/>
      <c r="AN1243" s="143"/>
      <c r="AO1243" s="143"/>
    </row>
    <row r="1244" spans="3:41">
      <c r="C1244" s="136"/>
      <c r="D1244" s="136"/>
      <c r="F1244" s="15"/>
      <c r="G1244" s="138"/>
      <c r="H1244" s="138"/>
      <c r="I1244" s="126"/>
      <c r="J1244" s="15"/>
      <c r="K1244" s="15"/>
      <c r="L1244" s="20"/>
      <c r="M1244" s="20"/>
      <c r="N1244" s="126"/>
      <c r="O1244" s="126"/>
      <c r="P1244" s="126"/>
      <c r="Q1244" s="171"/>
      <c r="R1244" s="172"/>
      <c r="S1244" s="172"/>
      <c r="AE1244" s="143"/>
      <c r="AF1244" s="143"/>
      <c r="AG1244" s="143"/>
      <c r="AH1244" s="143"/>
      <c r="AI1244" s="143"/>
      <c r="AJ1244" s="143"/>
      <c r="AK1244" s="143"/>
      <c r="AL1244" s="143"/>
      <c r="AM1244" s="143"/>
      <c r="AN1244" s="143"/>
      <c r="AO1244" s="143"/>
    </row>
    <row r="1245" spans="3:41">
      <c r="C1245" s="136"/>
      <c r="D1245" s="136"/>
      <c r="F1245" s="15"/>
      <c r="G1245" s="138"/>
      <c r="H1245" s="138"/>
      <c r="I1245" s="126"/>
      <c r="J1245" s="15"/>
      <c r="K1245" s="15"/>
      <c r="L1245" s="20"/>
      <c r="M1245" s="20"/>
      <c r="N1245" s="126"/>
      <c r="O1245" s="126"/>
      <c r="P1245" s="126"/>
      <c r="Q1245" s="171"/>
      <c r="R1245" s="172"/>
      <c r="S1245" s="172"/>
      <c r="AE1245" s="143"/>
      <c r="AF1245" s="143"/>
      <c r="AG1245" s="143"/>
      <c r="AH1245" s="143"/>
      <c r="AI1245" s="143"/>
      <c r="AJ1245" s="143"/>
      <c r="AK1245" s="143"/>
      <c r="AL1245" s="143"/>
      <c r="AM1245" s="145"/>
      <c r="AN1245" s="143"/>
      <c r="AO1245" s="143"/>
    </row>
    <row r="1246" spans="3:41">
      <c r="C1246" s="136"/>
      <c r="D1246" s="136"/>
      <c r="F1246" s="15"/>
      <c r="G1246" s="138"/>
      <c r="H1246" s="138"/>
      <c r="I1246" s="126"/>
      <c r="J1246" s="15"/>
      <c r="K1246" s="15"/>
      <c r="L1246" s="20"/>
      <c r="M1246" s="20"/>
      <c r="N1246" s="126"/>
      <c r="O1246" s="126"/>
      <c r="P1246" s="126"/>
      <c r="Q1246" s="171"/>
      <c r="R1246" s="172"/>
      <c r="S1246" s="172"/>
      <c r="AE1246" s="143"/>
      <c r="AF1246" s="143"/>
      <c r="AG1246" s="143"/>
      <c r="AH1246" s="143"/>
      <c r="AI1246" s="143"/>
      <c r="AJ1246" s="143"/>
      <c r="AK1246" s="143"/>
      <c r="AL1246" s="143"/>
      <c r="AM1246" s="145"/>
      <c r="AN1246" s="143"/>
      <c r="AO1246" s="143"/>
    </row>
    <row r="1247" spans="3:41">
      <c r="C1247" s="136"/>
      <c r="D1247" s="136"/>
      <c r="F1247" s="15"/>
      <c r="G1247" s="138"/>
      <c r="H1247" s="138"/>
      <c r="I1247" s="126"/>
      <c r="J1247" s="15"/>
      <c r="K1247" s="15"/>
      <c r="L1247" s="20"/>
      <c r="M1247" s="20"/>
      <c r="N1247" s="126"/>
      <c r="O1247" s="126"/>
      <c r="P1247" s="126"/>
      <c r="Q1247" s="171"/>
      <c r="R1247" s="172"/>
      <c r="S1247" s="172"/>
      <c r="AE1247" s="143"/>
      <c r="AF1247" s="143"/>
      <c r="AG1247" s="143"/>
      <c r="AH1247" s="143"/>
      <c r="AI1247" s="143"/>
      <c r="AJ1247" s="143"/>
      <c r="AK1247" s="143"/>
      <c r="AL1247" s="143"/>
      <c r="AM1247" s="145"/>
      <c r="AN1247" s="143"/>
      <c r="AO1247" s="147"/>
    </row>
    <row r="1248" spans="3:41">
      <c r="C1248" s="136"/>
      <c r="D1248" s="136"/>
      <c r="F1248" s="15"/>
      <c r="G1248" s="138"/>
      <c r="H1248" s="138"/>
      <c r="I1248" s="126"/>
      <c r="J1248" s="15"/>
      <c r="K1248" s="15"/>
      <c r="L1248" s="20"/>
      <c r="M1248" s="20"/>
      <c r="N1248" s="126"/>
      <c r="O1248" s="126"/>
      <c r="P1248" s="126"/>
      <c r="Q1248" s="171"/>
      <c r="R1248" s="172"/>
      <c r="S1248" s="172"/>
      <c r="AE1248" s="143"/>
      <c r="AF1248" s="143"/>
      <c r="AG1248" s="143"/>
      <c r="AH1248" s="143"/>
      <c r="AI1248" s="143"/>
      <c r="AJ1248" s="143"/>
      <c r="AK1248" s="143"/>
      <c r="AL1248" s="143"/>
      <c r="AM1248" s="145"/>
      <c r="AN1248" s="143"/>
      <c r="AO1248" s="192"/>
    </row>
    <row r="1249" spans="3:41">
      <c r="C1249" s="136"/>
      <c r="D1249" s="136"/>
      <c r="F1249" s="15"/>
      <c r="G1249" s="138"/>
      <c r="H1249" s="138"/>
      <c r="I1249" s="126"/>
      <c r="J1249" s="15"/>
      <c r="K1249" s="15"/>
      <c r="L1249" s="20"/>
      <c r="M1249" s="20"/>
      <c r="N1249" s="126"/>
      <c r="O1249" s="126"/>
      <c r="P1249" s="126"/>
      <c r="Q1249" s="171"/>
      <c r="R1249" s="172"/>
      <c r="S1249" s="172"/>
      <c r="AE1249" s="143"/>
      <c r="AF1249" s="143"/>
      <c r="AG1249" s="143"/>
      <c r="AH1249" s="143"/>
      <c r="AI1249" s="143"/>
      <c r="AJ1249" s="143"/>
      <c r="AK1249" s="143"/>
      <c r="AL1249" s="143"/>
      <c r="AM1249" s="145"/>
      <c r="AN1249" s="143"/>
      <c r="AO1249" s="192"/>
    </row>
    <row r="1250" spans="3:41">
      <c r="C1250" s="136"/>
      <c r="D1250" s="136"/>
      <c r="F1250" s="15"/>
      <c r="G1250" s="138"/>
      <c r="H1250" s="138"/>
      <c r="I1250" s="126"/>
      <c r="J1250" s="15"/>
      <c r="K1250" s="15"/>
      <c r="L1250" s="20"/>
      <c r="M1250" s="20"/>
      <c r="N1250" s="126"/>
      <c r="O1250" s="126"/>
      <c r="P1250" s="126"/>
      <c r="Q1250" s="171"/>
      <c r="R1250" s="172"/>
      <c r="S1250" s="172"/>
      <c r="AE1250" s="143"/>
      <c r="AF1250" s="143"/>
      <c r="AG1250" s="143"/>
      <c r="AH1250" s="143"/>
      <c r="AI1250" s="143"/>
      <c r="AJ1250" s="143"/>
      <c r="AK1250" s="143"/>
      <c r="AL1250" s="143"/>
      <c r="AM1250" s="145"/>
      <c r="AN1250" s="143"/>
      <c r="AO1250" s="192"/>
    </row>
    <row r="1251" spans="3:41">
      <c r="C1251" s="136"/>
      <c r="D1251" s="136"/>
      <c r="F1251" s="15"/>
      <c r="G1251" s="138"/>
      <c r="H1251" s="138"/>
      <c r="I1251" s="126"/>
      <c r="J1251" s="15"/>
      <c r="K1251" s="15"/>
      <c r="L1251" s="20"/>
      <c r="M1251" s="20"/>
      <c r="N1251" s="126"/>
      <c r="O1251" s="126"/>
      <c r="P1251" s="126"/>
      <c r="Q1251" s="171"/>
      <c r="R1251" s="172"/>
      <c r="S1251" s="172"/>
      <c r="AE1251" s="143"/>
      <c r="AF1251" s="143"/>
      <c r="AG1251" s="143"/>
      <c r="AH1251" s="143"/>
      <c r="AI1251" s="143"/>
      <c r="AJ1251" s="143"/>
      <c r="AK1251" s="143"/>
      <c r="AL1251" s="143"/>
      <c r="AM1251" s="145"/>
      <c r="AN1251" s="143"/>
      <c r="AO1251" s="147"/>
    </row>
    <row r="1252" spans="3:41">
      <c r="C1252" s="136"/>
      <c r="D1252" s="136"/>
      <c r="F1252" s="15"/>
      <c r="G1252" s="138"/>
      <c r="H1252" s="138"/>
      <c r="I1252" s="126"/>
      <c r="J1252" s="15"/>
      <c r="K1252" s="15"/>
      <c r="L1252" s="20"/>
      <c r="M1252" s="20"/>
      <c r="N1252" s="126"/>
      <c r="O1252" s="126"/>
      <c r="P1252" s="126"/>
      <c r="Q1252" s="171"/>
      <c r="R1252" s="172"/>
      <c r="S1252" s="172"/>
      <c r="AE1252" s="143"/>
      <c r="AF1252" s="143"/>
      <c r="AG1252" s="143"/>
      <c r="AH1252" s="143"/>
      <c r="AI1252" s="143"/>
      <c r="AJ1252" s="143"/>
      <c r="AK1252" s="143"/>
      <c r="AL1252" s="143"/>
      <c r="AM1252" s="145"/>
      <c r="AN1252" s="143"/>
      <c r="AO1252" s="147"/>
    </row>
    <row r="1253" spans="3:41">
      <c r="C1253" s="136"/>
      <c r="D1253" s="136"/>
      <c r="F1253" s="15"/>
      <c r="G1253" s="138"/>
      <c r="H1253" s="138"/>
      <c r="I1253" s="126"/>
      <c r="J1253" s="15"/>
      <c r="K1253" s="15"/>
      <c r="L1253" s="20"/>
      <c r="M1253" s="20"/>
      <c r="N1253" s="126"/>
      <c r="O1253" s="126"/>
      <c r="P1253" s="126"/>
      <c r="Q1253" s="171"/>
      <c r="R1253" s="172"/>
      <c r="S1253" s="172"/>
      <c r="AE1253" s="143"/>
      <c r="AF1253" s="143"/>
      <c r="AG1253" s="143"/>
      <c r="AH1253" s="143"/>
      <c r="AI1253" s="143"/>
      <c r="AJ1253" s="143"/>
      <c r="AK1253" s="143"/>
      <c r="AL1253" s="143"/>
      <c r="AM1253" s="145"/>
      <c r="AN1253" s="143"/>
      <c r="AO1253" s="147"/>
    </row>
    <row r="1254" spans="3:41">
      <c r="C1254" s="136"/>
      <c r="D1254" s="136"/>
      <c r="F1254" s="15"/>
      <c r="G1254" s="138"/>
      <c r="H1254" s="138"/>
      <c r="I1254" s="126"/>
      <c r="J1254" s="15"/>
      <c r="K1254" s="15"/>
      <c r="L1254" s="20"/>
      <c r="M1254" s="20"/>
      <c r="N1254" s="126"/>
      <c r="O1254" s="126"/>
      <c r="P1254" s="126"/>
      <c r="Q1254" s="171"/>
      <c r="R1254" s="172"/>
      <c r="S1254" s="172"/>
      <c r="AE1254" s="143"/>
      <c r="AF1254" s="143"/>
      <c r="AG1254" s="143"/>
      <c r="AH1254" s="143"/>
      <c r="AI1254" s="143"/>
      <c r="AJ1254" s="143"/>
      <c r="AK1254" s="143"/>
      <c r="AL1254" s="143"/>
      <c r="AM1254" s="145"/>
      <c r="AN1254" s="143"/>
      <c r="AO1254" s="192"/>
    </row>
    <row r="1255" spans="3:41">
      <c r="C1255" s="136"/>
      <c r="D1255" s="136"/>
      <c r="F1255" s="15"/>
      <c r="G1255" s="138"/>
      <c r="H1255" s="138"/>
      <c r="I1255" s="126"/>
      <c r="J1255" s="15"/>
      <c r="K1255" s="15"/>
      <c r="L1255" s="20"/>
      <c r="M1255" s="20"/>
      <c r="N1255" s="126"/>
      <c r="O1255" s="126"/>
      <c r="P1255" s="126"/>
      <c r="Q1255" s="171"/>
      <c r="R1255" s="172"/>
      <c r="S1255" s="172"/>
      <c r="AE1255" s="143"/>
      <c r="AF1255" s="143"/>
      <c r="AG1255" s="143"/>
      <c r="AH1255" s="143"/>
      <c r="AI1255" s="143"/>
      <c r="AJ1255" s="143"/>
      <c r="AK1255" s="143"/>
      <c r="AL1255" s="143"/>
      <c r="AM1255" s="145"/>
      <c r="AN1255" s="143"/>
      <c r="AO1255" s="192"/>
    </row>
    <row r="1256" spans="3:41">
      <c r="C1256" s="136"/>
      <c r="D1256" s="136"/>
      <c r="F1256" s="15"/>
      <c r="G1256" s="138"/>
      <c r="H1256" s="138"/>
      <c r="I1256" s="126"/>
      <c r="J1256" s="15"/>
      <c r="K1256" s="15"/>
      <c r="L1256" s="20"/>
      <c r="M1256" s="20"/>
      <c r="N1256" s="126"/>
      <c r="O1256" s="126"/>
      <c r="P1256" s="126"/>
      <c r="Q1256" s="171"/>
      <c r="R1256" s="172"/>
      <c r="S1256" s="172"/>
      <c r="AE1256" s="143"/>
      <c r="AF1256" s="143"/>
      <c r="AG1256" s="143"/>
      <c r="AH1256" s="143"/>
      <c r="AI1256" s="143"/>
      <c r="AJ1256" s="143"/>
      <c r="AK1256" s="143"/>
      <c r="AL1256" s="143"/>
      <c r="AM1256" s="143"/>
      <c r="AN1256" s="143"/>
      <c r="AO1256" s="192"/>
    </row>
    <row r="1257" spans="3:41">
      <c r="C1257" s="136"/>
      <c r="D1257" s="136"/>
      <c r="F1257" s="15"/>
      <c r="G1257" s="138"/>
      <c r="H1257" s="138"/>
      <c r="I1257" s="126"/>
      <c r="J1257" s="15"/>
      <c r="K1257" s="15"/>
      <c r="L1257" s="20"/>
      <c r="M1257" s="20"/>
      <c r="N1257" s="126"/>
      <c r="O1257" s="126"/>
      <c r="P1257" s="126"/>
      <c r="Q1257" s="171"/>
      <c r="R1257" s="172"/>
      <c r="S1257" s="172"/>
      <c r="AE1257" s="143"/>
      <c r="AF1257" s="143"/>
      <c r="AG1257" s="143"/>
      <c r="AH1257" s="143"/>
      <c r="AI1257" s="143"/>
      <c r="AJ1257" s="143"/>
      <c r="AK1257" s="143"/>
      <c r="AL1257" s="143"/>
      <c r="AM1257" s="143"/>
      <c r="AN1257" s="143"/>
      <c r="AO1257" s="195"/>
    </row>
    <row r="1258" spans="3:41">
      <c r="C1258" s="136"/>
      <c r="D1258" s="136"/>
      <c r="F1258" s="15"/>
      <c r="G1258" s="138"/>
      <c r="H1258" s="138"/>
      <c r="I1258" s="126"/>
      <c r="J1258" s="15"/>
      <c r="K1258" s="15"/>
      <c r="L1258" s="20"/>
      <c r="M1258" s="20"/>
      <c r="N1258" s="126"/>
      <c r="O1258" s="126"/>
      <c r="P1258" s="126"/>
      <c r="Q1258" s="171"/>
      <c r="R1258" s="172"/>
      <c r="S1258" s="172"/>
      <c r="AE1258" s="143"/>
      <c r="AF1258" s="143"/>
      <c r="AG1258" s="143"/>
      <c r="AH1258" s="143"/>
      <c r="AI1258" s="143"/>
      <c r="AJ1258" s="143"/>
      <c r="AK1258" s="143"/>
      <c r="AL1258" s="143"/>
      <c r="AM1258" s="145"/>
      <c r="AN1258" s="143"/>
      <c r="AO1258" s="192"/>
    </row>
    <row r="1259" spans="3:41">
      <c r="C1259" s="136"/>
      <c r="D1259" s="136"/>
      <c r="F1259" s="15"/>
      <c r="G1259" s="138"/>
      <c r="H1259" s="138"/>
      <c r="I1259" s="126"/>
      <c r="J1259" s="15"/>
      <c r="K1259" s="15"/>
      <c r="L1259" s="20"/>
      <c r="M1259" s="20"/>
      <c r="N1259" s="126"/>
      <c r="O1259" s="126"/>
      <c r="P1259" s="126"/>
      <c r="Q1259" s="171"/>
      <c r="R1259" s="172"/>
      <c r="S1259" s="172"/>
      <c r="AE1259" s="143"/>
      <c r="AF1259" s="143"/>
      <c r="AG1259" s="143"/>
      <c r="AH1259" s="143"/>
      <c r="AI1259" s="143"/>
      <c r="AJ1259" s="143"/>
      <c r="AK1259" s="143"/>
      <c r="AL1259" s="143"/>
      <c r="AM1259" s="145"/>
      <c r="AN1259" s="143"/>
      <c r="AO1259" s="192"/>
    </row>
    <row r="1260" spans="3:41">
      <c r="C1260" s="136"/>
      <c r="D1260" s="136"/>
      <c r="F1260" s="15"/>
      <c r="G1260" s="138"/>
      <c r="H1260" s="138"/>
      <c r="I1260" s="126"/>
      <c r="J1260" s="15"/>
      <c r="K1260" s="15"/>
      <c r="L1260" s="20"/>
      <c r="M1260" s="20"/>
      <c r="N1260" s="126"/>
      <c r="O1260" s="126"/>
      <c r="P1260" s="126"/>
      <c r="Q1260" s="171"/>
      <c r="R1260" s="172"/>
      <c r="S1260" s="172"/>
      <c r="AE1260" s="143"/>
      <c r="AF1260" s="143"/>
      <c r="AG1260" s="143"/>
      <c r="AH1260" s="143"/>
      <c r="AI1260" s="143"/>
      <c r="AJ1260" s="143"/>
      <c r="AK1260" s="143"/>
      <c r="AL1260" s="143"/>
      <c r="AM1260" s="145"/>
      <c r="AN1260" s="143"/>
      <c r="AO1260" s="147"/>
    </row>
    <row r="1261" spans="3:41">
      <c r="C1261" s="136"/>
      <c r="D1261" s="136"/>
      <c r="F1261" s="196"/>
      <c r="G1261" s="138"/>
      <c r="H1261" s="138"/>
      <c r="I1261" s="126"/>
      <c r="J1261" s="196"/>
      <c r="K1261" s="15"/>
      <c r="L1261" s="20"/>
      <c r="M1261" s="20"/>
      <c r="N1261" s="126"/>
      <c r="O1261" s="126"/>
      <c r="P1261" s="126"/>
      <c r="Q1261" s="197"/>
      <c r="R1261" s="172"/>
      <c r="S1261" s="172"/>
      <c r="AE1261" s="143"/>
      <c r="AF1261" s="143"/>
      <c r="AG1261" s="143"/>
      <c r="AH1261" s="143"/>
      <c r="AI1261" s="143"/>
      <c r="AJ1261" s="143"/>
      <c r="AK1261" s="143"/>
      <c r="AL1261" s="143"/>
      <c r="AM1261" s="145"/>
      <c r="AN1261" s="143"/>
      <c r="AO1261" s="192"/>
    </row>
    <row r="1262" spans="3:41">
      <c r="C1262" s="136"/>
      <c r="D1262" s="136"/>
      <c r="F1262" s="196"/>
      <c r="G1262" s="138"/>
      <c r="H1262" s="138"/>
      <c r="I1262" s="126"/>
      <c r="J1262" s="196"/>
      <c r="K1262" s="15"/>
      <c r="L1262" s="20"/>
      <c r="M1262" s="20"/>
      <c r="N1262" s="126"/>
      <c r="O1262" s="126"/>
      <c r="P1262" s="126"/>
      <c r="Q1262" s="197"/>
      <c r="R1262" s="172"/>
      <c r="S1262" s="172"/>
      <c r="AE1262" s="143"/>
      <c r="AF1262" s="143"/>
      <c r="AG1262" s="143"/>
      <c r="AH1262" s="143"/>
      <c r="AI1262" s="143"/>
      <c r="AJ1262" s="143"/>
      <c r="AK1262" s="143"/>
      <c r="AL1262" s="143"/>
      <c r="AM1262" s="145"/>
      <c r="AN1262" s="143"/>
      <c r="AO1262" s="147"/>
    </row>
    <row r="1263" spans="3:41">
      <c r="C1263" s="136"/>
      <c r="D1263" s="136"/>
      <c r="F1263" s="196"/>
      <c r="G1263" s="138"/>
      <c r="H1263" s="138"/>
      <c r="I1263" s="126"/>
      <c r="J1263" s="196"/>
      <c r="K1263" s="15"/>
      <c r="L1263" s="20"/>
      <c r="M1263" s="20"/>
      <c r="N1263" s="126"/>
      <c r="O1263" s="126"/>
      <c r="P1263" s="126"/>
      <c r="Q1263" s="197"/>
      <c r="R1263" s="172"/>
      <c r="S1263" s="172"/>
      <c r="AE1263" s="143"/>
      <c r="AF1263" s="143"/>
      <c r="AG1263" s="143"/>
      <c r="AH1263" s="143"/>
      <c r="AI1263" s="143"/>
      <c r="AJ1263" s="143"/>
      <c r="AK1263" s="143"/>
      <c r="AL1263" s="143"/>
      <c r="AM1263" s="145"/>
      <c r="AN1263" s="143"/>
      <c r="AO1263" s="192"/>
    </row>
    <row r="1264" spans="3:41">
      <c r="C1264" s="136"/>
      <c r="D1264" s="136"/>
      <c r="F1264" s="196"/>
      <c r="G1264" s="138"/>
      <c r="H1264" s="138"/>
      <c r="I1264" s="126"/>
      <c r="J1264" s="196"/>
      <c r="K1264" s="15"/>
      <c r="L1264" s="20"/>
      <c r="M1264" s="20"/>
      <c r="N1264" s="126"/>
      <c r="O1264" s="126"/>
      <c r="P1264" s="126"/>
      <c r="Q1264" s="197"/>
      <c r="R1264" s="172"/>
      <c r="S1264" s="172"/>
      <c r="AE1264" s="143"/>
      <c r="AF1264" s="143"/>
      <c r="AG1264" s="143"/>
      <c r="AH1264" s="143"/>
      <c r="AI1264" s="143"/>
      <c r="AJ1264" s="143"/>
      <c r="AK1264" s="143"/>
      <c r="AL1264" s="143"/>
      <c r="AM1264" s="143"/>
      <c r="AN1264" s="143"/>
      <c r="AO1264" s="192"/>
    </row>
    <row r="1265" spans="3:41">
      <c r="C1265" s="136"/>
      <c r="D1265" s="136"/>
      <c r="F1265" s="196"/>
      <c r="G1265" s="138"/>
      <c r="H1265" s="138"/>
      <c r="I1265" s="126"/>
      <c r="J1265" s="196"/>
      <c r="K1265" s="15"/>
      <c r="L1265" s="20"/>
      <c r="M1265" s="20"/>
      <c r="N1265" s="126"/>
      <c r="O1265" s="126"/>
      <c r="P1265" s="126"/>
      <c r="Q1265" s="197"/>
      <c r="R1265" s="172"/>
      <c r="S1265" s="172"/>
      <c r="AE1265" s="143"/>
      <c r="AF1265" s="143"/>
      <c r="AG1265" s="143"/>
      <c r="AH1265" s="143"/>
      <c r="AI1265" s="143"/>
      <c r="AJ1265" s="143"/>
      <c r="AK1265" s="143"/>
      <c r="AL1265" s="143"/>
      <c r="AM1265" s="145"/>
      <c r="AN1265" s="143"/>
      <c r="AO1265" s="192"/>
    </row>
    <row r="1266" spans="3:41">
      <c r="C1266" s="136"/>
      <c r="D1266" s="136"/>
      <c r="F1266" s="196"/>
      <c r="G1266" s="138"/>
      <c r="H1266" s="138"/>
      <c r="I1266" s="126"/>
      <c r="J1266" s="196"/>
      <c r="K1266" s="15"/>
      <c r="L1266" s="20"/>
      <c r="M1266" s="20"/>
      <c r="N1266" s="126"/>
      <c r="O1266" s="126"/>
      <c r="P1266" s="126"/>
      <c r="Q1266" s="197"/>
      <c r="R1266" s="172"/>
      <c r="S1266" s="172"/>
      <c r="AE1266" s="143"/>
      <c r="AF1266" s="143"/>
      <c r="AG1266" s="143"/>
      <c r="AH1266" s="143"/>
      <c r="AI1266" s="143"/>
      <c r="AJ1266" s="143"/>
      <c r="AK1266" s="143"/>
      <c r="AL1266" s="143"/>
      <c r="AM1266" s="145"/>
      <c r="AN1266" s="143"/>
      <c r="AO1266" s="192"/>
    </row>
    <row r="1267" spans="3:41">
      <c r="C1267" s="136"/>
      <c r="D1267" s="136"/>
      <c r="F1267" s="196"/>
      <c r="G1267" s="138"/>
      <c r="H1267" s="138"/>
      <c r="I1267" s="126"/>
      <c r="J1267" s="196"/>
      <c r="K1267" s="15"/>
      <c r="L1267" s="20"/>
      <c r="M1267" s="20"/>
      <c r="N1267" s="126"/>
      <c r="O1267" s="126"/>
      <c r="P1267" s="126"/>
      <c r="Q1267" s="197"/>
      <c r="R1267" s="172"/>
      <c r="S1267" s="172"/>
      <c r="AE1267" s="143"/>
      <c r="AF1267" s="143"/>
      <c r="AG1267" s="143"/>
      <c r="AH1267" s="143"/>
      <c r="AI1267" s="143"/>
      <c r="AJ1267" s="143"/>
      <c r="AK1267" s="143"/>
      <c r="AL1267" s="143"/>
      <c r="AM1267" s="145"/>
      <c r="AN1267" s="143"/>
      <c r="AO1267" s="192"/>
    </row>
    <row r="1268" spans="3:41">
      <c r="C1268" s="136"/>
      <c r="D1268" s="136"/>
      <c r="F1268" s="196"/>
      <c r="G1268" s="138"/>
      <c r="H1268" s="138"/>
      <c r="I1268" s="126"/>
      <c r="J1268" s="196"/>
      <c r="K1268" s="15"/>
      <c r="L1268" s="20"/>
      <c r="M1268" s="20"/>
      <c r="N1268" s="126"/>
      <c r="O1268" s="126"/>
      <c r="P1268" s="126"/>
      <c r="Q1268" s="197"/>
      <c r="R1268" s="172"/>
      <c r="S1268" s="172"/>
      <c r="AE1268" s="143"/>
      <c r="AF1268" s="143"/>
      <c r="AG1268" s="143"/>
      <c r="AH1268" s="143"/>
      <c r="AI1268" s="143"/>
      <c r="AJ1268" s="143"/>
      <c r="AK1268" s="143"/>
      <c r="AL1268" s="143"/>
      <c r="AM1268" s="145"/>
      <c r="AN1268" s="143"/>
      <c r="AO1268" s="192"/>
    </row>
    <row r="1269" spans="3:41">
      <c r="C1269" s="136"/>
      <c r="D1269" s="136"/>
      <c r="F1269" s="196"/>
      <c r="G1269" s="138"/>
      <c r="H1269" s="138"/>
      <c r="I1269" s="126"/>
      <c r="J1269" s="196"/>
      <c r="K1269" s="15"/>
      <c r="L1269" s="20"/>
      <c r="M1269" s="20"/>
      <c r="N1269" s="126"/>
      <c r="O1269" s="126"/>
      <c r="P1269" s="126"/>
      <c r="Q1269" s="197"/>
      <c r="R1269" s="172"/>
      <c r="S1269" s="172"/>
      <c r="AE1269" s="143"/>
      <c r="AF1269" s="143"/>
      <c r="AG1269" s="143"/>
      <c r="AH1269" s="143"/>
      <c r="AI1269" s="143"/>
      <c r="AJ1269" s="143"/>
      <c r="AK1269" s="143"/>
      <c r="AL1269" s="143"/>
      <c r="AM1269" s="145"/>
      <c r="AN1269" s="143"/>
      <c r="AO1269" s="147"/>
    </row>
    <row r="1270" spans="3:41">
      <c r="C1270" s="136"/>
      <c r="D1270" s="136"/>
      <c r="F1270" s="196"/>
      <c r="G1270" s="138"/>
      <c r="H1270" s="138"/>
      <c r="I1270" s="126"/>
      <c r="J1270" s="196"/>
      <c r="K1270" s="15"/>
      <c r="L1270" s="20"/>
      <c r="M1270" s="20"/>
      <c r="N1270" s="126"/>
      <c r="O1270" s="126"/>
      <c r="P1270" s="126"/>
      <c r="Q1270" s="197"/>
      <c r="R1270" s="172"/>
      <c r="S1270" s="172"/>
      <c r="AE1270" s="143"/>
      <c r="AF1270" s="143"/>
      <c r="AG1270" s="143"/>
      <c r="AH1270" s="143"/>
      <c r="AI1270" s="143"/>
      <c r="AJ1270" s="143"/>
      <c r="AK1270" s="143"/>
      <c r="AL1270" s="143"/>
      <c r="AM1270" s="145"/>
      <c r="AN1270" s="143"/>
      <c r="AO1270" s="192"/>
    </row>
    <row r="1271" spans="3:41">
      <c r="C1271" s="136"/>
      <c r="D1271" s="136"/>
      <c r="F1271" s="196"/>
      <c r="G1271" s="138"/>
      <c r="H1271" s="138"/>
      <c r="I1271" s="126"/>
      <c r="J1271" s="196"/>
      <c r="K1271" s="15"/>
      <c r="L1271" s="20"/>
      <c r="M1271" s="20"/>
      <c r="N1271" s="126"/>
      <c r="O1271" s="126"/>
      <c r="P1271" s="126"/>
      <c r="Q1271" s="197"/>
      <c r="R1271" s="172"/>
      <c r="S1271" s="172"/>
      <c r="AE1271" s="143"/>
      <c r="AF1271" s="143"/>
      <c r="AG1271" s="143"/>
      <c r="AH1271" s="143"/>
      <c r="AI1271" s="143"/>
      <c r="AJ1271" s="143"/>
      <c r="AK1271" s="143"/>
      <c r="AL1271" s="143"/>
      <c r="AM1271" s="145"/>
      <c r="AN1271" s="143"/>
      <c r="AO1271" s="192"/>
    </row>
    <row r="1272" spans="3:41">
      <c r="C1272" s="136"/>
      <c r="D1272" s="136"/>
      <c r="F1272" s="196"/>
      <c r="G1272" s="138"/>
      <c r="H1272" s="138"/>
      <c r="I1272" s="126"/>
      <c r="J1272" s="196"/>
      <c r="K1272" s="15"/>
      <c r="L1272" s="20"/>
      <c r="M1272" s="20"/>
      <c r="N1272" s="126"/>
      <c r="O1272" s="126"/>
      <c r="P1272" s="126"/>
      <c r="Q1272" s="197"/>
      <c r="R1272" s="172"/>
      <c r="S1272" s="172"/>
      <c r="AE1272" s="143"/>
      <c r="AF1272" s="143"/>
      <c r="AG1272" s="143"/>
      <c r="AH1272" s="143"/>
      <c r="AI1272" s="143"/>
      <c r="AJ1272" s="143"/>
      <c r="AK1272" s="143"/>
      <c r="AL1272" s="143"/>
      <c r="AM1272" s="145"/>
      <c r="AN1272" s="143"/>
      <c r="AO1272" s="192"/>
    </row>
    <row r="1273" spans="3:41">
      <c r="C1273" s="136"/>
      <c r="D1273" s="136"/>
      <c r="F1273" s="196"/>
      <c r="G1273" s="138"/>
      <c r="H1273" s="138"/>
      <c r="I1273" s="126"/>
      <c r="J1273" s="196"/>
      <c r="K1273" s="15"/>
      <c r="L1273" s="20"/>
      <c r="M1273" s="20"/>
      <c r="N1273" s="126"/>
      <c r="O1273" s="126"/>
      <c r="P1273" s="126"/>
      <c r="Q1273" s="197"/>
      <c r="R1273" s="172"/>
      <c r="S1273" s="172"/>
      <c r="AE1273" s="143"/>
      <c r="AF1273" s="143"/>
      <c r="AG1273" s="143"/>
      <c r="AH1273" s="143"/>
      <c r="AI1273" s="143"/>
      <c r="AJ1273" s="143"/>
      <c r="AK1273" s="143"/>
      <c r="AL1273" s="143"/>
      <c r="AM1273" s="145"/>
      <c r="AN1273" s="143"/>
      <c r="AO1273" s="192"/>
    </row>
    <row r="1274" spans="3:41">
      <c r="C1274" s="136"/>
      <c r="D1274" s="136"/>
      <c r="F1274" s="19"/>
      <c r="G1274" s="138"/>
      <c r="H1274" s="138"/>
      <c r="I1274" s="126"/>
      <c r="J1274" s="20"/>
      <c r="K1274" s="20"/>
      <c r="L1274" s="20"/>
      <c r="M1274" s="20"/>
      <c r="N1274" s="126"/>
      <c r="O1274" s="126"/>
      <c r="P1274" s="126"/>
      <c r="Q1274" s="198"/>
      <c r="R1274" s="172"/>
      <c r="S1274" s="199"/>
      <c r="AE1274" s="143"/>
      <c r="AF1274" s="143"/>
      <c r="AG1274" s="143"/>
      <c r="AH1274" s="143"/>
      <c r="AI1274" s="143"/>
      <c r="AJ1274" s="143"/>
      <c r="AK1274" s="143"/>
      <c r="AL1274" s="143"/>
      <c r="AM1274" s="192"/>
      <c r="AN1274" s="192"/>
      <c r="AO1274" s="147"/>
    </row>
    <row r="1275" spans="3:41">
      <c r="C1275" s="136"/>
      <c r="D1275" s="136"/>
      <c r="F1275" s="19"/>
      <c r="G1275" s="138"/>
      <c r="H1275" s="138"/>
      <c r="I1275" s="126"/>
      <c r="J1275" s="20"/>
      <c r="K1275" s="20"/>
      <c r="L1275" s="20"/>
      <c r="M1275" s="20"/>
      <c r="N1275" s="126"/>
      <c r="O1275" s="126"/>
      <c r="P1275" s="126"/>
      <c r="Q1275" s="198"/>
      <c r="R1275" s="172"/>
      <c r="S1275" s="199"/>
      <c r="AE1275" s="143"/>
      <c r="AF1275" s="143"/>
      <c r="AG1275" s="143"/>
      <c r="AH1275" s="143"/>
      <c r="AI1275" s="143"/>
      <c r="AJ1275" s="143"/>
      <c r="AK1275" s="143"/>
      <c r="AL1275" s="143"/>
      <c r="AM1275" s="192"/>
      <c r="AN1275" s="145"/>
      <c r="AO1275" s="192"/>
    </row>
    <row r="1276" spans="3:41">
      <c r="C1276" s="136"/>
      <c r="D1276" s="136"/>
      <c r="F1276" s="19"/>
      <c r="G1276" s="138"/>
      <c r="H1276" s="138"/>
      <c r="I1276" s="126"/>
      <c r="J1276" s="20"/>
      <c r="K1276" s="20"/>
      <c r="L1276" s="20"/>
      <c r="M1276" s="20"/>
      <c r="N1276" s="126"/>
      <c r="O1276" s="126"/>
      <c r="P1276" s="126"/>
      <c r="Q1276" s="198"/>
      <c r="R1276" s="172"/>
      <c r="S1276" s="199"/>
      <c r="AE1276" s="143"/>
      <c r="AF1276" s="143"/>
      <c r="AG1276" s="143"/>
      <c r="AH1276" s="143"/>
      <c r="AI1276" s="143"/>
      <c r="AJ1276" s="143"/>
      <c r="AK1276" s="143"/>
      <c r="AL1276" s="143"/>
      <c r="AM1276" s="192"/>
      <c r="AN1276" s="192"/>
      <c r="AO1276" s="147"/>
    </row>
    <row r="1277" spans="3:41">
      <c r="C1277" s="136"/>
      <c r="D1277" s="136"/>
      <c r="F1277" s="19"/>
      <c r="G1277" s="138"/>
      <c r="H1277" s="138"/>
      <c r="I1277" s="126"/>
      <c r="J1277" s="20"/>
      <c r="K1277" s="20"/>
      <c r="L1277" s="20"/>
      <c r="M1277" s="20"/>
      <c r="N1277" s="126"/>
      <c r="O1277" s="126"/>
      <c r="P1277" s="126"/>
      <c r="Q1277" s="198"/>
      <c r="R1277" s="172"/>
      <c r="S1277" s="199"/>
      <c r="AE1277" s="143"/>
      <c r="AF1277" s="143"/>
      <c r="AG1277" s="143"/>
      <c r="AH1277" s="143"/>
      <c r="AI1277" s="143"/>
      <c r="AJ1277" s="143"/>
      <c r="AK1277" s="143"/>
      <c r="AL1277" s="200"/>
      <c r="AM1277" s="192"/>
      <c r="AN1277" s="192"/>
      <c r="AO1277" s="192"/>
    </row>
    <row r="1278" spans="3:41">
      <c r="C1278" s="136"/>
      <c r="D1278" s="136"/>
      <c r="F1278" s="19"/>
      <c r="G1278" s="138"/>
      <c r="H1278" s="138"/>
      <c r="I1278" s="126"/>
      <c r="J1278" s="20"/>
      <c r="K1278" s="20"/>
      <c r="L1278" s="20"/>
      <c r="M1278" s="20"/>
      <c r="N1278" s="126"/>
      <c r="O1278" s="126"/>
      <c r="P1278" s="126"/>
      <c r="Q1278" s="198"/>
      <c r="R1278" s="172"/>
      <c r="S1278" s="172"/>
      <c r="AE1278" s="143"/>
      <c r="AF1278" s="143"/>
      <c r="AG1278" s="143"/>
      <c r="AH1278" s="143"/>
      <c r="AI1278" s="143"/>
      <c r="AJ1278" s="143"/>
      <c r="AK1278" s="143"/>
      <c r="AL1278" s="143"/>
      <c r="AM1278" s="192"/>
      <c r="AN1278" s="192"/>
      <c r="AO1278" s="147"/>
    </row>
    <row r="1279" spans="3:41">
      <c r="C1279" s="136"/>
      <c r="D1279" s="136"/>
      <c r="F1279" s="19"/>
      <c r="G1279" s="138"/>
      <c r="H1279" s="138"/>
      <c r="I1279" s="126"/>
      <c r="J1279" s="20"/>
      <c r="K1279" s="20"/>
      <c r="L1279" s="20"/>
      <c r="M1279" s="20"/>
      <c r="N1279" s="126"/>
      <c r="O1279" s="126"/>
      <c r="P1279" s="126"/>
      <c r="Q1279" s="198"/>
      <c r="R1279" s="172"/>
      <c r="S1279" s="172"/>
      <c r="AE1279" s="143"/>
      <c r="AF1279" s="143"/>
      <c r="AG1279" s="143"/>
      <c r="AH1279" s="143"/>
      <c r="AI1279" s="143"/>
      <c r="AJ1279" s="143"/>
      <c r="AK1279" s="143"/>
      <c r="AL1279" s="143"/>
      <c r="AM1279" s="192"/>
      <c r="AN1279" s="145"/>
      <c r="AO1279" s="192"/>
    </row>
    <row r="1280" spans="3:41">
      <c r="C1280" s="136"/>
      <c r="D1280" s="136"/>
      <c r="F1280" s="19"/>
      <c r="G1280" s="138"/>
      <c r="H1280" s="138"/>
      <c r="I1280" s="126"/>
      <c r="J1280" s="20"/>
      <c r="K1280" s="20"/>
      <c r="L1280" s="20"/>
      <c r="M1280" s="20"/>
      <c r="N1280" s="126"/>
      <c r="O1280" s="126"/>
      <c r="P1280" s="126"/>
      <c r="Q1280" s="198"/>
      <c r="R1280" s="172"/>
      <c r="S1280" s="199"/>
      <c r="AE1280" s="143"/>
      <c r="AF1280" s="143"/>
      <c r="AG1280" s="143"/>
      <c r="AH1280" s="143"/>
      <c r="AI1280" s="143"/>
      <c r="AJ1280" s="143"/>
      <c r="AK1280" s="143"/>
      <c r="AL1280" s="143"/>
      <c r="AM1280" s="192"/>
      <c r="AN1280" s="201"/>
      <c r="AO1280" s="147"/>
    </row>
    <row r="1281" spans="3:41">
      <c r="C1281" s="136"/>
      <c r="D1281" s="136"/>
      <c r="F1281" s="19"/>
      <c r="G1281" s="138"/>
      <c r="H1281" s="138"/>
      <c r="I1281" s="126"/>
      <c r="J1281" s="20"/>
      <c r="K1281" s="20"/>
      <c r="L1281" s="20"/>
      <c r="M1281" s="20"/>
      <c r="N1281" s="126"/>
      <c r="O1281" s="126"/>
      <c r="P1281" s="126"/>
      <c r="Q1281" s="198"/>
      <c r="R1281" s="172"/>
      <c r="S1281" s="199"/>
      <c r="AE1281" s="143"/>
      <c r="AF1281" s="143"/>
      <c r="AG1281" s="143"/>
      <c r="AH1281" s="143"/>
      <c r="AI1281" s="143"/>
      <c r="AJ1281" s="143"/>
      <c r="AK1281" s="143"/>
      <c r="AL1281" s="143"/>
      <c r="AM1281" s="192"/>
      <c r="AN1281" s="145"/>
      <c r="AO1281" s="143"/>
    </row>
    <row r="1282" spans="3:41">
      <c r="C1282" s="136"/>
      <c r="D1282" s="136"/>
      <c r="F1282" s="19"/>
      <c r="G1282" s="138"/>
      <c r="H1282" s="138"/>
      <c r="I1282" s="126"/>
      <c r="J1282" s="20"/>
      <c r="K1282" s="20"/>
      <c r="L1282" s="20"/>
      <c r="M1282" s="20"/>
      <c r="N1282" s="126"/>
      <c r="O1282" s="126"/>
      <c r="P1282" s="126"/>
      <c r="Q1282" s="198"/>
      <c r="R1282" s="172"/>
      <c r="S1282" s="199"/>
      <c r="AE1282" s="143"/>
      <c r="AF1282" s="143"/>
      <c r="AG1282" s="143"/>
      <c r="AH1282" s="143"/>
      <c r="AI1282" s="143"/>
      <c r="AJ1282" s="143"/>
      <c r="AK1282" s="143"/>
      <c r="AL1282" s="200"/>
      <c r="AM1282" s="143"/>
      <c r="AN1282" s="143"/>
      <c r="AO1282" s="143"/>
    </row>
    <row r="1283" spans="3:41">
      <c r="C1283" s="136"/>
      <c r="D1283" s="136"/>
      <c r="F1283" s="19"/>
      <c r="G1283" s="138"/>
      <c r="H1283" s="138"/>
      <c r="I1283" s="126"/>
      <c r="J1283" s="20"/>
      <c r="K1283" s="20"/>
      <c r="L1283" s="20"/>
      <c r="M1283" s="20"/>
      <c r="N1283" s="126"/>
      <c r="O1283" s="126"/>
      <c r="P1283" s="126"/>
      <c r="Q1283" s="198"/>
      <c r="R1283" s="172"/>
      <c r="S1283" s="199"/>
      <c r="AE1283" s="143"/>
      <c r="AF1283" s="143"/>
      <c r="AG1283" s="143"/>
      <c r="AH1283" s="143"/>
      <c r="AI1283" s="143"/>
      <c r="AJ1283" s="143"/>
      <c r="AK1283" s="143"/>
      <c r="AL1283" s="143"/>
      <c r="AM1283" s="143"/>
      <c r="AN1283" s="145"/>
      <c r="AO1283" s="143"/>
    </row>
    <row r="1284" spans="3:41">
      <c r="C1284" s="136"/>
      <c r="D1284" s="136"/>
      <c r="F1284" s="19"/>
      <c r="G1284" s="138"/>
      <c r="H1284" s="138"/>
      <c r="I1284" s="126"/>
      <c r="J1284" s="20"/>
      <c r="K1284" s="20"/>
      <c r="L1284" s="20"/>
      <c r="M1284" s="20"/>
      <c r="N1284" s="126"/>
      <c r="O1284" s="126"/>
      <c r="P1284" s="126"/>
      <c r="Q1284" s="198"/>
      <c r="R1284" s="172"/>
      <c r="S1284" s="199"/>
      <c r="AE1284" s="143"/>
      <c r="AF1284" s="143"/>
      <c r="AG1284" s="143"/>
      <c r="AH1284" s="143"/>
      <c r="AI1284" s="143"/>
      <c r="AJ1284" s="143"/>
      <c r="AK1284" s="143"/>
      <c r="AL1284" s="143"/>
      <c r="AM1284" s="143"/>
      <c r="AN1284" s="145"/>
      <c r="AO1284" s="143"/>
    </row>
    <row r="1285" spans="3:41">
      <c r="C1285" s="136"/>
      <c r="D1285" s="136"/>
      <c r="F1285" s="19"/>
      <c r="G1285" s="138"/>
      <c r="H1285" s="138"/>
      <c r="I1285" s="126"/>
      <c r="J1285" s="20"/>
      <c r="K1285" s="20"/>
      <c r="L1285" s="20"/>
      <c r="M1285" s="20"/>
      <c r="N1285" s="126"/>
      <c r="O1285" s="126"/>
      <c r="P1285" s="126"/>
      <c r="Q1285" s="198"/>
      <c r="R1285" s="172"/>
      <c r="S1285" s="199"/>
      <c r="AE1285" s="143"/>
      <c r="AF1285" s="143"/>
      <c r="AG1285" s="143"/>
      <c r="AH1285" s="143"/>
      <c r="AI1285" s="143"/>
      <c r="AJ1285" s="143"/>
      <c r="AK1285" s="143"/>
      <c r="AL1285" s="143"/>
      <c r="AM1285" s="143"/>
      <c r="AN1285" s="143"/>
      <c r="AO1285" s="147"/>
    </row>
    <row r="1286" spans="3:41">
      <c r="C1286" s="136"/>
      <c r="D1286" s="136"/>
      <c r="F1286" s="19"/>
      <c r="G1286" s="138"/>
      <c r="H1286" s="138"/>
      <c r="I1286" s="126"/>
      <c r="J1286" s="20"/>
      <c r="K1286" s="20"/>
      <c r="L1286" s="20"/>
      <c r="M1286" s="20"/>
      <c r="N1286" s="126"/>
      <c r="O1286" s="126"/>
      <c r="P1286" s="126"/>
      <c r="Q1286" s="198"/>
      <c r="R1286" s="172"/>
      <c r="S1286" s="199"/>
      <c r="AE1286" s="143"/>
      <c r="AF1286" s="143"/>
      <c r="AG1286" s="143"/>
      <c r="AH1286" s="143"/>
      <c r="AI1286" s="143"/>
      <c r="AJ1286" s="143"/>
      <c r="AK1286" s="143"/>
      <c r="AL1286" s="143"/>
      <c r="AM1286" s="143"/>
      <c r="AN1286" s="143"/>
      <c r="AO1286" s="147"/>
    </row>
    <row r="1287" spans="3:41">
      <c r="C1287" s="136"/>
      <c r="D1287" s="136"/>
      <c r="F1287" s="19"/>
      <c r="G1287" s="138"/>
      <c r="H1287" s="138"/>
      <c r="I1287" s="126"/>
      <c r="J1287" s="20"/>
      <c r="K1287" s="20"/>
      <c r="L1287" s="20"/>
      <c r="M1287" s="20"/>
      <c r="N1287" s="126"/>
      <c r="O1287" s="126"/>
      <c r="P1287" s="126"/>
      <c r="Q1287" s="198"/>
      <c r="R1287" s="172"/>
      <c r="S1287" s="199"/>
      <c r="AE1287" s="143"/>
      <c r="AF1287" s="143"/>
      <c r="AG1287" s="143"/>
      <c r="AH1287" s="143"/>
      <c r="AI1287" s="143"/>
      <c r="AJ1287" s="143"/>
      <c r="AK1287" s="143"/>
      <c r="AL1287" s="143"/>
      <c r="AM1287" s="143"/>
      <c r="AN1287" s="143"/>
      <c r="AO1287" s="147"/>
    </row>
    <row r="1288" spans="3:41">
      <c r="C1288" s="136"/>
      <c r="D1288" s="136"/>
      <c r="F1288" s="19"/>
      <c r="G1288" s="138"/>
      <c r="H1288" s="138"/>
      <c r="I1288" s="126"/>
      <c r="J1288" s="20"/>
      <c r="K1288" s="20"/>
      <c r="L1288" s="20"/>
      <c r="M1288" s="20"/>
      <c r="N1288" s="126"/>
      <c r="O1288" s="126"/>
      <c r="P1288" s="126"/>
      <c r="Q1288" s="198"/>
      <c r="R1288" s="172"/>
      <c r="S1288" s="199"/>
      <c r="AE1288" s="143"/>
      <c r="AF1288" s="143"/>
      <c r="AG1288" s="143"/>
      <c r="AH1288" s="143"/>
      <c r="AI1288" s="143"/>
      <c r="AJ1288" s="143"/>
      <c r="AK1288" s="143"/>
      <c r="AL1288" s="143"/>
      <c r="AM1288" s="143"/>
      <c r="AN1288" s="145"/>
      <c r="AO1288" s="143"/>
    </row>
    <row r="1289" spans="3:41">
      <c r="C1289" s="136"/>
      <c r="D1289" s="136"/>
      <c r="F1289" s="19"/>
      <c r="G1289" s="138"/>
      <c r="H1289" s="138"/>
      <c r="I1289" s="126"/>
      <c r="J1289" s="20"/>
      <c r="K1289" s="20"/>
      <c r="L1289" s="20"/>
      <c r="M1289" s="20"/>
      <c r="N1289" s="126"/>
      <c r="O1289" s="126"/>
      <c r="P1289" s="126"/>
      <c r="Q1289" s="198"/>
      <c r="R1289" s="172"/>
      <c r="S1289" s="199"/>
      <c r="AE1289" s="143"/>
      <c r="AF1289" s="143"/>
      <c r="AG1289" s="143"/>
      <c r="AH1289" s="143"/>
      <c r="AI1289" s="143"/>
      <c r="AJ1289" s="143"/>
      <c r="AK1289" s="143"/>
      <c r="AL1289" s="143"/>
      <c r="AM1289" s="143"/>
      <c r="AN1289" s="145"/>
      <c r="AO1289" s="143"/>
    </row>
    <row r="1290" spans="3:41">
      <c r="C1290" s="136"/>
      <c r="D1290" s="136"/>
      <c r="F1290" s="19"/>
      <c r="G1290" s="138"/>
      <c r="H1290" s="138"/>
      <c r="I1290" s="126"/>
      <c r="J1290" s="20"/>
      <c r="K1290" s="20"/>
      <c r="L1290" s="20"/>
      <c r="M1290" s="20"/>
      <c r="N1290" s="126"/>
      <c r="O1290" s="126"/>
      <c r="P1290" s="126"/>
      <c r="Q1290" s="198"/>
      <c r="R1290" s="172"/>
      <c r="S1290" s="199"/>
      <c r="AE1290" s="143"/>
      <c r="AF1290" s="143"/>
      <c r="AG1290" s="143"/>
      <c r="AH1290" s="143"/>
      <c r="AI1290" s="143"/>
      <c r="AJ1290" s="143"/>
      <c r="AK1290" s="143"/>
      <c r="AL1290" s="200"/>
      <c r="AM1290" s="143"/>
      <c r="AN1290" s="143"/>
      <c r="AO1290" s="143"/>
    </row>
    <row r="1291" spans="3:41">
      <c r="C1291" s="136"/>
      <c r="D1291" s="136"/>
      <c r="F1291" s="19"/>
      <c r="G1291" s="138"/>
      <c r="H1291" s="138"/>
      <c r="I1291" s="126"/>
      <c r="J1291" s="20"/>
      <c r="K1291" s="20"/>
      <c r="L1291" s="20"/>
      <c r="M1291" s="20"/>
      <c r="N1291" s="126"/>
      <c r="O1291" s="126"/>
      <c r="P1291" s="126"/>
      <c r="Q1291" s="198"/>
      <c r="R1291" s="172"/>
      <c r="S1291" s="199"/>
      <c r="AE1291" s="143"/>
      <c r="AF1291" s="143"/>
      <c r="AG1291" s="143"/>
      <c r="AH1291" s="143"/>
      <c r="AI1291" s="143"/>
      <c r="AJ1291" s="143"/>
      <c r="AK1291" s="143"/>
      <c r="AL1291" s="143"/>
      <c r="AM1291" s="143"/>
      <c r="AN1291" s="145"/>
      <c r="AO1291" s="143"/>
    </row>
    <row r="1292" spans="3:41">
      <c r="C1292" s="136"/>
      <c r="D1292" s="136"/>
      <c r="F1292" s="19"/>
      <c r="G1292" s="138"/>
      <c r="H1292" s="138"/>
      <c r="I1292" s="126"/>
      <c r="J1292" s="20"/>
      <c r="K1292" s="20"/>
      <c r="L1292" s="20"/>
      <c r="M1292" s="20"/>
      <c r="N1292" s="126"/>
      <c r="O1292" s="126"/>
      <c r="P1292" s="126"/>
      <c r="Q1292" s="198"/>
      <c r="R1292" s="172"/>
      <c r="S1292" s="199"/>
      <c r="AE1292" s="143"/>
      <c r="AF1292" s="143"/>
      <c r="AG1292" s="143"/>
      <c r="AH1292" s="143"/>
      <c r="AI1292" s="143"/>
      <c r="AJ1292" s="143"/>
      <c r="AK1292" s="143"/>
      <c r="AL1292" s="143"/>
      <c r="AM1292" s="143"/>
      <c r="AN1292" s="143"/>
      <c r="AO1292" s="143"/>
    </row>
    <row r="1293" spans="3:41">
      <c r="C1293" s="136"/>
      <c r="D1293" s="136"/>
      <c r="F1293" s="19"/>
      <c r="G1293" s="138"/>
      <c r="H1293" s="138"/>
      <c r="I1293" s="126"/>
      <c r="J1293" s="20"/>
      <c r="K1293" s="20"/>
      <c r="L1293" s="20"/>
      <c r="M1293" s="20"/>
      <c r="N1293" s="126"/>
      <c r="O1293" s="126"/>
      <c r="P1293" s="126"/>
      <c r="Q1293" s="198"/>
      <c r="R1293" s="172"/>
      <c r="S1293" s="199"/>
      <c r="AE1293" s="143"/>
      <c r="AF1293" s="143"/>
      <c r="AG1293" s="143"/>
      <c r="AH1293" s="143"/>
      <c r="AI1293" s="143"/>
      <c r="AJ1293" s="143"/>
      <c r="AK1293" s="143"/>
      <c r="AL1293" s="143"/>
      <c r="AM1293" s="143"/>
      <c r="AN1293" s="143"/>
      <c r="AO1293" s="143"/>
    </row>
    <row r="1294" spans="3:41">
      <c r="C1294" s="136"/>
      <c r="D1294" s="136"/>
      <c r="F1294" s="19"/>
      <c r="G1294" s="138"/>
      <c r="H1294" s="138"/>
      <c r="I1294" s="126"/>
      <c r="J1294" s="20"/>
      <c r="K1294" s="20"/>
      <c r="L1294" s="20"/>
      <c r="M1294" s="20"/>
      <c r="N1294" s="126"/>
      <c r="O1294" s="126"/>
      <c r="P1294" s="126"/>
      <c r="Q1294" s="198"/>
      <c r="R1294" s="172"/>
      <c r="S1294" s="199"/>
      <c r="AE1294" s="143"/>
      <c r="AF1294" s="143"/>
      <c r="AG1294" s="143"/>
      <c r="AH1294" s="143"/>
      <c r="AI1294" s="143"/>
      <c r="AJ1294" s="143"/>
      <c r="AK1294" s="143"/>
      <c r="AL1294" s="143"/>
      <c r="AM1294" s="143"/>
      <c r="AN1294" s="143"/>
      <c r="AO1294" s="143"/>
    </row>
    <row r="1295" spans="3:41">
      <c r="C1295" s="136"/>
      <c r="D1295" s="136"/>
      <c r="F1295" s="19"/>
      <c r="G1295" s="138"/>
      <c r="H1295" s="138"/>
      <c r="I1295" s="126"/>
      <c r="J1295" s="20"/>
      <c r="K1295" s="20"/>
      <c r="L1295" s="20"/>
      <c r="M1295" s="20"/>
      <c r="N1295" s="126"/>
      <c r="O1295" s="126"/>
      <c r="P1295" s="126"/>
      <c r="Q1295" s="198"/>
      <c r="R1295" s="172"/>
      <c r="S1295" s="199"/>
      <c r="AE1295" s="143"/>
      <c r="AF1295" s="143"/>
      <c r="AG1295" s="143"/>
      <c r="AH1295" s="143"/>
      <c r="AI1295" s="143"/>
      <c r="AJ1295" s="143"/>
      <c r="AK1295" s="143"/>
      <c r="AL1295" s="143"/>
      <c r="AM1295" s="143"/>
      <c r="AN1295" s="143"/>
      <c r="AO1295" s="143"/>
    </row>
    <row r="1296" spans="3:41">
      <c r="C1296" s="136"/>
      <c r="D1296" s="136"/>
      <c r="F1296" s="19"/>
      <c r="G1296" s="138"/>
      <c r="H1296" s="138"/>
      <c r="I1296" s="126"/>
      <c r="J1296" s="20"/>
      <c r="K1296" s="20"/>
      <c r="L1296" s="20"/>
      <c r="M1296" s="20"/>
      <c r="N1296" s="126"/>
      <c r="O1296" s="126"/>
      <c r="P1296" s="126"/>
      <c r="Q1296" s="198"/>
      <c r="R1296" s="172"/>
      <c r="S1296" s="199"/>
      <c r="AE1296" s="143"/>
      <c r="AF1296" s="143"/>
      <c r="AG1296" s="143"/>
      <c r="AH1296" s="143"/>
      <c r="AI1296" s="143"/>
      <c r="AJ1296" s="143"/>
      <c r="AK1296" s="143"/>
      <c r="AL1296" s="143"/>
      <c r="AM1296" s="143"/>
      <c r="AN1296" s="143"/>
      <c r="AO1296" s="143"/>
    </row>
    <row r="1297" spans="3:41">
      <c r="C1297" s="136"/>
      <c r="D1297" s="136"/>
      <c r="F1297" s="19"/>
      <c r="G1297" s="138"/>
      <c r="H1297" s="138"/>
      <c r="I1297" s="126"/>
      <c r="J1297" s="20"/>
      <c r="K1297" s="20"/>
      <c r="L1297" s="20"/>
      <c r="M1297" s="20"/>
      <c r="N1297" s="126"/>
      <c r="O1297" s="126"/>
      <c r="P1297" s="126"/>
      <c r="Q1297" s="198"/>
      <c r="R1297" s="172"/>
      <c r="S1297" s="199"/>
      <c r="AE1297" s="143"/>
      <c r="AF1297" s="143"/>
      <c r="AG1297" s="143"/>
      <c r="AH1297" s="143"/>
      <c r="AI1297" s="143"/>
      <c r="AJ1297" s="143"/>
      <c r="AK1297" s="143"/>
      <c r="AL1297" s="143"/>
      <c r="AM1297" s="143"/>
      <c r="AN1297" s="143"/>
      <c r="AO1297" s="143"/>
    </row>
    <row r="1298" spans="3:41">
      <c r="C1298" s="136"/>
      <c r="D1298" s="136"/>
      <c r="F1298" s="19"/>
      <c r="G1298" s="138"/>
      <c r="H1298" s="138"/>
      <c r="I1298" s="126"/>
      <c r="J1298" s="20"/>
      <c r="K1298" s="20"/>
      <c r="L1298" s="20"/>
      <c r="M1298" s="20"/>
      <c r="N1298" s="126"/>
      <c r="O1298" s="126"/>
      <c r="P1298" s="126"/>
      <c r="Q1298" s="198"/>
      <c r="R1298" s="172"/>
      <c r="S1298" s="199"/>
      <c r="AE1298" s="143"/>
      <c r="AF1298" s="143"/>
      <c r="AG1298" s="143"/>
      <c r="AH1298" s="143"/>
      <c r="AI1298" s="143"/>
      <c r="AJ1298" s="143"/>
      <c r="AK1298" s="143"/>
      <c r="AL1298" s="143"/>
      <c r="AM1298" s="143"/>
      <c r="AN1298" s="143"/>
      <c r="AO1298" s="143"/>
    </row>
    <row r="1299" spans="3:41">
      <c r="C1299" s="136"/>
      <c r="D1299" s="136"/>
      <c r="F1299" s="19"/>
      <c r="G1299" s="138"/>
      <c r="H1299" s="138"/>
      <c r="I1299" s="126"/>
      <c r="J1299" s="20"/>
      <c r="K1299" s="20"/>
      <c r="L1299" s="20"/>
      <c r="M1299" s="20"/>
      <c r="N1299" s="126"/>
      <c r="O1299" s="126"/>
      <c r="P1299" s="126"/>
      <c r="Q1299" s="198"/>
      <c r="R1299" s="172"/>
      <c r="S1299" s="199"/>
      <c r="AE1299" s="143"/>
      <c r="AF1299" s="143"/>
      <c r="AG1299" s="143"/>
      <c r="AH1299" s="143"/>
      <c r="AI1299" s="143"/>
      <c r="AJ1299" s="143"/>
      <c r="AK1299" s="143"/>
      <c r="AL1299" s="143"/>
      <c r="AM1299" s="143"/>
      <c r="AN1299" s="143"/>
      <c r="AO1299" s="143"/>
    </row>
    <row r="1300" spans="3:41">
      <c r="C1300" s="136"/>
      <c r="D1300" s="136"/>
      <c r="F1300" s="19"/>
      <c r="G1300" s="138"/>
      <c r="H1300" s="138"/>
      <c r="I1300" s="126"/>
      <c r="J1300" s="20"/>
      <c r="K1300" s="20"/>
      <c r="L1300" s="20"/>
      <c r="M1300" s="20"/>
      <c r="N1300" s="126"/>
      <c r="O1300" s="126"/>
      <c r="P1300" s="126"/>
      <c r="Q1300" s="198"/>
      <c r="R1300" s="172"/>
      <c r="S1300" s="199"/>
      <c r="AE1300" s="143"/>
      <c r="AF1300" s="143"/>
      <c r="AG1300" s="143"/>
      <c r="AH1300" s="143"/>
      <c r="AI1300" s="143"/>
      <c r="AJ1300" s="143"/>
      <c r="AK1300" s="143"/>
      <c r="AL1300" s="143"/>
      <c r="AM1300" s="143"/>
      <c r="AN1300" s="143"/>
      <c r="AO1300" s="143"/>
    </row>
    <row r="1301" spans="3:41">
      <c r="C1301" s="136"/>
      <c r="D1301" s="136"/>
      <c r="F1301" s="19"/>
      <c r="G1301" s="138"/>
      <c r="H1301" s="138"/>
      <c r="I1301" s="126"/>
      <c r="J1301" s="20"/>
      <c r="K1301" s="20"/>
      <c r="L1301" s="20"/>
      <c r="M1301" s="20"/>
      <c r="N1301" s="126"/>
      <c r="O1301" s="126"/>
      <c r="P1301" s="126"/>
      <c r="Q1301" s="198"/>
      <c r="R1301" s="172"/>
      <c r="S1301" s="199"/>
      <c r="AE1301" s="143"/>
      <c r="AF1301" s="143"/>
      <c r="AG1301" s="143"/>
      <c r="AH1301" s="143"/>
      <c r="AI1301" s="143"/>
      <c r="AJ1301" s="143"/>
      <c r="AK1301" s="143"/>
      <c r="AL1301" s="143"/>
      <c r="AM1301" s="143"/>
      <c r="AN1301" s="143"/>
      <c r="AO1301" s="143"/>
    </row>
    <row r="1302" spans="3:41">
      <c r="C1302" s="136"/>
      <c r="D1302" s="136"/>
      <c r="F1302" s="19"/>
      <c r="G1302" s="138"/>
      <c r="H1302" s="138"/>
      <c r="I1302" s="126"/>
      <c r="J1302" s="20"/>
      <c r="K1302" s="20"/>
      <c r="L1302" s="20"/>
      <c r="M1302" s="20"/>
      <c r="N1302" s="126"/>
      <c r="O1302" s="126"/>
      <c r="P1302" s="126"/>
      <c r="Q1302" s="198"/>
      <c r="R1302" s="172"/>
      <c r="S1302" s="199"/>
      <c r="AE1302" s="143"/>
      <c r="AF1302" s="143"/>
      <c r="AG1302" s="143"/>
      <c r="AH1302" s="143"/>
      <c r="AI1302" s="143"/>
      <c r="AJ1302" s="143"/>
      <c r="AK1302" s="143"/>
      <c r="AL1302" s="143"/>
      <c r="AM1302" s="143"/>
      <c r="AN1302" s="143"/>
      <c r="AO1302" s="143"/>
    </row>
    <row r="1303" spans="3:41">
      <c r="C1303" s="136"/>
      <c r="D1303" s="136"/>
      <c r="F1303" s="19"/>
      <c r="G1303" s="138"/>
      <c r="H1303" s="138"/>
      <c r="I1303" s="126"/>
      <c r="J1303" s="20"/>
      <c r="K1303" s="20"/>
      <c r="L1303" s="20"/>
      <c r="M1303" s="20"/>
      <c r="N1303" s="126"/>
      <c r="O1303" s="126"/>
      <c r="P1303" s="126"/>
      <c r="Q1303" s="198"/>
      <c r="R1303" s="172"/>
      <c r="S1303" s="199"/>
      <c r="AE1303" s="143"/>
      <c r="AF1303" s="143"/>
      <c r="AG1303" s="143"/>
      <c r="AH1303" s="143"/>
      <c r="AI1303" s="143"/>
      <c r="AJ1303" s="143"/>
      <c r="AK1303" s="143"/>
      <c r="AL1303" s="143"/>
      <c r="AM1303" s="143"/>
      <c r="AN1303" s="143"/>
      <c r="AO1303" s="143"/>
    </row>
    <row r="1304" spans="3:41">
      <c r="C1304" s="136"/>
      <c r="D1304" s="136"/>
      <c r="F1304" s="19"/>
      <c r="G1304" s="138"/>
      <c r="H1304" s="138"/>
      <c r="I1304" s="126"/>
      <c r="J1304" s="20"/>
      <c r="K1304" s="20"/>
      <c r="L1304" s="20"/>
      <c r="M1304" s="20"/>
      <c r="N1304" s="126"/>
      <c r="O1304" s="126"/>
      <c r="P1304" s="126"/>
      <c r="Q1304" s="198"/>
      <c r="R1304" s="172"/>
      <c r="S1304" s="199"/>
      <c r="AE1304" s="143"/>
      <c r="AF1304" s="143"/>
      <c r="AG1304" s="143"/>
      <c r="AH1304" s="143"/>
      <c r="AI1304" s="143"/>
      <c r="AJ1304" s="143"/>
      <c r="AK1304" s="143"/>
      <c r="AL1304" s="143"/>
      <c r="AM1304" s="143"/>
      <c r="AN1304" s="143"/>
      <c r="AO1304" s="143"/>
    </row>
    <row r="1305" spans="3:41">
      <c r="C1305" s="136"/>
      <c r="D1305" s="136"/>
      <c r="F1305" s="19"/>
      <c r="G1305" s="138"/>
      <c r="H1305" s="138"/>
      <c r="I1305" s="126"/>
      <c r="J1305" s="20"/>
      <c r="K1305" s="20"/>
      <c r="L1305" s="20"/>
      <c r="M1305" s="20"/>
      <c r="N1305" s="126"/>
      <c r="O1305" s="126"/>
      <c r="P1305" s="126"/>
      <c r="Q1305" s="198"/>
      <c r="R1305" s="172"/>
      <c r="S1305" s="199"/>
      <c r="AE1305" s="143"/>
      <c r="AF1305" s="143"/>
      <c r="AG1305" s="143"/>
      <c r="AH1305" s="143"/>
      <c r="AI1305" s="143"/>
      <c r="AJ1305" s="143"/>
      <c r="AK1305" s="143"/>
      <c r="AL1305" s="143"/>
      <c r="AM1305" s="143"/>
      <c r="AN1305" s="143"/>
      <c r="AO1305" s="143"/>
    </row>
    <row r="1306" spans="3:41">
      <c r="C1306" s="136"/>
      <c r="D1306" s="136"/>
      <c r="F1306" s="19"/>
      <c r="G1306" s="138"/>
      <c r="H1306" s="138"/>
      <c r="I1306" s="126"/>
      <c r="J1306" s="20"/>
      <c r="K1306" s="20"/>
      <c r="L1306" s="20"/>
      <c r="M1306" s="20"/>
      <c r="N1306" s="126"/>
      <c r="O1306" s="126"/>
      <c r="P1306" s="126"/>
      <c r="Q1306" s="198"/>
      <c r="R1306" s="172"/>
      <c r="S1306" s="199"/>
      <c r="AE1306" s="143"/>
      <c r="AF1306" s="143"/>
      <c r="AG1306" s="143"/>
      <c r="AH1306" s="143"/>
      <c r="AI1306" s="143"/>
      <c r="AJ1306" s="143"/>
      <c r="AK1306" s="143"/>
      <c r="AL1306" s="143"/>
      <c r="AM1306" s="143"/>
      <c r="AN1306" s="143"/>
      <c r="AO1306" s="143"/>
    </row>
    <row r="1307" spans="3:41">
      <c r="C1307" s="136"/>
      <c r="D1307" s="136"/>
      <c r="F1307" s="19"/>
      <c r="G1307" s="138"/>
      <c r="H1307" s="138"/>
      <c r="I1307" s="126"/>
      <c r="J1307" s="20"/>
      <c r="K1307" s="20"/>
      <c r="L1307" s="20"/>
      <c r="M1307" s="20"/>
      <c r="N1307" s="126"/>
      <c r="O1307" s="126"/>
      <c r="P1307" s="126"/>
      <c r="Q1307" s="198"/>
      <c r="R1307" s="172"/>
      <c r="S1307" s="199"/>
      <c r="AE1307" s="143"/>
      <c r="AF1307" s="143"/>
      <c r="AG1307" s="143"/>
      <c r="AH1307" s="143"/>
      <c r="AI1307" s="143"/>
      <c r="AJ1307" s="143"/>
      <c r="AK1307" s="143"/>
      <c r="AL1307" s="143"/>
      <c r="AM1307" s="143"/>
      <c r="AN1307" s="143"/>
      <c r="AO1307" s="143"/>
    </row>
    <row r="1308" spans="3:41">
      <c r="C1308" s="136"/>
      <c r="D1308" s="136"/>
      <c r="F1308" s="19"/>
      <c r="G1308" s="138"/>
      <c r="H1308" s="138"/>
      <c r="I1308" s="126"/>
      <c r="J1308" s="20"/>
      <c r="K1308" s="20"/>
      <c r="L1308" s="20"/>
      <c r="M1308" s="20"/>
      <c r="N1308" s="126"/>
      <c r="O1308" s="126"/>
      <c r="P1308" s="126"/>
      <c r="Q1308" s="198"/>
      <c r="R1308" s="172"/>
      <c r="S1308" s="199"/>
      <c r="AE1308" s="143"/>
      <c r="AF1308" s="143"/>
      <c r="AG1308" s="143"/>
      <c r="AH1308" s="143"/>
      <c r="AI1308" s="143"/>
      <c r="AJ1308" s="143"/>
      <c r="AK1308" s="143"/>
      <c r="AL1308" s="143"/>
      <c r="AM1308" s="143"/>
      <c r="AN1308" s="143"/>
      <c r="AO1308" s="143"/>
    </row>
    <row r="1309" spans="3:41">
      <c r="C1309" s="136"/>
      <c r="D1309" s="136"/>
      <c r="F1309" s="19"/>
      <c r="G1309" s="138"/>
      <c r="H1309" s="138"/>
      <c r="I1309" s="126"/>
      <c r="J1309" s="20"/>
      <c r="K1309" s="20"/>
      <c r="L1309" s="20"/>
      <c r="M1309" s="20"/>
      <c r="N1309" s="126"/>
      <c r="O1309" s="126"/>
      <c r="P1309" s="126"/>
      <c r="Q1309" s="198"/>
      <c r="R1309" s="172"/>
      <c r="S1309" s="199"/>
      <c r="AE1309" s="143"/>
      <c r="AF1309" s="143"/>
      <c r="AG1309" s="143"/>
      <c r="AH1309" s="143"/>
      <c r="AI1309" s="143"/>
      <c r="AJ1309" s="143"/>
      <c r="AK1309" s="143"/>
      <c r="AL1309" s="143"/>
      <c r="AM1309" s="143"/>
      <c r="AN1309" s="143"/>
      <c r="AO1309" s="143"/>
    </row>
    <row r="1310" spans="3:41">
      <c r="C1310" s="136"/>
      <c r="D1310" s="136"/>
      <c r="F1310" s="19"/>
      <c r="G1310" s="138"/>
      <c r="H1310" s="138"/>
      <c r="I1310" s="126"/>
      <c r="J1310" s="20"/>
      <c r="K1310" s="20"/>
      <c r="L1310" s="20"/>
      <c r="M1310" s="20"/>
      <c r="N1310" s="126"/>
      <c r="O1310" s="126"/>
      <c r="P1310" s="126"/>
      <c r="Q1310" s="198"/>
      <c r="R1310" s="172"/>
      <c r="S1310" s="199"/>
      <c r="AE1310" s="143"/>
      <c r="AF1310" s="143"/>
      <c r="AG1310" s="143"/>
      <c r="AH1310" s="143"/>
      <c r="AI1310" s="143"/>
      <c r="AJ1310" s="143"/>
      <c r="AK1310" s="143"/>
      <c r="AL1310" s="143"/>
      <c r="AM1310" s="143"/>
      <c r="AN1310" s="143"/>
      <c r="AO1310" s="143"/>
    </row>
    <row r="1311" spans="3:41">
      <c r="C1311" s="136"/>
      <c r="D1311" s="136"/>
      <c r="F1311" s="19"/>
      <c r="G1311" s="138"/>
      <c r="H1311" s="138"/>
      <c r="I1311" s="126"/>
      <c r="J1311" s="20"/>
      <c r="K1311" s="20"/>
      <c r="L1311" s="20"/>
      <c r="M1311" s="20"/>
      <c r="N1311" s="126"/>
      <c r="O1311" s="126"/>
      <c r="P1311" s="126"/>
      <c r="Q1311" s="198"/>
      <c r="R1311" s="172"/>
      <c r="S1311" s="199"/>
      <c r="AE1311" s="143"/>
      <c r="AF1311" s="143"/>
      <c r="AG1311" s="143"/>
      <c r="AH1311" s="143"/>
      <c r="AI1311" s="143"/>
      <c r="AJ1311" s="143"/>
      <c r="AK1311" s="143"/>
      <c r="AL1311" s="143"/>
      <c r="AM1311" s="143"/>
      <c r="AN1311" s="143"/>
      <c r="AO1311" s="143"/>
    </row>
    <row r="1312" spans="3:41">
      <c r="C1312" s="136"/>
      <c r="D1312" s="136"/>
      <c r="F1312" s="19"/>
      <c r="G1312" s="138"/>
      <c r="H1312" s="138"/>
      <c r="I1312" s="126"/>
      <c r="J1312" s="20"/>
      <c r="K1312" s="20"/>
      <c r="L1312" s="20"/>
      <c r="M1312" s="20"/>
      <c r="N1312" s="126"/>
      <c r="O1312" s="126"/>
      <c r="P1312" s="126"/>
      <c r="Q1312" s="198"/>
      <c r="R1312" s="172"/>
      <c r="S1312" s="199"/>
      <c r="AE1312" s="143"/>
      <c r="AF1312" s="143"/>
      <c r="AG1312" s="143"/>
      <c r="AH1312" s="143"/>
      <c r="AI1312" s="143"/>
      <c r="AJ1312" s="143"/>
      <c r="AK1312" s="143"/>
      <c r="AL1312" s="143"/>
      <c r="AM1312" s="143"/>
      <c r="AN1312" s="143"/>
      <c r="AO1312" s="143"/>
    </row>
    <row r="1313" spans="3:41">
      <c r="C1313" s="136"/>
      <c r="D1313" s="136"/>
      <c r="F1313" s="19"/>
      <c r="G1313" s="138"/>
      <c r="H1313" s="138"/>
      <c r="I1313" s="126"/>
      <c r="J1313" s="20"/>
      <c r="K1313" s="20"/>
      <c r="L1313" s="20"/>
      <c r="M1313" s="20"/>
      <c r="N1313" s="126"/>
      <c r="O1313" s="126"/>
      <c r="P1313" s="126"/>
      <c r="Q1313" s="198"/>
      <c r="R1313" s="172"/>
      <c r="S1313" s="199"/>
      <c r="AE1313" s="143"/>
      <c r="AF1313" s="143"/>
      <c r="AG1313" s="143"/>
      <c r="AH1313" s="143"/>
      <c r="AI1313" s="143"/>
      <c r="AJ1313" s="143"/>
      <c r="AK1313" s="143"/>
      <c r="AL1313" s="143"/>
      <c r="AM1313" s="143"/>
      <c r="AN1313" s="143"/>
      <c r="AO1313" s="143"/>
    </row>
    <row r="1314" spans="3:41">
      <c r="C1314" s="136"/>
      <c r="D1314" s="136"/>
      <c r="F1314" s="19"/>
      <c r="G1314" s="138"/>
      <c r="H1314" s="138"/>
      <c r="I1314" s="126"/>
      <c r="J1314" s="20"/>
      <c r="K1314" s="20"/>
      <c r="L1314" s="20"/>
      <c r="M1314" s="20"/>
      <c r="N1314" s="126"/>
      <c r="O1314" s="126"/>
      <c r="P1314" s="126"/>
      <c r="Q1314" s="198"/>
      <c r="R1314" s="172"/>
      <c r="S1314" s="199"/>
      <c r="AE1314" s="143"/>
      <c r="AF1314" s="143"/>
      <c r="AG1314" s="143"/>
      <c r="AH1314" s="143"/>
      <c r="AI1314" s="143"/>
      <c r="AJ1314" s="143"/>
      <c r="AK1314" s="143"/>
      <c r="AL1314" s="143"/>
      <c r="AM1314" s="143"/>
      <c r="AN1314" s="143"/>
      <c r="AO1314" s="143"/>
    </row>
    <row r="1315" spans="3:41">
      <c r="C1315" s="136"/>
      <c r="D1315" s="136"/>
      <c r="F1315" s="19"/>
      <c r="G1315" s="138"/>
      <c r="H1315" s="138"/>
      <c r="I1315" s="126"/>
      <c r="J1315" s="20"/>
      <c r="K1315" s="20"/>
      <c r="L1315" s="20"/>
      <c r="M1315" s="20"/>
      <c r="N1315" s="126"/>
      <c r="O1315" s="126"/>
      <c r="P1315" s="126"/>
      <c r="Q1315" s="198"/>
      <c r="R1315" s="172"/>
      <c r="S1315" s="199"/>
      <c r="AE1315" s="143"/>
      <c r="AF1315" s="143"/>
      <c r="AG1315" s="143"/>
      <c r="AH1315" s="143"/>
      <c r="AI1315" s="143"/>
      <c r="AJ1315" s="143"/>
      <c r="AK1315" s="143"/>
      <c r="AL1315" s="143"/>
      <c r="AM1315" s="143"/>
      <c r="AN1315" s="143"/>
      <c r="AO1315" s="143"/>
    </row>
    <row r="1316" spans="3:41">
      <c r="C1316" s="136"/>
      <c r="D1316" s="136"/>
      <c r="F1316" s="19"/>
      <c r="G1316" s="138"/>
      <c r="H1316" s="138"/>
      <c r="I1316" s="126"/>
      <c r="J1316" s="20"/>
      <c r="K1316" s="20"/>
      <c r="L1316" s="20"/>
      <c r="M1316" s="20"/>
      <c r="N1316" s="126"/>
      <c r="O1316" s="126"/>
      <c r="P1316" s="126"/>
      <c r="Q1316" s="198"/>
      <c r="R1316" s="172"/>
      <c r="S1316" s="199"/>
      <c r="AE1316" s="143"/>
      <c r="AF1316" s="143"/>
      <c r="AG1316" s="143"/>
      <c r="AH1316" s="143"/>
      <c r="AI1316" s="143"/>
      <c r="AJ1316" s="143"/>
      <c r="AK1316" s="143"/>
      <c r="AL1316" s="143"/>
      <c r="AM1316" s="143"/>
      <c r="AN1316" s="143"/>
      <c r="AO1316" s="143"/>
    </row>
    <row r="1317" spans="3:41">
      <c r="C1317" s="136"/>
      <c r="D1317" s="136"/>
      <c r="F1317" s="19"/>
      <c r="G1317" s="138"/>
      <c r="H1317" s="138"/>
      <c r="I1317" s="126"/>
      <c r="J1317" s="20"/>
      <c r="K1317" s="20"/>
      <c r="L1317" s="20"/>
      <c r="M1317" s="20"/>
      <c r="N1317" s="126"/>
      <c r="O1317" s="126"/>
      <c r="P1317" s="126"/>
      <c r="Q1317" s="198"/>
      <c r="R1317" s="172"/>
      <c r="S1317" s="199"/>
      <c r="AE1317" s="143"/>
      <c r="AF1317" s="143"/>
      <c r="AG1317" s="143"/>
      <c r="AH1317" s="143"/>
      <c r="AI1317" s="143"/>
      <c r="AJ1317" s="143"/>
      <c r="AK1317" s="143"/>
      <c r="AL1317" s="143"/>
      <c r="AM1317" s="143"/>
      <c r="AN1317" s="143"/>
      <c r="AO1317" s="143"/>
    </row>
    <row r="1318" spans="3:41">
      <c r="C1318" s="136"/>
      <c r="D1318" s="136"/>
      <c r="F1318" s="19"/>
      <c r="G1318" s="138"/>
      <c r="H1318" s="138"/>
      <c r="I1318" s="126"/>
      <c r="J1318" s="20"/>
      <c r="K1318" s="20"/>
      <c r="L1318" s="20"/>
      <c r="M1318" s="20"/>
      <c r="N1318" s="126"/>
      <c r="O1318" s="126"/>
      <c r="P1318" s="126"/>
      <c r="Q1318" s="198"/>
      <c r="R1318" s="172"/>
      <c r="S1318" s="199"/>
      <c r="AE1318" s="143"/>
      <c r="AF1318" s="143"/>
      <c r="AG1318" s="143"/>
      <c r="AH1318" s="143"/>
      <c r="AI1318" s="143"/>
      <c r="AJ1318" s="143"/>
      <c r="AK1318" s="143"/>
      <c r="AL1318" s="143"/>
      <c r="AM1318" s="143"/>
      <c r="AN1318" s="143"/>
      <c r="AO1318" s="143"/>
    </row>
    <row r="1319" spans="3:41">
      <c r="C1319" s="136"/>
      <c r="D1319" s="136"/>
      <c r="F1319" s="19"/>
      <c r="G1319" s="138"/>
      <c r="H1319" s="138"/>
      <c r="I1319" s="126"/>
      <c r="J1319" s="20"/>
      <c r="K1319" s="20"/>
      <c r="L1319" s="20"/>
      <c r="M1319" s="20"/>
      <c r="N1319" s="126"/>
      <c r="O1319" s="126"/>
      <c r="P1319" s="126"/>
      <c r="Q1319" s="198"/>
      <c r="R1319" s="172"/>
      <c r="S1319" s="199"/>
      <c r="AE1319" s="143"/>
      <c r="AF1319" s="143"/>
      <c r="AG1319" s="143"/>
      <c r="AH1319" s="143"/>
      <c r="AI1319" s="143"/>
      <c r="AJ1319" s="143"/>
      <c r="AK1319" s="143"/>
      <c r="AL1319" s="143"/>
      <c r="AM1319" s="143"/>
      <c r="AN1319" s="143"/>
      <c r="AO1319" s="143"/>
    </row>
    <row r="1320" spans="3:41">
      <c r="C1320" s="136"/>
      <c r="D1320" s="136"/>
      <c r="F1320" s="19"/>
      <c r="G1320" s="138"/>
      <c r="H1320" s="138"/>
      <c r="I1320" s="126"/>
      <c r="J1320" s="20"/>
      <c r="K1320" s="20"/>
      <c r="L1320" s="20"/>
      <c r="M1320" s="20"/>
      <c r="N1320" s="126"/>
      <c r="O1320" s="126"/>
      <c r="P1320" s="126"/>
      <c r="Q1320" s="198"/>
      <c r="R1320" s="172"/>
      <c r="S1320" s="199"/>
      <c r="AE1320" s="143"/>
      <c r="AF1320" s="143"/>
      <c r="AG1320" s="143"/>
      <c r="AH1320" s="143"/>
      <c r="AI1320" s="143"/>
      <c r="AJ1320" s="143"/>
      <c r="AK1320" s="143"/>
      <c r="AL1320" s="143"/>
      <c r="AM1320" s="143"/>
      <c r="AN1320" s="143"/>
      <c r="AO1320" s="143"/>
    </row>
    <row r="1321" spans="3:41">
      <c r="C1321" s="136"/>
      <c r="D1321" s="136"/>
      <c r="F1321" s="19"/>
      <c r="G1321" s="138"/>
      <c r="H1321" s="138"/>
      <c r="I1321" s="126"/>
      <c r="J1321" s="20"/>
      <c r="K1321" s="20"/>
      <c r="L1321" s="20"/>
      <c r="M1321" s="20"/>
      <c r="N1321" s="126"/>
      <c r="O1321" s="126"/>
      <c r="P1321" s="126"/>
      <c r="Q1321" s="198"/>
      <c r="R1321" s="172"/>
      <c r="S1321" s="199"/>
      <c r="AE1321" s="143"/>
      <c r="AF1321" s="143"/>
      <c r="AG1321" s="143"/>
      <c r="AH1321" s="143"/>
      <c r="AI1321" s="143"/>
      <c r="AJ1321" s="143"/>
      <c r="AK1321" s="143"/>
      <c r="AL1321" s="143"/>
      <c r="AM1321" s="143"/>
      <c r="AN1321" s="143"/>
      <c r="AO1321" s="143"/>
    </row>
    <row r="1322" spans="3:41">
      <c r="C1322" s="136"/>
      <c r="D1322" s="136"/>
      <c r="F1322" s="19"/>
      <c r="G1322" s="138"/>
      <c r="H1322" s="138"/>
      <c r="I1322" s="126"/>
      <c r="J1322" s="20"/>
      <c r="K1322" s="20"/>
      <c r="L1322" s="20"/>
      <c r="M1322" s="20"/>
      <c r="N1322" s="126"/>
      <c r="O1322" s="126"/>
      <c r="P1322" s="126"/>
      <c r="Q1322" s="198"/>
      <c r="R1322" s="172"/>
      <c r="S1322" s="199"/>
      <c r="AE1322" s="143"/>
      <c r="AF1322" s="143"/>
      <c r="AG1322" s="143"/>
      <c r="AH1322" s="143"/>
      <c r="AI1322" s="143"/>
      <c r="AJ1322" s="143"/>
      <c r="AK1322" s="143"/>
      <c r="AL1322" s="143"/>
      <c r="AM1322" s="143"/>
      <c r="AN1322" s="143"/>
      <c r="AO1322" s="143"/>
    </row>
    <row r="1323" spans="3:41">
      <c r="C1323" s="136"/>
      <c r="D1323" s="136"/>
      <c r="F1323" s="19"/>
      <c r="G1323" s="138"/>
      <c r="H1323" s="138"/>
      <c r="I1323" s="126"/>
      <c r="J1323" s="20"/>
      <c r="K1323" s="20"/>
      <c r="L1323" s="20"/>
      <c r="M1323" s="20"/>
      <c r="N1323" s="126"/>
      <c r="O1323" s="126"/>
      <c r="P1323" s="126"/>
      <c r="Q1323" s="198"/>
      <c r="R1323" s="172"/>
      <c r="S1323" s="199"/>
      <c r="AE1323" s="143"/>
      <c r="AF1323" s="143"/>
      <c r="AG1323" s="143"/>
      <c r="AH1323" s="143"/>
      <c r="AI1323" s="143"/>
      <c r="AJ1323" s="143"/>
      <c r="AK1323" s="143"/>
      <c r="AL1323" s="143"/>
      <c r="AM1323" s="143"/>
      <c r="AN1323" s="143"/>
      <c r="AO1323" s="143"/>
    </row>
    <row r="1324" spans="3:41">
      <c r="C1324" s="136"/>
      <c r="D1324" s="136"/>
      <c r="F1324" s="19"/>
      <c r="G1324" s="138"/>
      <c r="H1324" s="138"/>
      <c r="I1324" s="126"/>
      <c r="J1324" s="20"/>
      <c r="K1324" s="20"/>
      <c r="L1324" s="20"/>
      <c r="M1324" s="20"/>
      <c r="N1324" s="126"/>
      <c r="O1324" s="126"/>
      <c r="P1324" s="126"/>
      <c r="Q1324" s="198"/>
      <c r="R1324" s="172"/>
      <c r="S1324" s="199"/>
      <c r="AE1324" s="143"/>
      <c r="AF1324" s="143"/>
      <c r="AG1324" s="143"/>
      <c r="AH1324" s="143"/>
      <c r="AI1324" s="143"/>
      <c r="AJ1324" s="143"/>
      <c r="AK1324" s="143"/>
      <c r="AL1324" s="143"/>
      <c r="AM1324" s="143"/>
      <c r="AN1324" s="143"/>
      <c r="AO1324" s="143"/>
    </row>
    <row r="1325" spans="3:41">
      <c r="C1325" s="136"/>
      <c r="D1325" s="136"/>
      <c r="F1325" s="19"/>
      <c r="G1325" s="138"/>
      <c r="H1325" s="138"/>
      <c r="I1325" s="126"/>
      <c r="J1325" s="20"/>
      <c r="K1325" s="20"/>
      <c r="L1325" s="20"/>
      <c r="M1325" s="20"/>
      <c r="N1325" s="126"/>
      <c r="O1325" s="126"/>
      <c r="P1325" s="126"/>
      <c r="Q1325" s="198"/>
      <c r="R1325" s="172"/>
      <c r="S1325" s="199"/>
      <c r="AE1325" s="143"/>
      <c r="AF1325" s="143"/>
      <c r="AG1325" s="143"/>
      <c r="AH1325" s="143"/>
      <c r="AI1325" s="143"/>
      <c r="AJ1325" s="143"/>
      <c r="AK1325" s="143"/>
      <c r="AL1325" s="143"/>
      <c r="AM1325" s="143"/>
      <c r="AN1325" s="143"/>
      <c r="AO1325" s="143"/>
    </row>
    <row r="1326" spans="3:41">
      <c r="C1326" s="136"/>
      <c r="D1326" s="136"/>
      <c r="F1326" s="19"/>
      <c r="G1326" s="138"/>
      <c r="H1326" s="138"/>
      <c r="I1326" s="126"/>
      <c r="J1326" s="20"/>
      <c r="K1326" s="20"/>
      <c r="L1326" s="20"/>
      <c r="M1326" s="20"/>
      <c r="N1326" s="126"/>
      <c r="O1326" s="126"/>
      <c r="P1326" s="126"/>
      <c r="Q1326" s="198"/>
      <c r="R1326" s="172"/>
      <c r="S1326" s="199"/>
      <c r="AE1326" s="143"/>
      <c r="AF1326" s="143"/>
      <c r="AG1326" s="143"/>
      <c r="AH1326" s="143"/>
      <c r="AI1326" s="143"/>
      <c r="AJ1326" s="143"/>
      <c r="AK1326" s="143"/>
      <c r="AL1326" s="143"/>
      <c r="AM1326" s="143"/>
      <c r="AN1326" s="143"/>
      <c r="AO1326" s="143"/>
    </row>
    <row r="1327" spans="3:41">
      <c r="C1327" s="136"/>
      <c r="D1327" s="136"/>
      <c r="F1327" s="19"/>
      <c r="G1327" s="138"/>
      <c r="H1327" s="138"/>
      <c r="I1327" s="126"/>
      <c r="J1327" s="20"/>
      <c r="K1327" s="20"/>
      <c r="L1327" s="20"/>
      <c r="M1327" s="20"/>
      <c r="N1327" s="126"/>
      <c r="O1327" s="126"/>
      <c r="P1327" s="126"/>
      <c r="Q1327" s="198"/>
      <c r="R1327" s="172"/>
      <c r="S1327" s="199"/>
      <c r="AE1327" s="143"/>
      <c r="AF1327" s="143"/>
      <c r="AG1327" s="143"/>
      <c r="AH1327" s="143"/>
      <c r="AI1327" s="143"/>
      <c r="AJ1327" s="143"/>
      <c r="AK1327" s="143"/>
      <c r="AL1327" s="143"/>
      <c r="AM1327" s="143"/>
      <c r="AN1327" s="143"/>
      <c r="AO1327" s="143"/>
    </row>
    <row r="1328" spans="3:41">
      <c r="C1328" s="136"/>
      <c r="D1328" s="136"/>
      <c r="F1328" s="19"/>
      <c r="G1328" s="138"/>
      <c r="H1328" s="138"/>
      <c r="I1328" s="126"/>
      <c r="J1328" s="20"/>
      <c r="K1328" s="20"/>
      <c r="L1328" s="20"/>
      <c r="M1328" s="20"/>
      <c r="N1328" s="126"/>
      <c r="O1328" s="126"/>
      <c r="P1328" s="126"/>
      <c r="Q1328" s="198"/>
      <c r="R1328" s="172"/>
      <c r="S1328" s="199"/>
      <c r="AE1328" s="143"/>
      <c r="AF1328" s="143"/>
      <c r="AG1328" s="143"/>
      <c r="AH1328" s="143"/>
      <c r="AI1328" s="143"/>
      <c r="AJ1328" s="143"/>
      <c r="AK1328" s="143"/>
      <c r="AL1328" s="143"/>
      <c r="AM1328" s="143"/>
      <c r="AN1328" s="143"/>
      <c r="AO1328" s="143"/>
    </row>
    <row r="1329" spans="3:41">
      <c r="C1329" s="136"/>
      <c r="D1329" s="136"/>
      <c r="F1329" s="19"/>
      <c r="G1329" s="138"/>
      <c r="H1329" s="138"/>
      <c r="I1329" s="126"/>
      <c r="J1329" s="20"/>
      <c r="K1329" s="20"/>
      <c r="L1329" s="20"/>
      <c r="M1329" s="20"/>
      <c r="N1329" s="126"/>
      <c r="O1329" s="126"/>
      <c r="P1329" s="126"/>
      <c r="Q1329" s="198"/>
      <c r="R1329" s="172"/>
      <c r="S1329" s="199"/>
      <c r="AE1329" s="143"/>
      <c r="AF1329" s="143"/>
      <c r="AG1329" s="143"/>
      <c r="AH1329" s="143"/>
      <c r="AI1329" s="143"/>
      <c r="AJ1329" s="186"/>
      <c r="AK1329" s="143"/>
      <c r="AL1329" s="143"/>
      <c r="AM1329" s="143"/>
      <c r="AN1329" s="143"/>
      <c r="AO1329" s="143"/>
    </row>
    <row r="1330" spans="3:41">
      <c r="C1330" s="136"/>
      <c r="D1330" s="136"/>
      <c r="F1330" s="19"/>
      <c r="G1330" s="138"/>
      <c r="H1330" s="138"/>
      <c r="I1330" s="126"/>
      <c r="J1330" s="20"/>
      <c r="K1330" s="20"/>
      <c r="L1330" s="20"/>
      <c r="M1330" s="20"/>
      <c r="N1330" s="126"/>
      <c r="O1330" s="126"/>
      <c r="P1330" s="126"/>
      <c r="Q1330" s="198"/>
      <c r="R1330" s="172"/>
      <c r="S1330" s="199"/>
      <c r="AE1330" s="143"/>
      <c r="AF1330" s="143"/>
      <c r="AG1330" s="143"/>
      <c r="AH1330" s="143"/>
      <c r="AI1330" s="143"/>
      <c r="AJ1330" s="143"/>
      <c r="AK1330" s="143"/>
      <c r="AL1330" s="143"/>
      <c r="AM1330" s="143"/>
      <c r="AN1330" s="143"/>
      <c r="AO1330" s="143"/>
    </row>
    <row r="1331" spans="3:41">
      <c r="C1331" s="136"/>
      <c r="D1331" s="136"/>
      <c r="F1331" s="19"/>
      <c r="G1331" s="138"/>
      <c r="H1331" s="138"/>
      <c r="I1331" s="126"/>
      <c r="J1331" s="20"/>
      <c r="K1331" s="20"/>
      <c r="L1331" s="20"/>
      <c r="M1331" s="20"/>
      <c r="N1331" s="126"/>
      <c r="O1331" s="126"/>
      <c r="P1331" s="126"/>
      <c r="Q1331" s="198"/>
      <c r="R1331" s="172"/>
      <c r="S1331" s="199"/>
      <c r="AE1331" s="143"/>
      <c r="AF1331" s="143"/>
      <c r="AG1331" s="143"/>
      <c r="AH1331" s="143"/>
      <c r="AI1331" s="143"/>
      <c r="AJ1331" s="143"/>
      <c r="AK1331" s="143"/>
      <c r="AL1331" s="143"/>
      <c r="AM1331" s="143"/>
      <c r="AN1331" s="143"/>
      <c r="AO1331" s="143"/>
    </row>
    <row r="1332" spans="3:41">
      <c r="C1332" s="136"/>
      <c r="D1332" s="136"/>
      <c r="F1332" s="19"/>
      <c r="G1332" s="138"/>
      <c r="H1332" s="138"/>
      <c r="I1332" s="126"/>
      <c r="J1332" s="20"/>
      <c r="K1332" s="20"/>
      <c r="L1332" s="20"/>
      <c r="M1332" s="20"/>
      <c r="N1332" s="126"/>
      <c r="O1332" s="126"/>
      <c r="P1332" s="126"/>
      <c r="Q1332" s="198"/>
      <c r="R1332" s="172"/>
      <c r="S1332" s="199"/>
      <c r="AE1332" s="143"/>
      <c r="AF1332" s="143"/>
      <c r="AG1332" s="143"/>
      <c r="AH1332" s="143"/>
      <c r="AI1332" s="143"/>
      <c r="AJ1332" s="143"/>
      <c r="AK1332" s="143"/>
      <c r="AL1332" s="143"/>
      <c r="AM1332" s="143"/>
      <c r="AN1332" s="143"/>
      <c r="AO1332" s="143"/>
    </row>
    <row r="1333" spans="3:41">
      <c r="C1333" s="136"/>
      <c r="D1333" s="136"/>
      <c r="F1333" s="19"/>
      <c r="G1333" s="138"/>
      <c r="H1333" s="138"/>
      <c r="I1333" s="126"/>
      <c r="J1333" s="20"/>
      <c r="K1333" s="20"/>
      <c r="L1333" s="20"/>
      <c r="M1333" s="20"/>
      <c r="N1333" s="126"/>
      <c r="O1333" s="126"/>
      <c r="P1333" s="126"/>
      <c r="Q1333" s="198"/>
      <c r="R1333" s="172"/>
      <c r="S1333" s="199"/>
      <c r="AE1333" s="143"/>
      <c r="AF1333" s="143"/>
      <c r="AG1333" s="143"/>
      <c r="AH1333" s="143"/>
      <c r="AI1333" s="143"/>
      <c r="AJ1333" s="143"/>
      <c r="AK1333" s="143"/>
      <c r="AL1333" s="143"/>
      <c r="AM1333" s="143"/>
      <c r="AN1333" s="143"/>
      <c r="AO1333" s="143"/>
    </row>
    <row r="1334" spans="3:41">
      <c r="C1334" s="136"/>
      <c r="D1334" s="136"/>
      <c r="F1334" s="19"/>
      <c r="G1334" s="138"/>
      <c r="H1334" s="138"/>
      <c r="I1334" s="126"/>
      <c r="J1334" s="20"/>
      <c r="K1334" s="20"/>
      <c r="L1334" s="20"/>
      <c r="M1334" s="20"/>
      <c r="N1334" s="126"/>
      <c r="O1334" s="126"/>
      <c r="P1334" s="126"/>
      <c r="Q1334" s="198"/>
      <c r="R1334" s="172"/>
      <c r="S1334" s="199"/>
      <c r="AE1334" s="143"/>
      <c r="AF1334" s="143"/>
      <c r="AG1334" s="143"/>
      <c r="AH1334" s="143"/>
      <c r="AI1334" s="143"/>
      <c r="AJ1334" s="143"/>
      <c r="AK1334" s="143"/>
      <c r="AL1334" s="143"/>
      <c r="AM1334" s="143"/>
      <c r="AN1334" s="143"/>
      <c r="AO1334" s="143"/>
    </row>
    <row r="1335" spans="3:41">
      <c r="C1335" s="136"/>
      <c r="D1335" s="136"/>
      <c r="F1335" s="19"/>
      <c r="G1335" s="138"/>
      <c r="H1335" s="138"/>
      <c r="I1335" s="126"/>
      <c r="J1335" s="20"/>
      <c r="K1335" s="20"/>
      <c r="L1335" s="20"/>
      <c r="M1335" s="20"/>
      <c r="N1335" s="126"/>
      <c r="O1335" s="126"/>
      <c r="P1335" s="126"/>
      <c r="Q1335" s="198"/>
      <c r="R1335" s="172"/>
      <c r="S1335" s="199"/>
      <c r="AE1335" s="143"/>
      <c r="AF1335" s="143"/>
      <c r="AG1335" s="143"/>
      <c r="AH1335" s="143"/>
      <c r="AI1335" s="143"/>
      <c r="AJ1335" s="143"/>
      <c r="AK1335" s="143"/>
      <c r="AL1335" s="143"/>
      <c r="AM1335" s="143"/>
      <c r="AN1335" s="143"/>
      <c r="AO1335" s="143"/>
    </row>
    <row r="1336" spans="3:41">
      <c r="C1336" s="136"/>
      <c r="D1336" s="136"/>
      <c r="F1336" s="19"/>
      <c r="G1336" s="138"/>
      <c r="H1336" s="138"/>
      <c r="I1336" s="126"/>
      <c r="J1336" s="20"/>
      <c r="K1336" s="20"/>
      <c r="L1336" s="20"/>
      <c r="M1336" s="20"/>
      <c r="N1336" s="126"/>
      <c r="O1336" s="126"/>
      <c r="P1336" s="126"/>
      <c r="Q1336" s="198"/>
      <c r="R1336" s="172"/>
      <c r="S1336" s="199"/>
      <c r="AE1336" s="143"/>
      <c r="AF1336" s="143"/>
      <c r="AG1336" s="143"/>
      <c r="AH1336" s="143"/>
      <c r="AI1336" s="143"/>
      <c r="AJ1336" s="143"/>
      <c r="AK1336" s="143"/>
      <c r="AL1336" s="143"/>
      <c r="AM1336" s="143"/>
      <c r="AN1336" s="143"/>
      <c r="AO1336" s="143"/>
    </row>
    <row r="1337" spans="3:41">
      <c r="C1337" s="136"/>
      <c r="D1337" s="136"/>
      <c r="F1337" s="19"/>
      <c r="G1337" s="138"/>
      <c r="H1337" s="138"/>
      <c r="I1337" s="126"/>
      <c r="J1337" s="20"/>
      <c r="K1337" s="20"/>
      <c r="L1337" s="20"/>
      <c r="M1337" s="20"/>
      <c r="N1337" s="126"/>
      <c r="O1337" s="126"/>
      <c r="P1337" s="126"/>
      <c r="Q1337" s="198"/>
      <c r="R1337" s="172"/>
      <c r="S1337" s="199"/>
      <c r="AE1337" s="143"/>
      <c r="AF1337" s="143"/>
      <c r="AG1337" s="143"/>
      <c r="AH1337" s="143"/>
      <c r="AI1337" s="143"/>
      <c r="AJ1337" s="143"/>
      <c r="AK1337" s="143"/>
      <c r="AL1337" s="143"/>
      <c r="AM1337" s="143"/>
      <c r="AN1337" s="143"/>
      <c r="AO1337" s="143"/>
    </row>
    <row r="1338" spans="3:41">
      <c r="C1338" s="136"/>
      <c r="D1338" s="136"/>
      <c r="F1338" s="19"/>
      <c r="G1338" s="138"/>
      <c r="H1338" s="138"/>
      <c r="I1338" s="126"/>
      <c r="J1338" s="20"/>
      <c r="K1338" s="20"/>
      <c r="L1338" s="20"/>
      <c r="M1338" s="20"/>
      <c r="N1338" s="126"/>
      <c r="O1338" s="126"/>
      <c r="P1338" s="126"/>
      <c r="Q1338" s="198"/>
      <c r="R1338" s="172"/>
      <c r="S1338" s="199"/>
      <c r="AE1338" s="143"/>
      <c r="AF1338" s="143"/>
      <c r="AG1338" s="143"/>
      <c r="AH1338" s="143"/>
      <c r="AI1338" s="143"/>
      <c r="AJ1338" s="143"/>
      <c r="AK1338" s="143"/>
      <c r="AL1338" s="143"/>
      <c r="AM1338" s="143"/>
      <c r="AN1338" s="143"/>
      <c r="AO1338" s="143"/>
    </row>
    <row r="1339" spans="3:41">
      <c r="C1339" s="136"/>
      <c r="D1339" s="136"/>
      <c r="F1339" s="19"/>
      <c r="G1339" s="138"/>
      <c r="H1339" s="138"/>
      <c r="I1339" s="126"/>
      <c r="J1339" s="20"/>
      <c r="K1339" s="20"/>
      <c r="L1339" s="20"/>
      <c r="M1339" s="20"/>
      <c r="N1339" s="126"/>
      <c r="O1339" s="126"/>
      <c r="P1339" s="126"/>
      <c r="Q1339" s="198"/>
      <c r="R1339" s="172"/>
      <c r="S1339" s="199"/>
      <c r="AE1339" s="143"/>
      <c r="AF1339" s="143"/>
      <c r="AG1339" s="143"/>
      <c r="AH1339" s="143"/>
      <c r="AI1339" s="143"/>
      <c r="AJ1339" s="143"/>
      <c r="AK1339" s="143"/>
      <c r="AL1339" s="143"/>
      <c r="AM1339" s="143"/>
      <c r="AN1339" s="143"/>
      <c r="AO1339" s="143"/>
    </row>
    <row r="1340" spans="3:41">
      <c r="C1340" s="136"/>
      <c r="D1340" s="136"/>
      <c r="F1340" s="19"/>
      <c r="G1340" s="138"/>
      <c r="H1340" s="138"/>
      <c r="I1340" s="126"/>
      <c r="J1340" s="20"/>
      <c r="K1340" s="20"/>
      <c r="L1340" s="20"/>
      <c r="M1340" s="20"/>
      <c r="N1340" s="126"/>
      <c r="O1340" s="126"/>
      <c r="P1340" s="126"/>
      <c r="Q1340" s="198"/>
      <c r="R1340" s="172"/>
      <c r="S1340" s="199"/>
      <c r="AE1340" s="143"/>
      <c r="AF1340" s="143"/>
      <c r="AG1340" s="143"/>
      <c r="AH1340" s="143"/>
      <c r="AI1340" s="143"/>
      <c r="AJ1340" s="143"/>
      <c r="AK1340" s="143"/>
      <c r="AL1340" s="143"/>
      <c r="AM1340" s="143"/>
      <c r="AN1340" s="143"/>
      <c r="AO1340" s="143"/>
    </row>
    <row r="1341" spans="3:41">
      <c r="C1341" s="136"/>
      <c r="D1341" s="136"/>
      <c r="F1341" s="19"/>
      <c r="G1341" s="138"/>
      <c r="H1341" s="138"/>
      <c r="I1341" s="126"/>
      <c r="J1341" s="20"/>
      <c r="K1341" s="20"/>
      <c r="L1341" s="20"/>
      <c r="M1341" s="20"/>
      <c r="N1341" s="126"/>
      <c r="O1341" s="126"/>
      <c r="P1341" s="126"/>
      <c r="Q1341" s="198"/>
      <c r="R1341" s="172"/>
      <c r="S1341" s="199"/>
      <c r="AE1341" s="143"/>
      <c r="AF1341" s="143"/>
      <c r="AG1341" s="143"/>
      <c r="AH1341" s="143"/>
      <c r="AI1341" s="143"/>
      <c r="AJ1341" s="143"/>
      <c r="AK1341" s="143"/>
      <c r="AL1341" s="143"/>
      <c r="AM1341" s="143"/>
      <c r="AN1341" s="143"/>
      <c r="AO1341" s="143"/>
    </row>
    <row r="1342" spans="3:41">
      <c r="C1342" s="136"/>
      <c r="D1342" s="136"/>
      <c r="F1342" s="19"/>
      <c r="G1342" s="138"/>
      <c r="H1342" s="138"/>
      <c r="I1342" s="126"/>
      <c r="J1342" s="20"/>
      <c r="K1342" s="20"/>
      <c r="L1342" s="20"/>
      <c r="M1342" s="20"/>
      <c r="N1342" s="126"/>
      <c r="O1342" s="126"/>
      <c r="P1342" s="126"/>
      <c r="Q1342" s="198"/>
      <c r="R1342" s="172"/>
      <c r="S1342" s="199"/>
      <c r="AE1342" s="143"/>
      <c r="AF1342" s="143"/>
      <c r="AG1342" s="143"/>
      <c r="AH1342" s="143"/>
      <c r="AI1342" s="143"/>
      <c r="AJ1342" s="143"/>
      <c r="AK1342" s="143"/>
      <c r="AL1342" s="143"/>
      <c r="AM1342" s="143"/>
      <c r="AN1342" s="143"/>
      <c r="AO1342" s="143"/>
    </row>
    <row r="1343" spans="3:41">
      <c r="C1343" s="136"/>
      <c r="D1343" s="136"/>
      <c r="F1343" s="19"/>
      <c r="G1343" s="138"/>
      <c r="H1343" s="138"/>
      <c r="I1343" s="126"/>
      <c r="J1343" s="20"/>
      <c r="K1343" s="20"/>
      <c r="L1343" s="20"/>
      <c r="M1343" s="20"/>
      <c r="N1343" s="126"/>
      <c r="O1343" s="126"/>
      <c r="P1343" s="126"/>
      <c r="Q1343" s="198"/>
      <c r="R1343" s="172"/>
      <c r="S1343" s="199"/>
      <c r="AE1343" s="143"/>
      <c r="AF1343" s="143"/>
      <c r="AG1343" s="143"/>
      <c r="AH1343" s="143"/>
      <c r="AI1343" s="143"/>
      <c r="AJ1343" s="143"/>
      <c r="AK1343" s="143"/>
      <c r="AL1343" s="143"/>
      <c r="AM1343" s="143"/>
      <c r="AN1343" s="143"/>
      <c r="AO1343" s="143"/>
    </row>
    <row r="1344" spans="3:41">
      <c r="C1344" s="136"/>
      <c r="D1344" s="136"/>
      <c r="F1344" s="19"/>
      <c r="G1344" s="138"/>
      <c r="H1344" s="138"/>
      <c r="I1344" s="126"/>
      <c r="J1344" s="20"/>
      <c r="K1344" s="20"/>
      <c r="L1344" s="20"/>
      <c r="M1344" s="20"/>
      <c r="N1344" s="126"/>
      <c r="O1344" s="126"/>
      <c r="P1344" s="126"/>
      <c r="Q1344" s="198"/>
      <c r="R1344" s="172"/>
      <c r="S1344" s="199"/>
      <c r="AE1344" s="143"/>
      <c r="AF1344" s="143"/>
      <c r="AG1344" s="143"/>
      <c r="AH1344" s="143"/>
      <c r="AI1344" s="143"/>
      <c r="AJ1344" s="143"/>
      <c r="AK1344" s="143"/>
      <c r="AL1344" s="143"/>
      <c r="AM1344" s="143"/>
      <c r="AN1344" s="143"/>
      <c r="AO1344" s="143"/>
    </row>
    <row r="1345" spans="3:41">
      <c r="C1345" s="136"/>
      <c r="D1345" s="136"/>
      <c r="F1345" s="19"/>
      <c r="G1345" s="138"/>
      <c r="H1345" s="138"/>
      <c r="I1345" s="126"/>
      <c r="J1345" s="20"/>
      <c r="K1345" s="20"/>
      <c r="L1345" s="20"/>
      <c r="M1345" s="20"/>
      <c r="N1345" s="126"/>
      <c r="O1345" s="126"/>
      <c r="P1345" s="126"/>
      <c r="Q1345" s="198"/>
      <c r="R1345" s="172"/>
      <c r="S1345" s="199"/>
      <c r="AE1345" s="143"/>
      <c r="AF1345" s="143"/>
      <c r="AG1345" s="143"/>
      <c r="AH1345" s="143"/>
      <c r="AI1345" s="143"/>
      <c r="AJ1345" s="143"/>
      <c r="AK1345" s="143"/>
      <c r="AL1345" s="143"/>
      <c r="AM1345" s="143"/>
      <c r="AN1345" s="143"/>
      <c r="AO1345" s="143"/>
    </row>
    <row r="1346" spans="3:41">
      <c r="C1346" s="136"/>
      <c r="D1346" s="136"/>
      <c r="F1346" s="19"/>
      <c r="G1346" s="138"/>
      <c r="H1346" s="138"/>
      <c r="I1346" s="126"/>
      <c r="J1346" s="20"/>
      <c r="K1346" s="20"/>
      <c r="L1346" s="20"/>
      <c r="M1346" s="20"/>
      <c r="N1346" s="126"/>
      <c r="O1346" s="126"/>
      <c r="P1346" s="126"/>
      <c r="Q1346" s="198"/>
      <c r="R1346" s="172"/>
      <c r="S1346" s="199"/>
      <c r="AE1346" s="143"/>
      <c r="AF1346" s="143"/>
      <c r="AG1346" s="143"/>
      <c r="AH1346" s="143"/>
      <c r="AI1346" s="143"/>
      <c r="AJ1346" s="143"/>
      <c r="AK1346" s="143"/>
      <c r="AL1346" s="143"/>
      <c r="AM1346" s="143"/>
      <c r="AN1346" s="143"/>
      <c r="AO1346" s="143"/>
    </row>
    <row r="1347" spans="3:41">
      <c r="C1347" s="136"/>
      <c r="D1347" s="136"/>
      <c r="F1347" s="19"/>
      <c r="G1347" s="138"/>
      <c r="H1347" s="138"/>
      <c r="I1347" s="126"/>
      <c r="J1347" s="20"/>
      <c r="K1347" s="20"/>
      <c r="L1347" s="20"/>
      <c r="M1347" s="20"/>
      <c r="N1347" s="126"/>
      <c r="O1347" s="126"/>
      <c r="P1347" s="126"/>
      <c r="Q1347" s="198"/>
      <c r="R1347" s="172"/>
      <c r="S1347" s="199"/>
      <c r="AE1347" s="143"/>
      <c r="AF1347" s="143"/>
      <c r="AG1347" s="143"/>
      <c r="AH1347" s="143"/>
      <c r="AI1347" s="143"/>
      <c r="AJ1347" s="143"/>
      <c r="AK1347" s="143"/>
      <c r="AL1347" s="143"/>
      <c r="AM1347" s="143"/>
      <c r="AN1347" s="143"/>
      <c r="AO1347" s="143"/>
    </row>
    <row r="1348" spans="3:41">
      <c r="C1348" s="136"/>
      <c r="D1348" s="136"/>
      <c r="F1348" s="19"/>
      <c r="G1348" s="138"/>
      <c r="H1348" s="138"/>
      <c r="I1348" s="126"/>
      <c r="J1348" s="20"/>
      <c r="K1348" s="20"/>
      <c r="L1348" s="20"/>
      <c r="M1348" s="20"/>
      <c r="N1348" s="126"/>
      <c r="O1348" s="126"/>
      <c r="P1348" s="126"/>
      <c r="Q1348" s="198"/>
      <c r="R1348" s="172"/>
      <c r="S1348" s="199"/>
      <c r="AE1348" s="143"/>
      <c r="AF1348" s="143"/>
      <c r="AG1348" s="143"/>
      <c r="AH1348" s="143"/>
      <c r="AI1348" s="143"/>
      <c r="AJ1348" s="143"/>
      <c r="AK1348" s="143"/>
      <c r="AL1348" s="143"/>
      <c r="AM1348" s="143"/>
      <c r="AN1348" s="143"/>
      <c r="AO1348" s="143"/>
    </row>
    <row r="1349" spans="3:41">
      <c r="C1349" s="136"/>
      <c r="D1349" s="136"/>
      <c r="F1349" s="19"/>
      <c r="G1349" s="138"/>
      <c r="H1349" s="138"/>
      <c r="I1349" s="126"/>
      <c r="J1349" s="20"/>
      <c r="K1349" s="20"/>
      <c r="L1349" s="20"/>
      <c r="M1349" s="20"/>
      <c r="N1349" s="126"/>
      <c r="O1349" s="126"/>
      <c r="P1349" s="126"/>
      <c r="Q1349" s="198"/>
      <c r="R1349" s="172"/>
      <c r="S1349" s="199"/>
      <c r="AE1349" s="143"/>
      <c r="AF1349" s="143"/>
      <c r="AG1349" s="143"/>
      <c r="AH1349" s="143"/>
      <c r="AI1349" s="143"/>
      <c r="AJ1349" s="143"/>
      <c r="AK1349" s="143"/>
      <c r="AL1349" s="143"/>
      <c r="AM1349" s="143"/>
      <c r="AN1349" s="143"/>
      <c r="AO1349" s="143"/>
    </row>
    <row r="1350" spans="3:41">
      <c r="C1350" s="136"/>
      <c r="D1350" s="136"/>
      <c r="F1350" s="19"/>
      <c r="G1350" s="138"/>
      <c r="H1350" s="138"/>
      <c r="I1350" s="126"/>
      <c r="J1350" s="20"/>
      <c r="K1350" s="20"/>
      <c r="L1350" s="20"/>
      <c r="M1350" s="20"/>
      <c r="N1350" s="126"/>
      <c r="O1350" s="126"/>
      <c r="P1350" s="126"/>
      <c r="Q1350" s="198"/>
      <c r="R1350" s="172"/>
      <c r="S1350" s="199"/>
      <c r="AE1350" s="143"/>
      <c r="AF1350" s="143"/>
      <c r="AG1350" s="143"/>
      <c r="AH1350" s="143"/>
      <c r="AI1350" s="143"/>
      <c r="AJ1350" s="143"/>
      <c r="AK1350" s="143"/>
      <c r="AL1350" s="143"/>
      <c r="AM1350" s="143"/>
      <c r="AN1350" s="143"/>
      <c r="AO1350" s="143"/>
    </row>
    <row r="1351" spans="3:41">
      <c r="C1351" s="136"/>
      <c r="D1351" s="136"/>
      <c r="F1351" s="19"/>
      <c r="G1351" s="138"/>
      <c r="H1351" s="138"/>
      <c r="I1351" s="126"/>
      <c r="J1351" s="20"/>
      <c r="K1351" s="20"/>
      <c r="L1351" s="20"/>
      <c r="M1351" s="20"/>
      <c r="N1351" s="126"/>
      <c r="O1351" s="126"/>
      <c r="P1351" s="126"/>
      <c r="Q1351" s="198"/>
      <c r="R1351" s="172"/>
      <c r="S1351" s="199"/>
      <c r="AE1351" s="143"/>
      <c r="AF1351" s="143"/>
      <c r="AG1351" s="143"/>
      <c r="AH1351" s="143"/>
      <c r="AI1351" s="143"/>
      <c r="AJ1351" s="143"/>
      <c r="AK1351" s="143"/>
      <c r="AL1351" s="143"/>
      <c r="AM1351" s="143"/>
      <c r="AN1351" s="143"/>
      <c r="AO1351" s="143"/>
    </row>
    <row r="1352" spans="3:41">
      <c r="C1352" s="136"/>
      <c r="D1352" s="136"/>
      <c r="F1352" s="19"/>
      <c r="G1352" s="138"/>
      <c r="H1352" s="138"/>
      <c r="I1352" s="126"/>
      <c r="J1352" s="20"/>
      <c r="K1352" s="20"/>
      <c r="L1352" s="20"/>
      <c r="M1352" s="20"/>
      <c r="N1352" s="126"/>
      <c r="O1352" s="126"/>
      <c r="P1352" s="126"/>
      <c r="Q1352" s="198"/>
      <c r="R1352" s="172"/>
      <c r="S1352" s="199"/>
      <c r="AE1352" s="143"/>
      <c r="AF1352" s="143"/>
      <c r="AG1352" s="143"/>
      <c r="AH1352" s="143"/>
      <c r="AI1352" s="143"/>
      <c r="AJ1352" s="143"/>
      <c r="AK1352" s="143"/>
      <c r="AL1352" s="143"/>
      <c r="AM1352" s="143"/>
      <c r="AN1352" s="143"/>
      <c r="AO1352" s="143"/>
    </row>
    <row r="1353" spans="3:41">
      <c r="C1353" s="136"/>
      <c r="D1353" s="136"/>
      <c r="F1353" s="19"/>
      <c r="G1353" s="138"/>
      <c r="H1353" s="138"/>
      <c r="I1353" s="126"/>
      <c r="J1353" s="20"/>
      <c r="K1353" s="20"/>
      <c r="L1353" s="20"/>
      <c r="M1353" s="20"/>
      <c r="N1353" s="126"/>
      <c r="O1353" s="126"/>
      <c r="P1353" s="126"/>
      <c r="Q1353" s="198"/>
      <c r="R1353" s="172"/>
      <c r="S1353" s="199"/>
      <c r="AE1353" s="143"/>
      <c r="AF1353" s="143"/>
      <c r="AG1353" s="143"/>
      <c r="AH1353" s="143"/>
      <c r="AI1353" s="143"/>
      <c r="AJ1353" s="143"/>
      <c r="AK1353" s="143"/>
      <c r="AL1353" s="143"/>
      <c r="AM1353" s="143"/>
      <c r="AN1353" s="143"/>
      <c r="AO1353" s="143"/>
    </row>
    <row r="1354" spans="3:41">
      <c r="C1354" s="136"/>
      <c r="D1354" s="136"/>
      <c r="F1354" s="196"/>
      <c r="G1354" s="138"/>
      <c r="H1354" s="138"/>
      <c r="I1354" s="126"/>
      <c r="J1354" s="15"/>
      <c r="K1354" s="15"/>
      <c r="L1354" s="20"/>
      <c r="M1354" s="20"/>
      <c r="N1354" s="126"/>
      <c r="O1354" s="126"/>
      <c r="P1354" s="126"/>
      <c r="Q1354" s="198"/>
      <c r="R1354" s="172"/>
      <c r="S1354" s="199"/>
      <c r="AE1354" s="143"/>
      <c r="AF1354" s="143"/>
      <c r="AG1354" s="143"/>
      <c r="AH1354" s="143"/>
      <c r="AI1354" s="143"/>
      <c r="AJ1354" s="143"/>
      <c r="AK1354" s="143"/>
      <c r="AL1354" s="143"/>
      <c r="AM1354" s="145"/>
      <c r="AN1354" s="143"/>
      <c r="AO1354" s="143"/>
    </row>
    <row r="1355" spans="3:41">
      <c r="C1355" s="136"/>
      <c r="D1355" s="136"/>
      <c r="F1355" s="196"/>
      <c r="G1355" s="138"/>
      <c r="H1355" s="138"/>
      <c r="I1355" s="126"/>
      <c r="J1355" s="15"/>
      <c r="K1355" s="15"/>
      <c r="L1355" s="20"/>
      <c r="M1355" s="20"/>
      <c r="N1355" s="126"/>
      <c r="O1355" s="126"/>
      <c r="P1355" s="126"/>
      <c r="Q1355" s="198"/>
      <c r="R1355" s="172"/>
      <c r="S1355" s="199"/>
      <c r="AE1355" s="143"/>
      <c r="AF1355" s="143"/>
      <c r="AG1355" s="143"/>
      <c r="AH1355" s="143"/>
      <c r="AI1355" s="143"/>
      <c r="AJ1355" s="143"/>
      <c r="AK1355" s="143"/>
      <c r="AL1355" s="143"/>
      <c r="AM1355" s="143"/>
      <c r="AN1355" s="143"/>
      <c r="AO1355" s="143"/>
    </row>
    <row r="1356" spans="3:41">
      <c r="C1356" s="136"/>
      <c r="D1356" s="136"/>
      <c r="F1356" s="15"/>
      <c r="G1356" s="138"/>
      <c r="H1356" s="138"/>
      <c r="I1356" s="126"/>
      <c r="J1356" s="15"/>
      <c r="K1356" s="15"/>
      <c r="L1356" s="20"/>
      <c r="M1356" s="20"/>
      <c r="N1356" s="126"/>
      <c r="O1356" s="126"/>
      <c r="P1356" s="126"/>
      <c r="Q1356" s="198"/>
      <c r="R1356" s="172"/>
      <c r="S1356" s="199"/>
      <c r="AE1356" s="143"/>
      <c r="AF1356" s="143"/>
      <c r="AG1356" s="143"/>
      <c r="AH1356" s="143"/>
      <c r="AI1356" s="143"/>
      <c r="AJ1356" s="143"/>
      <c r="AK1356" s="143"/>
      <c r="AL1356" s="143"/>
      <c r="AM1356" s="143"/>
      <c r="AN1356" s="143"/>
      <c r="AO1356" s="143"/>
    </row>
    <row r="1357" spans="3:41">
      <c r="C1357" s="136"/>
      <c r="D1357" s="136"/>
      <c r="F1357" s="15"/>
      <c r="G1357" s="138"/>
      <c r="H1357" s="138"/>
      <c r="I1357" s="126"/>
      <c r="J1357" s="15"/>
      <c r="K1357" s="15"/>
      <c r="L1357" s="20"/>
      <c r="M1357" s="20"/>
      <c r="N1357" s="126"/>
      <c r="O1357" s="126"/>
      <c r="P1357" s="126"/>
      <c r="Q1357" s="198"/>
      <c r="R1357" s="172"/>
      <c r="S1357" s="172"/>
      <c r="AE1357" s="143"/>
      <c r="AF1357" s="143"/>
      <c r="AG1357" s="143"/>
      <c r="AH1357" s="143"/>
      <c r="AI1357" s="143"/>
      <c r="AJ1357" s="143"/>
      <c r="AK1357" s="143"/>
      <c r="AL1357" s="143"/>
      <c r="AM1357" s="143"/>
      <c r="AN1357" s="143"/>
      <c r="AO1357" s="143"/>
    </row>
    <row r="1358" spans="3:41">
      <c r="C1358" s="136"/>
      <c r="D1358" s="136"/>
      <c r="F1358" s="15"/>
      <c r="G1358" s="138"/>
      <c r="H1358" s="138"/>
      <c r="I1358" s="126"/>
      <c r="J1358" s="15"/>
      <c r="K1358" s="15"/>
      <c r="L1358" s="20"/>
      <c r="M1358" s="20"/>
      <c r="N1358" s="126"/>
      <c r="O1358" s="126"/>
      <c r="P1358" s="126"/>
      <c r="Q1358" s="198"/>
      <c r="R1358" s="172"/>
      <c r="S1358" s="172"/>
      <c r="AE1358" s="143"/>
      <c r="AF1358" s="143"/>
      <c r="AG1358" s="143"/>
      <c r="AH1358" s="143"/>
      <c r="AI1358" s="143"/>
      <c r="AJ1358" s="143"/>
      <c r="AK1358" s="143"/>
      <c r="AL1358" s="143"/>
      <c r="AM1358" s="143"/>
      <c r="AN1358" s="143"/>
      <c r="AO1358" s="143"/>
    </row>
    <row r="1359" spans="3:41">
      <c r="C1359" s="136"/>
      <c r="D1359" s="136"/>
      <c r="F1359" s="15"/>
      <c r="G1359" s="138"/>
      <c r="H1359" s="138"/>
      <c r="I1359" s="126"/>
      <c r="J1359" s="15"/>
      <c r="K1359" s="15"/>
      <c r="L1359" s="20"/>
      <c r="M1359" s="20"/>
      <c r="N1359" s="126"/>
      <c r="O1359" s="126"/>
      <c r="P1359" s="126"/>
      <c r="Q1359" s="198"/>
      <c r="R1359" s="172"/>
      <c r="S1359" s="199"/>
      <c r="AE1359" s="143"/>
      <c r="AF1359" s="143"/>
      <c r="AG1359" s="143"/>
      <c r="AH1359" s="143"/>
      <c r="AI1359" s="143"/>
      <c r="AJ1359" s="143"/>
      <c r="AK1359" s="143"/>
      <c r="AL1359" s="143"/>
      <c r="AM1359" s="143"/>
      <c r="AN1359" s="143"/>
      <c r="AO1359" s="143"/>
    </row>
    <row r="1360" spans="3:41">
      <c r="C1360" s="136"/>
      <c r="D1360" s="136"/>
      <c r="F1360" s="15"/>
      <c r="G1360" s="138"/>
      <c r="H1360" s="138"/>
      <c r="I1360" s="126"/>
      <c r="J1360" s="15"/>
      <c r="K1360" s="15"/>
      <c r="L1360" s="20"/>
      <c r="M1360" s="20"/>
      <c r="N1360" s="126"/>
      <c r="O1360" s="126"/>
      <c r="P1360" s="126"/>
      <c r="Q1360" s="198"/>
      <c r="R1360" s="172"/>
      <c r="S1360" s="199"/>
      <c r="AE1360" s="143"/>
      <c r="AF1360" s="143"/>
      <c r="AG1360" s="143"/>
      <c r="AH1360" s="143"/>
      <c r="AI1360" s="143"/>
      <c r="AJ1360" s="143"/>
      <c r="AK1360" s="143"/>
      <c r="AL1360" s="143"/>
      <c r="AM1360" s="143"/>
      <c r="AN1360" s="143"/>
      <c r="AO1360" s="143"/>
    </row>
    <row r="1361" spans="3:41">
      <c r="C1361" s="136"/>
      <c r="D1361" s="136"/>
      <c r="F1361" s="15"/>
      <c r="G1361" s="138"/>
      <c r="H1361" s="138"/>
      <c r="I1361" s="126"/>
      <c r="J1361" s="15"/>
      <c r="K1361" s="15"/>
      <c r="L1361" s="20"/>
      <c r="M1361" s="20"/>
      <c r="N1361" s="126"/>
      <c r="O1361" s="126"/>
      <c r="P1361" s="126"/>
      <c r="Q1361" s="198"/>
      <c r="R1361" s="172"/>
      <c r="S1361" s="172"/>
      <c r="AE1361" s="143"/>
      <c r="AF1361" s="143"/>
      <c r="AG1361" s="143"/>
      <c r="AH1361" s="143"/>
      <c r="AI1361" s="143"/>
      <c r="AJ1361" s="143"/>
      <c r="AK1361" s="143"/>
      <c r="AL1361" s="143"/>
      <c r="AM1361" s="143"/>
      <c r="AN1361" s="143"/>
      <c r="AO1361" s="143"/>
    </row>
    <row r="1362" spans="3:41">
      <c r="C1362" s="136"/>
      <c r="D1362" s="136"/>
      <c r="F1362" s="15"/>
      <c r="G1362" s="138"/>
      <c r="H1362" s="138"/>
      <c r="I1362" s="126"/>
      <c r="J1362" s="15"/>
      <c r="K1362" s="15"/>
      <c r="L1362" s="20"/>
      <c r="M1362" s="20"/>
      <c r="N1362" s="126"/>
      <c r="O1362" s="126"/>
      <c r="P1362" s="126"/>
      <c r="Q1362" s="198"/>
      <c r="R1362" s="172"/>
      <c r="S1362" s="199"/>
      <c r="AE1362" s="143"/>
      <c r="AF1362" s="143"/>
      <c r="AG1362" s="143"/>
      <c r="AH1362" s="143"/>
      <c r="AI1362" s="143"/>
      <c r="AJ1362" s="143"/>
      <c r="AK1362" s="143"/>
      <c r="AL1362" s="143"/>
      <c r="AM1362" s="143"/>
      <c r="AN1362" s="143"/>
      <c r="AO1362" s="143"/>
    </row>
    <row r="1363" spans="3:41">
      <c r="C1363" s="136"/>
      <c r="D1363" s="136"/>
      <c r="F1363" s="15"/>
      <c r="G1363" s="138"/>
      <c r="H1363" s="138"/>
      <c r="I1363" s="126"/>
      <c r="J1363" s="15"/>
      <c r="K1363" s="15"/>
      <c r="L1363" s="20"/>
      <c r="M1363" s="20"/>
      <c r="N1363" s="126"/>
      <c r="O1363" s="126"/>
      <c r="P1363" s="126"/>
      <c r="Q1363" s="198"/>
      <c r="R1363" s="172"/>
      <c r="S1363" s="199"/>
      <c r="AE1363" s="143"/>
      <c r="AF1363" s="143"/>
      <c r="AG1363" s="143"/>
      <c r="AH1363" s="143"/>
      <c r="AI1363" s="143"/>
      <c r="AJ1363" s="143"/>
      <c r="AK1363" s="143"/>
      <c r="AL1363" s="143"/>
      <c r="AM1363" s="143"/>
      <c r="AN1363" s="143"/>
      <c r="AO1363" s="143"/>
    </row>
    <row r="1364" spans="3:41">
      <c r="C1364" s="136"/>
      <c r="D1364" s="136"/>
      <c r="F1364" s="15"/>
      <c r="G1364" s="138"/>
      <c r="H1364" s="138"/>
      <c r="I1364" s="126"/>
      <c r="J1364" s="15"/>
      <c r="K1364" s="15"/>
      <c r="L1364" s="20"/>
      <c r="M1364" s="20"/>
      <c r="N1364" s="126"/>
      <c r="O1364" s="126"/>
      <c r="P1364" s="126"/>
      <c r="Q1364" s="198"/>
      <c r="R1364" s="172"/>
      <c r="S1364" s="199"/>
      <c r="AE1364" s="143"/>
      <c r="AF1364" s="143"/>
      <c r="AG1364" s="143"/>
      <c r="AH1364" s="143"/>
      <c r="AI1364" s="143"/>
      <c r="AJ1364" s="143"/>
      <c r="AK1364" s="143"/>
      <c r="AL1364" s="143"/>
      <c r="AM1364" s="143"/>
      <c r="AN1364" s="143"/>
      <c r="AO1364" s="143"/>
    </row>
    <row r="1365" spans="3:41">
      <c r="C1365" s="136"/>
      <c r="D1365" s="136"/>
      <c r="F1365" s="15"/>
      <c r="G1365" s="138"/>
      <c r="H1365" s="138"/>
      <c r="I1365" s="126"/>
      <c r="J1365" s="15"/>
      <c r="K1365" s="15"/>
      <c r="L1365" s="20"/>
      <c r="M1365" s="20"/>
      <c r="N1365" s="126"/>
      <c r="O1365" s="126"/>
      <c r="P1365" s="126"/>
      <c r="Q1365" s="198"/>
      <c r="R1365" s="172"/>
      <c r="S1365" s="172"/>
      <c r="AE1365" s="143"/>
      <c r="AF1365" s="143"/>
      <c r="AG1365" s="143"/>
      <c r="AH1365" s="143"/>
      <c r="AI1365" s="143"/>
      <c r="AJ1365" s="143"/>
      <c r="AK1365" s="143"/>
      <c r="AL1365" s="143"/>
      <c r="AM1365" s="145"/>
      <c r="AN1365" s="143"/>
      <c r="AO1365" s="143"/>
    </row>
    <row r="1366" spans="3:41">
      <c r="C1366" s="136"/>
      <c r="D1366" s="136"/>
      <c r="F1366" s="15"/>
      <c r="G1366" s="138"/>
      <c r="H1366" s="138"/>
      <c r="I1366" s="126"/>
      <c r="J1366" s="15"/>
      <c r="K1366" s="15"/>
      <c r="L1366" s="20"/>
      <c r="M1366" s="20"/>
      <c r="N1366" s="126"/>
      <c r="O1366" s="126"/>
      <c r="P1366" s="126"/>
      <c r="Q1366" s="198"/>
      <c r="R1366" s="172"/>
      <c r="S1366" s="199"/>
      <c r="AE1366" s="143"/>
      <c r="AF1366" s="143"/>
      <c r="AG1366" s="143"/>
      <c r="AH1366" s="143"/>
      <c r="AI1366" s="143"/>
      <c r="AJ1366" s="143"/>
      <c r="AK1366" s="143"/>
      <c r="AL1366" s="143"/>
      <c r="AM1366" s="145"/>
      <c r="AN1366" s="143"/>
      <c r="AO1366" s="143"/>
    </row>
    <row r="1367" spans="3:41">
      <c r="C1367" s="136"/>
      <c r="D1367" s="136"/>
      <c r="F1367" s="15"/>
      <c r="G1367" s="138"/>
      <c r="H1367" s="138"/>
      <c r="I1367" s="126"/>
      <c r="J1367" s="15"/>
      <c r="K1367" s="15"/>
      <c r="L1367" s="20"/>
      <c r="M1367" s="20"/>
      <c r="N1367" s="126"/>
      <c r="O1367" s="126"/>
      <c r="P1367" s="126"/>
      <c r="Q1367" s="198"/>
      <c r="R1367" s="172"/>
      <c r="S1367" s="199"/>
      <c r="AE1367" s="143"/>
      <c r="AF1367" s="143"/>
      <c r="AG1367" s="143"/>
      <c r="AH1367" s="143"/>
      <c r="AI1367" s="143"/>
      <c r="AJ1367" s="143"/>
      <c r="AK1367" s="143"/>
      <c r="AL1367" s="143"/>
      <c r="AM1367" s="143"/>
      <c r="AN1367" s="143"/>
      <c r="AO1367" s="143"/>
    </row>
    <row r="1368" spans="3:41">
      <c r="C1368" s="136"/>
      <c r="D1368" s="136"/>
      <c r="F1368" s="15"/>
      <c r="G1368" s="138"/>
      <c r="H1368" s="138"/>
      <c r="I1368" s="126"/>
      <c r="J1368" s="15"/>
      <c r="K1368" s="15"/>
      <c r="L1368" s="20"/>
      <c r="M1368" s="20"/>
      <c r="N1368" s="126"/>
      <c r="O1368" s="126"/>
      <c r="P1368" s="126"/>
      <c r="Q1368" s="198"/>
      <c r="R1368" s="172"/>
      <c r="S1368" s="19"/>
      <c r="AE1368" s="143"/>
      <c r="AF1368" s="143"/>
      <c r="AG1368" s="143"/>
      <c r="AH1368" s="143"/>
      <c r="AI1368" s="143"/>
      <c r="AJ1368" s="143"/>
      <c r="AK1368" s="143"/>
      <c r="AL1368" s="143"/>
      <c r="AM1368" s="145"/>
      <c r="AN1368" s="143"/>
      <c r="AO1368" s="143"/>
    </row>
    <row r="1369" spans="3:41">
      <c r="C1369" s="136"/>
      <c r="D1369" s="136"/>
      <c r="F1369" s="15"/>
      <c r="G1369" s="138"/>
      <c r="H1369" s="138"/>
      <c r="I1369" s="126"/>
      <c r="J1369" s="15"/>
      <c r="K1369" s="15"/>
      <c r="L1369" s="20"/>
      <c r="M1369" s="20"/>
      <c r="N1369" s="126"/>
      <c r="O1369" s="126"/>
      <c r="P1369" s="126"/>
      <c r="Q1369" s="198"/>
      <c r="R1369" s="172"/>
      <c r="S1369" s="19"/>
      <c r="AE1369" s="143"/>
      <c r="AF1369" s="143"/>
      <c r="AG1369" s="143"/>
      <c r="AH1369" s="143"/>
      <c r="AI1369" s="143"/>
      <c r="AJ1369" s="143"/>
      <c r="AK1369" s="143"/>
      <c r="AL1369" s="143"/>
      <c r="AM1369" s="145"/>
      <c r="AN1369" s="143"/>
      <c r="AO1369" s="143"/>
    </row>
    <row r="1370" spans="3:41">
      <c r="C1370" s="136"/>
      <c r="D1370" s="136"/>
      <c r="F1370" s="15"/>
      <c r="G1370" s="138"/>
      <c r="H1370" s="138"/>
      <c r="I1370" s="126"/>
      <c r="J1370" s="15"/>
      <c r="K1370" s="15"/>
      <c r="L1370" s="20"/>
      <c r="M1370" s="20"/>
      <c r="N1370" s="126"/>
      <c r="O1370" s="126"/>
      <c r="P1370" s="126"/>
      <c r="Q1370" s="198"/>
      <c r="R1370" s="172"/>
      <c r="S1370" s="199"/>
      <c r="AE1370" s="143"/>
      <c r="AF1370" s="143"/>
      <c r="AG1370" s="143"/>
      <c r="AH1370" s="143"/>
      <c r="AI1370" s="143"/>
      <c r="AJ1370" s="143"/>
      <c r="AK1370" s="143"/>
      <c r="AL1370" s="143"/>
      <c r="AM1370" s="143"/>
      <c r="AN1370" s="143"/>
      <c r="AO1370" s="143"/>
    </row>
    <row r="1371" spans="3:41">
      <c r="C1371" s="136"/>
      <c r="D1371" s="136"/>
      <c r="F1371" s="15"/>
      <c r="G1371" s="138"/>
      <c r="H1371" s="138"/>
      <c r="I1371" s="126"/>
      <c r="J1371" s="15"/>
      <c r="K1371" s="15"/>
      <c r="L1371" s="20"/>
      <c r="M1371" s="20"/>
      <c r="N1371" s="126"/>
      <c r="O1371" s="126"/>
      <c r="P1371" s="126"/>
      <c r="Q1371" s="198"/>
      <c r="R1371" s="172"/>
      <c r="S1371" s="199"/>
      <c r="AE1371" s="143"/>
      <c r="AF1371" s="143"/>
      <c r="AG1371" s="143"/>
      <c r="AH1371" s="143"/>
      <c r="AI1371" s="143"/>
      <c r="AJ1371" s="143"/>
      <c r="AK1371" s="143"/>
      <c r="AL1371" s="143"/>
      <c r="AM1371" s="143"/>
      <c r="AN1371" s="143"/>
      <c r="AO1371" s="143"/>
    </row>
    <row r="1372" spans="3:41">
      <c r="C1372" s="136"/>
      <c r="D1372" s="136"/>
      <c r="F1372" s="15"/>
      <c r="G1372" s="138"/>
      <c r="H1372" s="138"/>
      <c r="I1372" s="126"/>
      <c r="J1372" s="15"/>
      <c r="K1372" s="15"/>
      <c r="L1372" s="20"/>
      <c r="M1372" s="20"/>
      <c r="N1372" s="126"/>
      <c r="O1372" s="126"/>
      <c r="P1372" s="126"/>
      <c r="Q1372" s="198"/>
      <c r="R1372" s="172"/>
      <c r="S1372" s="199"/>
      <c r="AE1372" s="143"/>
      <c r="AF1372" s="143"/>
      <c r="AG1372" s="143"/>
      <c r="AH1372" s="143"/>
      <c r="AI1372" s="143"/>
      <c r="AJ1372" s="143"/>
      <c r="AK1372" s="143"/>
      <c r="AL1372" s="143"/>
      <c r="AM1372" s="145"/>
      <c r="AN1372" s="143"/>
      <c r="AO1372" s="143"/>
    </row>
    <row r="1373" spans="3:41">
      <c r="C1373" s="136"/>
      <c r="D1373" s="136"/>
      <c r="F1373" s="15"/>
      <c r="G1373" s="138"/>
      <c r="H1373" s="138"/>
      <c r="I1373" s="126"/>
      <c r="J1373" s="15"/>
      <c r="K1373" s="15"/>
      <c r="L1373" s="20"/>
      <c r="M1373" s="20"/>
      <c r="N1373" s="126"/>
      <c r="O1373" s="126"/>
      <c r="P1373" s="126"/>
      <c r="Q1373" s="198"/>
      <c r="R1373" s="172"/>
      <c r="S1373" s="199"/>
      <c r="AE1373" s="143"/>
      <c r="AF1373" s="143"/>
      <c r="AG1373" s="143"/>
      <c r="AH1373" s="143"/>
      <c r="AI1373" s="143"/>
      <c r="AJ1373" s="143"/>
      <c r="AK1373" s="143"/>
      <c r="AL1373" s="143"/>
      <c r="AM1373" s="145"/>
      <c r="AN1373" s="143"/>
      <c r="AO1373" s="143"/>
    </row>
    <row r="1374" spans="3:41">
      <c r="C1374" s="136"/>
      <c r="D1374" s="136"/>
      <c r="F1374" s="15"/>
      <c r="G1374" s="138"/>
      <c r="H1374" s="138"/>
      <c r="I1374" s="126"/>
      <c r="J1374" s="15"/>
      <c r="K1374" s="15"/>
      <c r="L1374" s="20"/>
      <c r="M1374" s="20"/>
      <c r="N1374" s="126"/>
      <c r="O1374" s="126"/>
      <c r="P1374" s="126"/>
      <c r="Q1374" s="198"/>
      <c r="R1374" s="172"/>
      <c r="S1374" s="199"/>
      <c r="AE1374" s="143"/>
      <c r="AF1374" s="143"/>
      <c r="AG1374" s="143"/>
      <c r="AH1374" s="143"/>
      <c r="AI1374" s="143"/>
      <c r="AJ1374" s="143"/>
      <c r="AK1374" s="143"/>
      <c r="AL1374" s="143"/>
      <c r="AM1374" s="143"/>
      <c r="AN1374" s="143"/>
      <c r="AO1374" s="143"/>
    </row>
    <row r="1375" spans="3:41">
      <c r="C1375" s="136"/>
      <c r="D1375" s="136"/>
      <c r="F1375" s="15"/>
      <c r="G1375" s="138"/>
      <c r="H1375" s="138"/>
      <c r="I1375" s="126"/>
      <c r="J1375" s="15"/>
      <c r="K1375" s="15"/>
      <c r="L1375" s="20"/>
      <c r="M1375" s="20"/>
      <c r="N1375" s="126"/>
      <c r="O1375" s="126"/>
      <c r="P1375" s="126"/>
      <c r="Q1375" s="198"/>
      <c r="R1375" s="172"/>
      <c r="S1375" s="199"/>
      <c r="AE1375" s="143"/>
      <c r="AF1375" s="143"/>
      <c r="AG1375" s="143"/>
      <c r="AH1375" s="143"/>
      <c r="AI1375" s="143"/>
      <c r="AJ1375" s="143"/>
      <c r="AK1375" s="143"/>
      <c r="AL1375" s="143"/>
      <c r="AM1375" s="143"/>
      <c r="AN1375" s="143"/>
      <c r="AO1375" s="143"/>
    </row>
    <row r="1376" spans="3:41">
      <c r="C1376" s="136"/>
      <c r="D1376" s="136"/>
      <c r="F1376" s="15"/>
      <c r="G1376" s="138"/>
      <c r="H1376" s="138"/>
      <c r="I1376" s="126"/>
      <c r="J1376" s="15"/>
      <c r="K1376" s="15"/>
      <c r="L1376" s="20"/>
      <c r="M1376" s="20"/>
      <c r="N1376" s="126"/>
      <c r="O1376" s="126"/>
      <c r="P1376" s="126"/>
      <c r="Q1376" s="198"/>
      <c r="R1376" s="172"/>
      <c r="S1376" s="199"/>
      <c r="AE1376" s="143"/>
      <c r="AF1376" s="143"/>
      <c r="AG1376" s="143"/>
      <c r="AH1376" s="143"/>
      <c r="AI1376" s="143"/>
      <c r="AJ1376" s="143"/>
      <c r="AK1376" s="143"/>
      <c r="AL1376" s="143"/>
      <c r="AM1376" s="143"/>
      <c r="AN1376" s="143"/>
      <c r="AO1376" s="143"/>
    </row>
    <row r="1377" spans="3:41">
      <c r="C1377" s="136"/>
      <c r="D1377" s="136"/>
      <c r="F1377" s="15"/>
      <c r="G1377" s="138"/>
      <c r="H1377" s="138"/>
      <c r="I1377" s="126"/>
      <c r="J1377" s="15"/>
      <c r="K1377" s="15"/>
      <c r="L1377" s="20"/>
      <c r="M1377" s="20"/>
      <c r="N1377" s="126"/>
      <c r="O1377" s="126"/>
      <c r="P1377" s="126"/>
      <c r="Q1377" s="198"/>
      <c r="R1377" s="172"/>
      <c r="S1377" s="172"/>
      <c r="AE1377" s="143"/>
      <c r="AF1377" s="143"/>
      <c r="AG1377" s="143"/>
      <c r="AH1377" s="143"/>
      <c r="AI1377" s="143"/>
      <c r="AJ1377" s="143"/>
      <c r="AK1377" s="143"/>
      <c r="AL1377" s="143"/>
      <c r="AM1377" s="143"/>
      <c r="AN1377" s="143"/>
      <c r="AO1377" s="143"/>
    </row>
    <row r="1378" spans="3:41">
      <c r="C1378" s="136"/>
      <c r="D1378" s="136"/>
      <c r="F1378" s="15"/>
      <c r="G1378" s="138"/>
      <c r="H1378" s="138"/>
      <c r="I1378" s="126"/>
      <c r="J1378" s="15"/>
      <c r="K1378" s="15"/>
      <c r="L1378" s="20"/>
      <c r="M1378" s="20"/>
      <c r="N1378" s="126"/>
      <c r="O1378" s="126"/>
      <c r="P1378" s="126"/>
      <c r="Q1378" s="198"/>
      <c r="R1378" s="172"/>
      <c r="S1378" s="199"/>
      <c r="AE1378" s="143"/>
      <c r="AF1378" s="143"/>
      <c r="AG1378" s="143"/>
      <c r="AH1378" s="143"/>
      <c r="AI1378" s="143"/>
      <c r="AJ1378" s="143"/>
      <c r="AK1378" s="143"/>
      <c r="AL1378" s="143"/>
      <c r="AM1378" s="143"/>
      <c r="AN1378" s="143"/>
      <c r="AO1378" s="143"/>
    </row>
    <row r="1379" spans="3:41">
      <c r="C1379" s="136"/>
      <c r="D1379" s="136"/>
      <c r="F1379" s="15"/>
      <c r="G1379" s="138"/>
      <c r="H1379" s="138"/>
      <c r="I1379" s="126"/>
      <c r="J1379" s="15"/>
      <c r="K1379" s="15"/>
      <c r="L1379" s="20"/>
      <c r="M1379" s="20"/>
      <c r="N1379" s="126"/>
      <c r="O1379" s="126"/>
      <c r="P1379" s="126"/>
      <c r="Q1379" s="198"/>
      <c r="R1379" s="172"/>
      <c r="S1379" s="199"/>
      <c r="AE1379" s="143"/>
      <c r="AF1379" s="143"/>
      <c r="AG1379" s="143"/>
      <c r="AH1379" s="143"/>
      <c r="AI1379" s="143"/>
      <c r="AJ1379" s="143"/>
      <c r="AK1379" s="143"/>
      <c r="AL1379" s="143"/>
      <c r="AM1379" s="145"/>
      <c r="AN1379" s="143"/>
      <c r="AO1379" s="143"/>
    </row>
    <row r="1380" spans="3:41">
      <c r="C1380" s="136"/>
      <c r="D1380" s="136"/>
      <c r="F1380" s="15"/>
      <c r="G1380" s="138"/>
      <c r="H1380" s="138"/>
      <c r="I1380" s="126"/>
      <c r="J1380" s="15"/>
      <c r="K1380" s="15"/>
      <c r="L1380" s="20"/>
      <c r="M1380" s="20"/>
      <c r="N1380" s="126"/>
      <c r="O1380" s="126"/>
      <c r="P1380" s="126"/>
      <c r="Q1380" s="198"/>
      <c r="R1380" s="172"/>
      <c r="S1380" s="199"/>
      <c r="AE1380" s="143"/>
      <c r="AF1380" s="143"/>
      <c r="AG1380" s="143"/>
      <c r="AH1380" s="143"/>
      <c r="AI1380" s="143"/>
      <c r="AJ1380" s="143"/>
      <c r="AK1380" s="143"/>
      <c r="AL1380" s="143"/>
      <c r="AM1380" s="143"/>
      <c r="AN1380" s="143"/>
      <c r="AO1380" s="143"/>
    </row>
    <row r="1381" spans="3:41">
      <c r="C1381" s="136"/>
      <c r="D1381" s="136"/>
      <c r="F1381" s="15"/>
      <c r="G1381" s="138"/>
      <c r="H1381" s="138"/>
      <c r="I1381" s="126"/>
      <c r="J1381" s="15"/>
      <c r="K1381" s="15"/>
      <c r="L1381" s="20"/>
      <c r="M1381" s="20"/>
      <c r="N1381" s="126"/>
      <c r="O1381" s="126"/>
      <c r="P1381" s="126"/>
      <c r="Q1381" s="198"/>
      <c r="R1381" s="172"/>
      <c r="S1381" s="199"/>
      <c r="AE1381" s="143"/>
      <c r="AF1381" s="143"/>
      <c r="AG1381" s="143"/>
      <c r="AH1381" s="143"/>
      <c r="AI1381" s="143"/>
      <c r="AJ1381" s="143"/>
      <c r="AK1381" s="143"/>
      <c r="AL1381" s="143"/>
      <c r="AM1381" s="143"/>
      <c r="AN1381" s="143"/>
      <c r="AO1381" s="143"/>
    </row>
    <row r="1382" spans="3:41">
      <c r="C1382" s="136"/>
      <c r="D1382" s="136"/>
      <c r="F1382" s="15"/>
      <c r="G1382" s="138"/>
      <c r="H1382" s="138"/>
      <c r="I1382" s="126"/>
      <c r="J1382" s="15"/>
      <c r="K1382" s="15"/>
      <c r="L1382" s="20"/>
      <c r="M1382" s="20"/>
      <c r="N1382" s="126"/>
      <c r="O1382" s="126"/>
      <c r="P1382" s="126"/>
      <c r="Q1382" s="198"/>
      <c r="R1382" s="172"/>
      <c r="S1382" s="199"/>
      <c r="AE1382" s="143"/>
      <c r="AF1382" s="143"/>
      <c r="AG1382" s="143"/>
      <c r="AH1382" s="143"/>
      <c r="AI1382" s="143"/>
      <c r="AJ1382" s="143"/>
      <c r="AK1382" s="143"/>
      <c r="AL1382" s="143"/>
      <c r="AM1382" s="143"/>
      <c r="AN1382" s="143"/>
      <c r="AO1382" s="143"/>
    </row>
    <row r="1383" spans="3:41">
      <c r="C1383" s="136"/>
      <c r="D1383" s="136"/>
      <c r="F1383" s="15"/>
      <c r="G1383" s="138"/>
      <c r="H1383" s="138"/>
      <c r="I1383" s="126"/>
      <c r="J1383" s="15"/>
      <c r="K1383" s="15"/>
      <c r="L1383" s="20"/>
      <c r="M1383" s="20"/>
      <c r="N1383" s="126"/>
      <c r="O1383" s="126"/>
      <c r="P1383" s="126"/>
      <c r="Q1383" s="198"/>
      <c r="R1383" s="172"/>
      <c r="S1383" s="199"/>
      <c r="AE1383" s="143"/>
      <c r="AF1383" s="143"/>
      <c r="AG1383" s="143"/>
      <c r="AH1383" s="143"/>
      <c r="AI1383" s="143"/>
      <c r="AJ1383" s="143"/>
      <c r="AK1383" s="143"/>
      <c r="AL1383" s="143"/>
      <c r="AM1383" s="145"/>
      <c r="AN1383" s="143"/>
      <c r="AO1383" s="143"/>
    </row>
    <row r="1384" spans="3:41">
      <c r="C1384" s="136"/>
      <c r="D1384" s="136"/>
      <c r="F1384" s="15"/>
      <c r="G1384" s="138"/>
      <c r="H1384" s="138"/>
      <c r="I1384" s="126"/>
      <c r="J1384" s="15"/>
      <c r="K1384" s="15"/>
      <c r="L1384" s="20"/>
      <c r="M1384" s="20"/>
      <c r="N1384" s="126"/>
      <c r="O1384" s="126"/>
      <c r="P1384" s="126"/>
      <c r="Q1384" s="198"/>
      <c r="R1384" s="172"/>
      <c r="S1384" s="199"/>
      <c r="AE1384" s="143"/>
      <c r="AF1384" s="143"/>
      <c r="AG1384" s="143"/>
      <c r="AH1384" s="143"/>
      <c r="AI1384" s="143"/>
      <c r="AJ1384" s="143"/>
      <c r="AK1384" s="143"/>
      <c r="AL1384" s="143"/>
      <c r="AM1384" s="143"/>
      <c r="AN1384" s="143"/>
      <c r="AO1384" s="143"/>
    </row>
    <row r="1385" spans="3:41">
      <c r="C1385" s="136"/>
      <c r="D1385" s="136"/>
      <c r="F1385" s="15"/>
      <c r="G1385" s="138"/>
      <c r="H1385" s="138"/>
      <c r="I1385" s="126"/>
      <c r="J1385" s="15"/>
      <c r="K1385" s="15"/>
      <c r="L1385" s="20"/>
      <c r="M1385" s="20"/>
      <c r="N1385" s="126"/>
      <c r="O1385" s="126"/>
      <c r="P1385" s="126"/>
      <c r="Q1385" s="198"/>
      <c r="R1385" s="172"/>
      <c r="S1385" s="199"/>
      <c r="AE1385" s="143"/>
      <c r="AF1385" s="143"/>
      <c r="AG1385" s="143"/>
      <c r="AH1385" s="143"/>
      <c r="AI1385" s="143"/>
      <c r="AJ1385" s="143"/>
      <c r="AK1385" s="143"/>
      <c r="AL1385" s="143"/>
      <c r="AM1385" s="145"/>
      <c r="AN1385" s="143"/>
      <c r="AO1385" s="143"/>
    </row>
    <row r="1386" spans="3:41">
      <c r="C1386" s="136"/>
      <c r="D1386" s="136"/>
      <c r="F1386" s="15"/>
      <c r="G1386" s="138"/>
      <c r="H1386" s="138"/>
      <c r="I1386" s="126"/>
      <c r="J1386" s="15"/>
      <c r="K1386" s="15"/>
      <c r="L1386" s="20"/>
      <c r="M1386" s="20"/>
      <c r="N1386" s="126"/>
      <c r="O1386" s="126"/>
      <c r="P1386" s="126"/>
      <c r="Q1386" s="198"/>
      <c r="R1386" s="172"/>
      <c r="S1386" s="199"/>
      <c r="AE1386" s="143"/>
      <c r="AF1386" s="143"/>
      <c r="AG1386" s="143"/>
      <c r="AH1386" s="143"/>
      <c r="AI1386" s="143"/>
      <c r="AJ1386" s="143"/>
      <c r="AK1386" s="143"/>
      <c r="AL1386" s="143"/>
      <c r="AM1386" s="143"/>
      <c r="AN1386" s="143"/>
      <c r="AO1386" s="143"/>
    </row>
    <row r="1387" spans="3:41">
      <c r="C1387" s="136"/>
      <c r="D1387" s="136"/>
      <c r="F1387" s="15"/>
      <c r="G1387" s="138"/>
      <c r="H1387" s="138"/>
      <c r="I1387" s="126"/>
      <c r="J1387" s="15"/>
      <c r="K1387" s="15"/>
      <c r="L1387" s="20"/>
      <c r="M1387" s="20"/>
      <c r="N1387" s="126"/>
      <c r="O1387" s="126"/>
      <c r="P1387" s="126"/>
      <c r="Q1387" s="198"/>
      <c r="R1387" s="172"/>
      <c r="S1387" s="172"/>
      <c r="AE1387" s="143"/>
      <c r="AF1387" s="143"/>
      <c r="AG1387" s="143"/>
      <c r="AH1387" s="143"/>
      <c r="AI1387" s="143"/>
      <c r="AJ1387" s="143"/>
      <c r="AK1387" s="143"/>
      <c r="AL1387" s="143"/>
      <c r="AM1387" s="143"/>
      <c r="AN1387" s="143"/>
      <c r="AO1387" s="143"/>
    </row>
    <row r="1388" spans="3:41">
      <c r="C1388" s="136"/>
      <c r="D1388" s="136"/>
      <c r="F1388" s="15"/>
      <c r="G1388" s="138"/>
      <c r="H1388" s="138"/>
      <c r="I1388" s="126"/>
      <c r="J1388" s="15"/>
      <c r="K1388" s="15"/>
      <c r="L1388" s="20"/>
      <c r="M1388" s="20"/>
      <c r="N1388" s="126"/>
      <c r="O1388" s="126"/>
      <c r="P1388" s="126"/>
      <c r="Q1388" s="198"/>
      <c r="R1388" s="172"/>
      <c r="S1388" s="172"/>
      <c r="AE1388" s="143"/>
      <c r="AF1388" s="143"/>
      <c r="AG1388" s="143"/>
      <c r="AH1388" s="143"/>
      <c r="AI1388" s="143"/>
      <c r="AJ1388" s="143"/>
      <c r="AK1388" s="143"/>
      <c r="AL1388" s="143"/>
      <c r="AM1388" s="145"/>
      <c r="AN1388" s="143"/>
      <c r="AO1388" s="143"/>
    </row>
    <row r="1389" spans="3:41">
      <c r="C1389" s="136"/>
      <c r="D1389" s="136"/>
      <c r="F1389" s="15"/>
      <c r="G1389" s="138"/>
      <c r="H1389" s="138"/>
      <c r="I1389" s="126"/>
      <c r="J1389" s="15"/>
      <c r="K1389" s="15"/>
      <c r="L1389" s="20"/>
      <c r="M1389" s="20"/>
      <c r="N1389" s="126"/>
      <c r="O1389" s="126"/>
      <c r="P1389" s="126"/>
      <c r="Q1389" s="198"/>
      <c r="R1389" s="172"/>
      <c r="S1389" s="172"/>
      <c r="AE1389" s="143"/>
      <c r="AF1389" s="143"/>
      <c r="AG1389" s="143"/>
      <c r="AH1389" s="143"/>
      <c r="AI1389" s="143"/>
      <c r="AJ1389" s="143"/>
      <c r="AK1389" s="143"/>
      <c r="AL1389" s="143"/>
      <c r="AM1389" s="145"/>
      <c r="AN1389" s="143"/>
      <c r="AO1389" s="143"/>
    </row>
    <row r="1390" spans="3:41">
      <c r="C1390" s="136"/>
      <c r="D1390" s="136"/>
      <c r="F1390" s="15"/>
      <c r="G1390" s="138"/>
      <c r="H1390" s="138"/>
      <c r="I1390" s="126"/>
      <c r="J1390" s="15"/>
      <c r="K1390" s="15"/>
      <c r="L1390" s="20"/>
      <c r="M1390" s="20"/>
      <c r="N1390" s="126"/>
      <c r="O1390" s="126"/>
      <c r="P1390" s="126"/>
      <c r="Q1390" s="198"/>
      <c r="R1390" s="172"/>
      <c r="S1390" s="172"/>
      <c r="AE1390" s="143"/>
      <c r="AF1390" s="143"/>
      <c r="AG1390" s="143"/>
      <c r="AH1390" s="143"/>
      <c r="AI1390" s="143"/>
      <c r="AJ1390" s="143"/>
      <c r="AK1390" s="143"/>
      <c r="AL1390" s="143"/>
      <c r="AM1390" s="145"/>
      <c r="AN1390" s="143"/>
      <c r="AO1390" s="143"/>
    </row>
    <row r="1391" s="100" customFormat="1" spans="3:41">
      <c r="C1391" s="136"/>
      <c r="D1391" s="136"/>
      <c r="F1391" s="15"/>
      <c r="G1391" s="138"/>
      <c r="H1391" s="138"/>
      <c r="I1391" s="126"/>
      <c r="J1391" s="15"/>
      <c r="K1391" s="15"/>
      <c r="L1391" s="20"/>
      <c r="M1391" s="20"/>
      <c r="N1391" s="126"/>
      <c r="O1391" s="126"/>
      <c r="P1391" s="126"/>
      <c r="Q1391" s="198"/>
      <c r="R1391" s="172"/>
      <c r="S1391" s="199"/>
      <c r="AE1391" s="143"/>
      <c r="AF1391" s="143"/>
      <c r="AG1391" s="143"/>
      <c r="AH1391" s="143"/>
      <c r="AI1391" s="143"/>
      <c r="AJ1391" s="143"/>
      <c r="AK1391" s="143"/>
      <c r="AL1391" s="143"/>
      <c r="AM1391" s="145"/>
      <c r="AN1391" s="143"/>
      <c r="AO1391" s="143"/>
    </row>
    <row r="1392" s="100" customFormat="1" spans="3:41">
      <c r="C1392" s="136"/>
      <c r="D1392" s="136"/>
      <c r="F1392" s="15"/>
      <c r="G1392" s="138"/>
      <c r="H1392" s="138"/>
      <c r="I1392" s="126"/>
      <c r="J1392" s="15"/>
      <c r="K1392" s="15"/>
      <c r="L1392" s="20"/>
      <c r="M1392" s="20"/>
      <c r="N1392" s="126"/>
      <c r="O1392" s="126"/>
      <c r="P1392" s="126"/>
      <c r="Q1392" s="198"/>
      <c r="R1392" s="172"/>
      <c r="S1392" s="199"/>
      <c r="AE1392" s="143"/>
      <c r="AF1392" s="143"/>
      <c r="AG1392" s="143"/>
      <c r="AH1392" s="143"/>
      <c r="AI1392" s="143"/>
      <c r="AJ1392" s="143"/>
      <c r="AK1392" s="143"/>
      <c r="AL1392" s="143"/>
      <c r="AM1392" s="143"/>
      <c r="AN1392" s="143"/>
      <c r="AO1392" s="143"/>
    </row>
    <row r="1393" s="100" customFormat="1" spans="3:41">
      <c r="C1393" s="136"/>
      <c r="D1393" s="136"/>
      <c r="F1393" s="15"/>
      <c r="G1393" s="138"/>
      <c r="H1393" s="138"/>
      <c r="I1393" s="126"/>
      <c r="J1393" s="15"/>
      <c r="K1393" s="15"/>
      <c r="L1393" s="20"/>
      <c r="M1393" s="20"/>
      <c r="N1393" s="126"/>
      <c r="O1393" s="126"/>
      <c r="P1393" s="126"/>
      <c r="Q1393" s="198"/>
      <c r="R1393" s="172"/>
      <c r="S1393" s="199"/>
      <c r="AE1393" s="143"/>
      <c r="AF1393" s="143"/>
      <c r="AG1393" s="143"/>
      <c r="AH1393" s="143"/>
      <c r="AI1393" s="143"/>
      <c r="AJ1393" s="143"/>
      <c r="AK1393" s="143"/>
      <c r="AL1393" s="143"/>
      <c r="AM1393" s="145"/>
      <c r="AN1393" s="143"/>
      <c r="AO1393" s="143"/>
    </row>
    <row r="1394" s="100" customFormat="1" spans="3:41">
      <c r="C1394" s="136"/>
      <c r="D1394" s="136"/>
      <c r="F1394" s="15"/>
      <c r="G1394" s="138"/>
      <c r="H1394" s="138"/>
      <c r="I1394" s="126"/>
      <c r="J1394" s="15"/>
      <c r="K1394" s="15"/>
      <c r="L1394" s="20"/>
      <c r="M1394" s="20"/>
      <c r="N1394" s="126"/>
      <c r="O1394" s="126"/>
      <c r="P1394" s="126"/>
      <c r="Q1394" s="198"/>
      <c r="R1394" s="172"/>
      <c r="S1394" s="199"/>
      <c r="AE1394" s="143"/>
      <c r="AF1394" s="143"/>
      <c r="AG1394" s="143"/>
      <c r="AH1394" s="143"/>
      <c r="AI1394" s="143"/>
      <c r="AJ1394" s="143"/>
      <c r="AK1394" s="143"/>
      <c r="AL1394" s="143"/>
      <c r="AM1394" s="145"/>
      <c r="AN1394" s="143"/>
      <c r="AO1394" s="143"/>
    </row>
    <row r="1395" s="100" customFormat="1" spans="3:41">
      <c r="C1395" s="136"/>
      <c r="D1395" s="136"/>
      <c r="F1395" s="15"/>
      <c r="G1395" s="138"/>
      <c r="H1395" s="138"/>
      <c r="I1395" s="126"/>
      <c r="J1395" s="15"/>
      <c r="K1395" s="15"/>
      <c r="L1395" s="20"/>
      <c r="M1395" s="20"/>
      <c r="N1395" s="126"/>
      <c r="O1395" s="126"/>
      <c r="P1395" s="126"/>
      <c r="Q1395" s="198"/>
      <c r="R1395" s="172"/>
      <c r="S1395" s="199"/>
      <c r="AE1395" s="143"/>
      <c r="AF1395" s="143"/>
      <c r="AG1395" s="143"/>
      <c r="AH1395" s="143"/>
      <c r="AI1395" s="143"/>
      <c r="AJ1395" s="143"/>
      <c r="AK1395" s="143"/>
      <c r="AL1395" s="143"/>
      <c r="AM1395" s="145"/>
      <c r="AN1395" s="143"/>
      <c r="AO1395" s="143"/>
    </row>
    <row r="1396" s="100" customFormat="1" spans="3:41">
      <c r="C1396" s="136"/>
      <c r="D1396" s="136"/>
      <c r="F1396" s="15"/>
      <c r="G1396" s="138"/>
      <c r="H1396" s="138"/>
      <c r="I1396" s="126"/>
      <c r="J1396" s="15"/>
      <c r="K1396" s="15"/>
      <c r="L1396" s="20"/>
      <c r="M1396" s="20"/>
      <c r="N1396" s="126"/>
      <c r="O1396" s="126"/>
      <c r="P1396" s="126"/>
      <c r="Q1396" s="198"/>
      <c r="R1396" s="172"/>
      <c r="S1396" s="199"/>
      <c r="AE1396" s="143"/>
      <c r="AF1396" s="143"/>
      <c r="AG1396" s="143"/>
      <c r="AH1396" s="143"/>
      <c r="AI1396" s="143"/>
      <c r="AJ1396" s="143"/>
      <c r="AK1396" s="143"/>
      <c r="AL1396" s="143"/>
      <c r="AM1396" s="145"/>
      <c r="AN1396" s="143"/>
      <c r="AO1396" s="143"/>
    </row>
    <row r="1397" s="100" customFormat="1" spans="3:41">
      <c r="C1397" s="136"/>
      <c r="D1397" s="136"/>
      <c r="F1397" s="15"/>
      <c r="G1397" s="138"/>
      <c r="H1397" s="138"/>
      <c r="I1397" s="126"/>
      <c r="J1397" s="15"/>
      <c r="K1397" s="15"/>
      <c r="L1397" s="20"/>
      <c r="M1397" s="20"/>
      <c r="N1397" s="126"/>
      <c r="O1397" s="126"/>
      <c r="P1397" s="126"/>
      <c r="Q1397" s="198"/>
      <c r="R1397" s="172"/>
      <c r="S1397" s="199"/>
      <c r="AE1397" s="143"/>
      <c r="AF1397" s="143"/>
      <c r="AG1397" s="143"/>
      <c r="AH1397" s="143"/>
      <c r="AI1397" s="143"/>
      <c r="AJ1397" s="143"/>
      <c r="AK1397" s="143"/>
      <c r="AL1397" s="143"/>
      <c r="AM1397" s="145"/>
      <c r="AN1397" s="143"/>
      <c r="AO1397" s="143"/>
    </row>
    <row r="1398" s="100" customFormat="1" spans="3:41">
      <c r="C1398" s="136"/>
      <c r="D1398" s="136"/>
      <c r="F1398" s="15"/>
      <c r="G1398" s="138"/>
      <c r="H1398" s="138"/>
      <c r="I1398" s="126"/>
      <c r="J1398" s="15"/>
      <c r="K1398" s="15"/>
      <c r="L1398" s="20"/>
      <c r="M1398" s="20"/>
      <c r="N1398" s="126"/>
      <c r="O1398" s="126"/>
      <c r="P1398" s="126"/>
      <c r="Q1398" s="198"/>
      <c r="R1398" s="172"/>
      <c r="S1398" s="199"/>
      <c r="AE1398" s="143"/>
      <c r="AF1398" s="143"/>
      <c r="AG1398" s="143"/>
      <c r="AH1398" s="143"/>
      <c r="AI1398" s="143"/>
      <c r="AJ1398" s="143"/>
      <c r="AK1398" s="143"/>
      <c r="AL1398" s="143"/>
      <c r="AM1398" s="145"/>
      <c r="AN1398" s="143"/>
      <c r="AO1398" s="143"/>
    </row>
    <row r="1399" s="100" customFormat="1" spans="3:41">
      <c r="C1399" s="136"/>
      <c r="D1399" s="136"/>
      <c r="F1399" s="15"/>
      <c r="G1399" s="138"/>
      <c r="H1399" s="138"/>
      <c r="I1399" s="126"/>
      <c r="J1399" s="15"/>
      <c r="K1399" s="15"/>
      <c r="L1399" s="20"/>
      <c r="M1399" s="20"/>
      <c r="N1399" s="126"/>
      <c r="O1399" s="126"/>
      <c r="P1399" s="126"/>
      <c r="Q1399" s="198"/>
      <c r="R1399" s="172"/>
      <c r="S1399" s="199"/>
      <c r="AE1399" s="143"/>
      <c r="AF1399" s="143"/>
      <c r="AG1399" s="143"/>
      <c r="AH1399" s="143"/>
      <c r="AI1399" s="143"/>
      <c r="AJ1399" s="143"/>
      <c r="AK1399" s="143"/>
      <c r="AL1399" s="143"/>
      <c r="AM1399" s="145"/>
      <c r="AN1399" s="143"/>
      <c r="AO1399" s="143"/>
    </row>
    <row r="1400" s="100" customFormat="1" spans="3:41">
      <c r="C1400" s="136"/>
      <c r="D1400" s="136"/>
      <c r="F1400" s="15"/>
      <c r="G1400" s="138"/>
      <c r="H1400" s="138"/>
      <c r="I1400" s="126"/>
      <c r="J1400" s="15"/>
      <c r="K1400" s="15"/>
      <c r="L1400" s="20"/>
      <c r="M1400" s="20"/>
      <c r="N1400" s="126"/>
      <c r="O1400" s="126"/>
      <c r="P1400" s="126"/>
      <c r="Q1400" s="198"/>
      <c r="R1400" s="172"/>
      <c r="S1400" s="199"/>
      <c r="AE1400" s="143"/>
      <c r="AF1400" s="143"/>
      <c r="AG1400" s="143"/>
      <c r="AH1400" s="143"/>
      <c r="AI1400" s="143"/>
      <c r="AJ1400" s="143"/>
      <c r="AK1400" s="143"/>
      <c r="AL1400" s="143"/>
      <c r="AM1400" s="143"/>
      <c r="AN1400" s="143"/>
      <c r="AO1400" s="143"/>
    </row>
    <row r="1401" s="100" customFormat="1" spans="3:41">
      <c r="C1401" s="136"/>
      <c r="D1401" s="136"/>
      <c r="F1401" s="15"/>
      <c r="G1401" s="138"/>
      <c r="H1401" s="138"/>
      <c r="I1401" s="126"/>
      <c r="J1401" s="15"/>
      <c r="K1401" s="15"/>
      <c r="L1401" s="20"/>
      <c r="M1401" s="20"/>
      <c r="N1401" s="126"/>
      <c r="O1401" s="126"/>
      <c r="P1401" s="126"/>
      <c r="Q1401" s="198"/>
      <c r="R1401" s="172"/>
      <c r="S1401" s="199"/>
      <c r="AE1401" s="143"/>
      <c r="AF1401" s="143"/>
      <c r="AG1401" s="143"/>
      <c r="AH1401" s="143"/>
      <c r="AI1401" s="143"/>
      <c r="AJ1401" s="143"/>
      <c r="AK1401" s="143"/>
      <c r="AL1401" s="143"/>
      <c r="AM1401" s="145"/>
      <c r="AN1401" s="143"/>
      <c r="AO1401" s="143"/>
    </row>
    <row r="1402" s="100" customFormat="1" spans="3:41">
      <c r="C1402" s="136"/>
      <c r="D1402" s="136"/>
      <c r="F1402" s="15"/>
      <c r="G1402" s="138"/>
      <c r="H1402" s="138"/>
      <c r="I1402" s="126"/>
      <c r="J1402" s="15"/>
      <c r="K1402" s="15"/>
      <c r="L1402" s="20"/>
      <c r="M1402" s="20"/>
      <c r="N1402" s="126"/>
      <c r="O1402" s="126"/>
      <c r="P1402" s="126"/>
      <c r="Q1402" s="198"/>
      <c r="R1402" s="172"/>
      <c r="S1402" s="199"/>
      <c r="AE1402" s="143"/>
      <c r="AF1402" s="143"/>
      <c r="AG1402" s="143"/>
      <c r="AH1402" s="143"/>
      <c r="AI1402" s="143"/>
      <c r="AJ1402" s="143"/>
      <c r="AK1402" s="143"/>
      <c r="AL1402" s="143"/>
      <c r="AM1402" s="143"/>
      <c r="AN1402" s="143"/>
      <c r="AO1402" s="143"/>
    </row>
    <row r="1403" s="100" customFormat="1" spans="3:41">
      <c r="C1403" s="136"/>
      <c r="D1403" s="136"/>
      <c r="F1403" s="15"/>
      <c r="G1403" s="138"/>
      <c r="H1403" s="138"/>
      <c r="I1403" s="126"/>
      <c r="J1403" s="15"/>
      <c r="K1403" s="15"/>
      <c r="L1403" s="20"/>
      <c r="M1403" s="20"/>
      <c r="N1403" s="126"/>
      <c r="O1403" s="126"/>
      <c r="P1403" s="126"/>
      <c r="Q1403" s="198"/>
      <c r="R1403" s="172"/>
      <c r="S1403" s="199"/>
      <c r="AE1403" s="143"/>
      <c r="AF1403" s="143"/>
      <c r="AG1403" s="143"/>
      <c r="AH1403" s="143"/>
      <c r="AI1403" s="143"/>
      <c r="AJ1403" s="143"/>
      <c r="AK1403" s="143"/>
      <c r="AL1403" s="143"/>
      <c r="AM1403" s="143"/>
      <c r="AN1403" s="143"/>
    </row>
    <row r="1404" s="100" customFormat="1" spans="3:41">
      <c r="C1404" s="136"/>
      <c r="D1404" s="136"/>
      <c r="F1404" s="15"/>
      <c r="G1404" s="138"/>
      <c r="H1404" s="138"/>
      <c r="I1404" s="126"/>
      <c r="J1404" s="15"/>
      <c r="K1404" s="15"/>
      <c r="L1404" s="20"/>
      <c r="M1404" s="20"/>
      <c r="N1404" s="126"/>
      <c r="O1404" s="126"/>
      <c r="P1404" s="126"/>
      <c r="Q1404" s="198"/>
      <c r="R1404" s="172"/>
      <c r="S1404" s="199"/>
      <c r="AE1404" s="143"/>
      <c r="AF1404" s="143"/>
      <c r="AG1404" s="143"/>
      <c r="AH1404" s="143"/>
      <c r="AI1404" s="143"/>
      <c r="AJ1404" s="143"/>
      <c r="AK1404" s="143"/>
      <c r="AL1404" s="143"/>
      <c r="AM1404" s="143"/>
      <c r="AN1404" s="143"/>
    </row>
    <row r="1405" s="100" customFormat="1" spans="3:41">
      <c r="C1405" s="136"/>
      <c r="D1405" s="136"/>
      <c r="F1405" s="15"/>
      <c r="G1405" s="138"/>
      <c r="H1405" s="138"/>
      <c r="I1405" s="126"/>
      <c r="J1405" s="15"/>
      <c r="K1405" s="15"/>
      <c r="L1405" s="20"/>
      <c r="M1405" s="20"/>
      <c r="N1405" s="126"/>
      <c r="O1405" s="126"/>
      <c r="P1405" s="126"/>
      <c r="Q1405" s="198"/>
      <c r="R1405" s="172"/>
      <c r="S1405" s="199"/>
      <c r="AE1405" s="143"/>
      <c r="AF1405" s="143"/>
      <c r="AG1405" s="143"/>
      <c r="AH1405" s="143"/>
      <c r="AI1405" s="143"/>
      <c r="AJ1405" s="143"/>
      <c r="AK1405" s="143"/>
      <c r="AL1405" s="143"/>
      <c r="AM1405" s="143"/>
      <c r="AN1405" s="143"/>
    </row>
    <row r="1406" s="100" customFormat="1" spans="3:41">
      <c r="C1406" s="136"/>
      <c r="D1406" s="136"/>
      <c r="F1406" s="15"/>
      <c r="G1406" s="138"/>
      <c r="H1406" s="138"/>
      <c r="I1406" s="126"/>
      <c r="J1406" s="15"/>
      <c r="K1406" s="15"/>
      <c r="L1406" s="20"/>
      <c r="M1406" s="20"/>
      <c r="N1406" s="126"/>
      <c r="O1406" s="126"/>
      <c r="P1406" s="126"/>
      <c r="Q1406" s="198"/>
      <c r="R1406" s="172"/>
      <c r="S1406" s="199"/>
      <c r="AE1406" s="143"/>
      <c r="AF1406" s="143"/>
      <c r="AG1406" s="143"/>
      <c r="AH1406" s="143"/>
      <c r="AI1406" s="143"/>
      <c r="AJ1406" s="143"/>
      <c r="AK1406" s="143"/>
      <c r="AL1406" s="143"/>
      <c r="AM1406" s="143"/>
      <c r="AN1406" s="143"/>
    </row>
    <row r="1407" s="100" customFormat="1" spans="3:41">
      <c r="C1407" s="136"/>
      <c r="D1407" s="136"/>
      <c r="F1407" s="15"/>
      <c r="G1407" s="138"/>
      <c r="H1407" s="138"/>
      <c r="I1407" s="126"/>
      <c r="J1407" s="15"/>
      <c r="K1407" s="15"/>
      <c r="L1407" s="20"/>
      <c r="M1407" s="20"/>
      <c r="N1407" s="126"/>
      <c r="O1407" s="126"/>
      <c r="P1407" s="126"/>
      <c r="Q1407" s="198"/>
      <c r="R1407" s="172"/>
      <c r="S1407" s="199"/>
      <c r="AE1407" s="143"/>
      <c r="AF1407" s="143"/>
      <c r="AG1407" s="143"/>
      <c r="AH1407" s="143"/>
      <c r="AI1407" s="143"/>
      <c r="AJ1407" s="143"/>
      <c r="AK1407" s="143"/>
      <c r="AL1407" s="143"/>
      <c r="AM1407" s="145"/>
      <c r="AN1407" s="143"/>
    </row>
    <row r="1408" s="100" customFormat="1" spans="3:41">
      <c r="C1408" s="136"/>
      <c r="D1408" s="136"/>
      <c r="F1408" s="15"/>
      <c r="G1408" s="138"/>
      <c r="H1408" s="138"/>
      <c r="I1408" s="126"/>
      <c r="J1408" s="15"/>
      <c r="K1408" s="15"/>
      <c r="L1408" s="20"/>
      <c r="M1408" s="20"/>
      <c r="N1408" s="126"/>
      <c r="O1408" s="126"/>
      <c r="P1408" s="126"/>
      <c r="Q1408" s="198"/>
      <c r="R1408" s="172"/>
      <c r="S1408" s="199"/>
      <c r="AE1408" s="143"/>
      <c r="AF1408" s="143"/>
      <c r="AG1408" s="143"/>
      <c r="AH1408" s="143"/>
      <c r="AI1408" s="143"/>
      <c r="AJ1408" s="143"/>
      <c r="AK1408" s="143"/>
      <c r="AL1408" s="143"/>
      <c r="AM1408" s="145"/>
      <c r="AN1408" s="143"/>
    </row>
    <row r="1409" s="100" customFormat="1" spans="3:40">
      <c r="C1409" s="136"/>
      <c r="D1409" s="136"/>
      <c r="F1409" s="15"/>
      <c r="G1409" s="138"/>
      <c r="H1409" s="138"/>
      <c r="I1409" s="126"/>
      <c r="J1409" s="15"/>
      <c r="K1409" s="15"/>
      <c r="L1409" s="20"/>
      <c r="M1409" s="20"/>
      <c r="N1409" s="126"/>
      <c r="O1409" s="126"/>
      <c r="P1409" s="126"/>
      <c r="Q1409" s="198"/>
      <c r="R1409" s="172"/>
      <c r="S1409" s="172"/>
      <c r="AE1409" s="143"/>
      <c r="AF1409" s="143"/>
      <c r="AG1409" s="143"/>
      <c r="AH1409" s="143"/>
      <c r="AI1409" s="143"/>
      <c r="AJ1409" s="143"/>
      <c r="AK1409" s="143"/>
      <c r="AL1409" s="143"/>
      <c r="AM1409" s="145"/>
      <c r="AN1409" s="143"/>
    </row>
    <row r="1410" s="100" customFormat="1" spans="3:40">
      <c r="C1410" s="136"/>
      <c r="D1410" s="136"/>
      <c r="F1410" s="15"/>
      <c r="G1410" s="138"/>
      <c r="H1410" s="138"/>
      <c r="I1410" s="126"/>
      <c r="J1410" s="15"/>
      <c r="K1410" s="15"/>
      <c r="L1410" s="20"/>
      <c r="M1410" s="20"/>
      <c r="N1410" s="126"/>
      <c r="O1410" s="126"/>
      <c r="P1410" s="126"/>
      <c r="Q1410" s="198"/>
      <c r="R1410" s="172"/>
      <c r="S1410" s="199"/>
      <c r="AE1410" s="143"/>
      <c r="AF1410" s="143"/>
      <c r="AG1410" s="143"/>
      <c r="AH1410" s="143"/>
      <c r="AI1410" s="143"/>
      <c r="AJ1410" s="143"/>
      <c r="AK1410" s="143"/>
      <c r="AL1410" s="143"/>
      <c r="AM1410" s="143"/>
      <c r="AN1410" s="143"/>
    </row>
    <row r="1411" s="100" customFormat="1" spans="3:40">
      <c r="C1411" s="136"/>
      <c r="D1411" s="136"/>
      <c r="F1411" s="15"/>
      <c r="G1411" s="138"/>
      <c r="H1411" s="138"/>
      <c r="I1411" s="126"/>
      <c r="J1411" s="15"/>
      <c r="K1411" s="15"/>
      <c r="L1411" s="20"/>
      <c r="M1411" s="20"/>
      <c r="N1411" s="126"/>
      <c r="O1411" s="126"/>
      <c r="P1411" s="126"/>
      <c r="Q1411" s="198"/>
      <c r="R1411" s="172"/>
      <c r="S1411" s="199"/>
      <c r="AE1411" s="143"/>
      <c r="AF1411" s="143"/>
      <c r="AG1411" s="143"/>
      <c r="AH1411" s="143"/>
      <c r="AI1411" s="143"/>
      <c r="AJ1411" s="143"/>
      <c r="AK1411" s="143"/>
      <c r="AL1411" s="143"/>
      <c r="AM1411" s="143"/>
      <c r="AN1411" s="143"/>
    </row>
    <row r="1412" s="100" customFormat="1" spans="3:40">
      <c r="C1412" s="136"/>
      <c r="D1412" s="136"/>
      <c r="F1412" s="15"/>
      <c r="G1412" s="138"/>
      <c r="H1412" s="138"/>
      <c r="I1412" s="126"/>
      <c r="J1412" s="15"/>
      <c r="K1412" s="15"/>
      <c r="L1412" s="20"/>
      <c r="M1412" s="20"/>
      <c r="N1412" s="126"/>
      <c r="O1412" s="126"/>
      <c r="P1412" s="126"/>
      <c r="Q1412" s="198"/>
      <c r="R1412" s="172"/>
      <c r="S1412" s="172"/>
      <c r="AE1412" s="143"/>
      <c r="AF1412" s="143"/>
      <c r="AG1412" s="143"/>
      <c r="AH1412" s="143"/>
      <c r="AI1412" s="143"/>
      <c r="AJ1412" s="143"/>
      <c r="AK1412" s="143"/>
      <c r="AL1412" s="143"/>
      <c r="AM1412" s="145"/>
      <c r="AN1412" s="143"/>
    </row>
    <row r="1413" s="100" customFormat="1" spans="3:40">
      <c r="C1413" s="136"/>
      <c r="D1413" s="136"/>
      <c r="F1413" s="15"/>
      <c r="G1413" s="138"/>
      <c r="H1413" s="138"/>
      <c r="I1413" s="126"/>
      <c r="J1413" s="15"/>
      <c r="K1413" s="15"/>
      <c r="L1413" s="20"/>
      <c r="M1413" s="20"/>
      <c r="N1413" s="126"/>
      <c r="O1413" s="126"/>
      <c r="P1413" s="126"/>
      <c r="Q1413" s="198"/>
      <c r="R1413" s="172"/>
      <c r="S1413" s="172"/>
      <c r="AE1413" s="143"/>
      <c r="AF1413" s="143"/>
      <c r="AG1413" s="143"/>
      <c r="AH1413" s="143"/>
      <c r="AI1413" s="143"/>
      <c r="AJ1413" s="143"/>
      <c r="AK1413" s="143"/>
      <c r="AL1413" s="143"/>
      <c r="AM1413" s="145"/>
      <c r="AN1413" s="143"/>
    </row>
    <row r="1414" s="100" customFormat="1" spans="3:40">
      <c r="C1414" s="136"/>
      <c r="D1414" s="136"/>
      <c r="F1414" s="15"/>
      <c r="G1414" s="138"/>
      <c r="H1414" s="138"/>
      <c r="I1414" s="126"/>
      <c r="J1414" s="15"/>
      <c r="K1414" s="15"/>
      <c r="L1414" s="20"/>
      <c r="M1414" s="20"/>
      <c r="N1414" s="126"/>
      <c r="O1414" s="126"/>
      <c r="P1414" s="126"/>
      <c r="Q1414" s="198"/>
      <c r="R1414" s="172"/>
      <c r="S1414" s="199"/>
      <c r="AE1414" s="143"/>
      <c r="AF1414" s="143"/>
      <c r="AG1414" s="143"/>
      <c r="AH1414" s="143"/>
      <c r="AI1414" s="143"/>
      <c r="AJ1414" s="143"/>
      <c r="AK1414" s="143"/>
      <c r="AL1414" s="143"/>
      <c r="AM1414" s="143"/>
      <c r="AN1414" s="143"/>
    </row>
    <row r="1415" s="100" customFormat="1" spans="3:40">
      <c r="C1415" s="136"/>
      <c r="D1415" s="136"/>
      <c r="F1415" s="15"/>
      <c r="G1415" s="138"/>
      <c r="H1415" s="138"/>
      <c r="I1415" s="126"/>
      <c r="J1415" s="15"/>
      <c r="K1415" s="15"/>
      <c r="L1415" s="20"/>
      <c r="M1415" s="20"/>
      <c r="N1415" s="126"/>
      <c r="O1415" s="126"/>
      <c r="P1415" s="126"/>
      <c r="Q1415" s="198"/>
      <c r="R1415" s="172"/>
      <c r="S1415" s="199"/>
      <c r="AE1415" s="143"/>
      <c r="AF1415" s="143"/>
      <c r="AG1415" s="143"/>
      <c r="AH1415" s="143"/>
      <c r="AI1415" s="143"/>
      <c r="AJ1415" s="143"/>
      <c r="AK1415" s="143"/>
      <c r="AL1415" s="143"/>
      <c r="AM1415" s="143"/>
      <c r="AN1415" s="143"/>
    </row>
    <row r="1416" s="100" customFormat="1" spans="3:40">
      <c r="C1416" s="136"/>
      <c r="D1416" s="136"/>
      <c r="F1416" s="15"/>
      <c r="G1416" s="138"/>
      <c r="H1416" s="138"/>
      <c r="I1416" s="126"/>
      <c r="J1416" s="15"/>
      <c r="K1416" s="15"/>
      <c r="L1416" s="20"/>
      <c r="M1416" s="20"/>
      <c r="N1416" s="126"/>
      <c r="O1416" s="126"/>
      <c r="P1416" s="126"/>
      <c r="Q1416" s="198"/>
      <c r="R1416" s="172"/>
      <c r="S1416" s="172"/>
      <c r="AE1416" s="143"/>
      <c r="AF1416" s="143"/>
      <c r="AG1416" s="143"/>
      <c r="AH1416" s="143"/>
      <c r="AI1416" s="143"/>
      <c r="AJ1416" s="143"/>
      <c r="AK1416" s="143"/>
      <c r="AL1416" s="143"/>
      <c r="AM1416" s="143"/>
      <c r="AN1416" s="143"/>
    </row>
    <row r="1417" s="100" customFormat="1" spans="3:40">
      <c r="C1417" s="136"/>
      <c r="D1417" s="136"/>
      <c r="F1417" s="15"/>
      <c r="G1417" s="138"/>
      <c r="H1417" s="138"/>
      <c r="I1417" s="126"/>
      <c r="J1417" s="15"/>
      <c r="K1417" s="15"/>
      <c r="L1417" s="20"/>
      <c r="M1417" s="20"/>
      <c r="N1417" s="126"/>
      <c r="O1417" s="126"/>
      <c r="P1417" s="126"/>
      <c r="Q1417" s="198"/>
      <c r="R1417" s="172"/>
      <c r="S1417" s="172"/>
      <c r="AE1417" s="143"/>
      <c r="AF1417" s="143"/>
      <c r="AG1417" s="143"/>
      <c r="AH1417" s="143"/>
      <c r="AI1417" s="143"/>
      <c r="AJ1417" s="143"/>
      <c r="AK1417" s="143"/>
      <c r="AL1417" s="143"/>
      <c r="AM1417" s="143"/>
      <c r="AN1417" s="143"/>
    </row>
    <row r="1418" s="100" customFormat="1" spans="3:40">
      <c r="C1418" s="136"/>
      <c r="D1418" s="136"/>
      <c r="F1418" s="15"/>
      <c r="G1418" s="138"/>
      <c r="H1418" s="138"/>
      <c r="I1418" s="126"/>
      <c r="J1418" s="15"/>
      <c r="K1418" s="15"/>
      <c r="L1418" s="20"/>
      <c r="M1418" s="20"/>
      <c r="N1418" s="126"/>
      <c r="O1418" s="126"/>
      <c r="P1418" s="126"/>
      <c r="Q1418" s="198"/>
      <c r="R1418" s="172"/>
      <c r="S1418" s="19"/>
      <c r="AE1418" s="143"/>
      <c r="AF1418" s="143"/>
      <c r="AG1418" s="143"/>
      <c r="AH1418" s="143"/>
      <c r="AI1418" s="143"/>
      <c r="AJ1418" s="143"/>
      <c r="AK1418" s="143"/>
      <c r="AL1418" s="143"/>
      <c r="AM1418" s="143"/>
      <c r="AN1418" s="143"/>
    </row>
    <row r="1419" s="100" customFormat="1" spans="3:40">
      <c r="C1419" s="136"/>
      <c r="D1419" s="136"/>
      <c r="F1419" s="15"/>
      <c r="G1419" s="138"/>
      <c r="H1419" s="138"/>
      <c r="I1419" s="126"/>
      <c r="J1419" s="15"/>
      <c r="K1419" s="15"/>
      <c r="L1419" s="20"/>
      <c r="M1419" s="20"/>
      <c r="N1419" s="126"/>
      <c r="O1419" s="126"/>
      <c r="P1419" s="126"/>
      <c r="Q1419" s="198"/>
      <c r="R1419" s="172"/>
      <c r="S1419" s="199"/>
      <c r="AE1419" s="143"/>
      <c r="AF1419" s="143"/>
      <c r="AG1419" s="143"/>
      <c r="AH1419" s="143"/>
      <c r="AI1419" s="143"/>
      <c r="AJ1419" s="143"/>
      <c r="AK1419" s="143"/>
      <c r="AL1419" s="143"/>
      <c r="AM1419" s="143"/>
      <c r="AN1419" s="143"/>
    </row>
    <row r="1420" s="100" customFormat="1" spans="3:40">
      <c r="C1420" s="136"/>
      <c r="D1420" s="136"/>
      <c r="F1420" s="15"/>
      <c r="G1420" s="138"/>
      <c r="H1420" s="138"/>
      <c r="I1420" s="126"/>
      <c r="J1420" s="15"/>
      <c r="K1420" s="15"/>
      <c r="L1420" s="20"/>
      <c r="M1420" s="20"/>
      <c r="N1420" s="126"/>
      <c r="O1420" s="126"/>
      <c r="P1420" s="126"/>
      <c r="Q1420" s="198"/>
      <c r="R1420" s="172"/>
      <c r="S1420" s="19"/>
      <c r="AE1420" s="143"/>
      <c r="AF1420" s="143"/>
      <c r="AG1420" s="143"/>
      <c r="AH1420" s="143"/>
      <c r="AI1420" s="143"/>
      <c r="AJ1420" s="143"/>
      <c r="AK1420" s="143"/>
      <c r="AL1420" s="143"/>
      <c r="AM1420" s="145"/>
      <c r="AN1420" s="143"/>
    </row>
    <row r="1421" s="100" customFormat="1" spans="3:40">
      <c r="C1421" s="136"/>
      <c r="D1421" s="136"/>
      <c r="F1421" s="15"/>
      <c r="G1421" s="138"/>
      <c r="H1421" s="138"/>
      <c r="I1421" s="126"/>
      <c r="J1421" s="15"/>
      <c r="K1421" s="15"/>
      <c r="L1421" s="20"/>
      <c r="M1421" s="20"/>
      <c r="N1421" s="126"/>
      <c r="O1421" s="126"/>
      <c r="P1421" s="126"/>
      <c r="Q1421" s="198"/>
      <c r="R1421" s="172"/>
      <c r="S1421" s="19"/>
      <c r="AE1421" s="143"/>
      <c r="AF1421" s="143"/>
      <c r="AG1421" s="143"/>
      <c r="AH1421" s="143"/>
      <c r="AI1421" s="143"/>
      <c r="AJ1421" s="143"/>
      <c r="AK1421" s="143"/>
      <c r="AL1421" s="143"/>
      <c r="AM1421" s="145"/>
      <c r="AN1421" s="143"/>
    </row>
    <row r="1422" s="100" customFormat="1" spans="3:40">
      <c r="C1422" s="136"/>
      <c r="D1422" s="136"/>
      <c r="F1422" s="15"/>
      <c r="G1422" s="138"/>
      <c r="H1422" s="138"/>
      <c r="I1422" s="126"/>
      <c r="J1422" s="15"/>
      <c r="K1422" s="15"/>
      <c r="L1422" s="20"/>
      <c r="M1422" s="20"/>
      <c r="N1422" s="126"/>
      <c r="O1422" s="126"/>
      <c r="P1422" s="126"/>
      <c r="Q1422" s="198"/>
      <c r="R1422" s="172"/>
      <c r="S1422" s="199"/>
      <c r="AE1422" s="143"/>
      <c r="AF1422" s="143"/>
      <c r="AG1422" s="143"/>
      <c r="AH1422" s="143"/>
      <c r="AI1422" s="143"/>
      <c r="AJ1422" s="143"/>
      <c r="AK1422" s="143"/>
      <c r="AL1422" s="143"/>
      <c r="AM1422" s="145"/>
      <c r="AN1422" s="143"/>
    </row>
    <row r="1423" s="100" customFormat="1" spans="3:40">
      <c r="C1423" s="136"/>
      <c r="D1423" s="136"/>
      <c r="F1423" s="15"/>
      <c r="G1423" s="138"/>
      <c r="H1423" s="138"/>
      <c r="I1423" s="126"/>
      <c r="J1423" s="15"/>
      <c r="K1423" s="15"/>
      <c r="L1423" s="20"/>
      <c r="M1423" s="20"/>
      <c r="N1423" s="126"/>
      <c r="O1423" s="126"/>
      <c r="P1423" s="126"/>
      <c r="Q1423" s="198"/>
      <c r="R1423" s="172"/>
      <c r="S1423" s="172"/>
      <c r="AE1423" s="143"/>
      <c r="AF1423" s="143"/>
      <c r="AG1423" s="143"/>
      <c r="AH1423" s="143"/>
      <c r="AI1423" s="143"/>
      <c r="AJ1423" s="143"/>
      <c r="AK1423" s="143"/>
      <c r="AL1423" s="143"/>
      <c r="AM1423" s="143"/>
      <c r="AN1423" s="143"/>
    </row>
    <row r="1424" s="100" customFormat="1" spans="3:40">
      <c r="C1424" s="136"/>
      <c r="D1424" s="136"/>
      <c r="F1424" s="15"/>
      <c r="G1424" s="138"/>
      <c r="H1424" s="138"/>
      <c r="I1424" s="126"/>
      <c r="J1424" s="15"/>
      <c r="K1424" s="15"/>
      <c r="L1424" s="20"/>
      <c r="M1424" s="20"/>
      <c r="N1424" s="126"/>
      <c r="O1424" s="126"/>
      <c r="P1424" s="126"/>
      <c r="Q1424" s="198"/>
      <c r="R1424" s="172"/>
      <c r="S1424" s="199"/>
      <c r="AE1424" s="143"/>
      <c r="AF1424" s="143"/>
      <c r="AG1424" s="143"/>
      <c r="AH1424" s="143"/>
      <c r="AI1424" s="143"/>
      <c r="AJ1424" s="143"/>
      <c r="AK1424" s="143"/>
      <c r="AL1424" s="143"/>
      <c r="AM1424" s="145"/>
      <c r="AN1424" s="143"/>
    </row>
    <row r="1425" s="100" customFormat="1" spans="3:40">
      <c r="C1425" s="136"/>
      <c r="D1425" s="136"/>
      <c r="F1425" s="15"/>
      <c r="G1425" s="138"/>
      <c r="H1425" s="138"/>
      <c r="I1425" s="126"/>
      <c r="J1425" s="15"/>
      <c r="K1425" s="15"/>
      <c r="L1425" s="20"/>
      <c r="M1425" s="20"/>
      <c r="N1425" s="126"/>
      <c r="O1425" s="126"/>
      <c r="P1425" s="126"/>
      <c r="Q1425" s="198"/>
      <c r="R1425" s="172"/>
      <c r="S1425" s="199"/>
      <c r="AE1425" s="143"/>
      <c r="AF1425" s="143"/>
      <c r="AG1425" s="143"/>
      <c r="AH1425" s="143"/>
      <c r="AI1425" s="143"/>
      <c r="AJ1425" s="143"/>
      <c r="AK1425" s="143"/>
      <c r="AL1425" s="143"/>
      <c r="AM1425" s="143"/>
      <c r="AN1425" s="143"/>
    </row>
    <row r="1426" s="100" customFormat="1" spans="3:40">
      <c r="C1426" s="136"/>
      <c r="D1426" s="136"/>
      <c r="F1426" s="15"/>
      <c r="G1426" s="138"/>
      <c r="H1426" s="138"/>
      <c r="I1426" s="126"/>
      <c r="J1426" s="15"/>
      <c r="K1426" s="15"/>
      <c r="L1426" s="20"/>
      <c r="M1426" s="20"/>
      <c r="N1426" s="126"/>
      <c r="O1426" s="126"/>
      <c r="P1426" s="126"/>
      <c r="Q1426" s="198"/>
      <c r="R1426" s="172"/>
      <c r="S1426" s="199"/>
      <c r="AE1426" s="143"/>
      <c r="AF1426" s="143"/>
      <c r="AG1426" s="143"/>
      <c r="AH1426" s="143"/>
      <c r="AI1426" s="143"/>
      <c r="AJ1426" s="143"/>
      <c r="AK1426" s="143"/>
      <c r="AL1426" s="143"/>
      <c r="AM1426" s="143"/>
      <c r="AN1426" s="143"/>
    </row>
    <row r="1427" s="100" customFormat="1" spans="3:40">
      <c r="C1427" s="136"/>
      <c r="D1427" s="136"/>
      <c r="F1427" s="15"/>
      <c r="G1427" s="138"/>
      <c r="H1427" s="138"/>
      <c r="I1427" s="126"/>
      <c r="J1427" s="15"/>
      <c r="K1427" s="15"/>
      <c r="L1427" s="20"/>
      <c r="M1427" s="20"/>
      <c r="N1427" s="126"/>
      <c r="O1427" s="126"/>
      <c r="P1427" s="126"/>
      <c r="Q1427" s="198"/>
      <c r="R1427" s="172"/>
      <c r="S1427" s="199"/>
      <c r="AE1427" s="143"/>
      <c r="AF1427" s="143"/>
      <c r="AG1427" s="143"/>
      <c r="AH1427" s="143"/>
      <c r="AI1427" s="143"/>
      <c r="AJ1427" s="143"/>
      <c r="AK1427" s="143"/>
      <c r="AL1427" s="143"/>
      <c r="AM1427" s="143"/>
      <c r="AN1427" s="143"/>
    </row>
    <row r="1428" s="100" customFormat="1" spans="3:40">
      <c r="C1428" s="136"/>
      <c r="D1428" s="136"/>
      <c r="F1428" s="15"/>
      <c r="G1428" s="138"/>
      <c r="H1428" s="138"/>
      <c r="I1428" s="126"/>
      <c r="J1428" s="15"/>
      <c r="K1428" s="15"/>
      <c r="L1428" s="20"/>
      <c r="M1428" s="20"/>
      <c r="N1428" s="126"/>
      <c r="O1428" s="126"/>
      <c r="P1428" s="126"/>
      <c r="Q1428" s="198"/>
      <c r="R1428" s="172"/>
      <c r="S1428" s="199"/>
      <c r="AE1428" s="143"/>
      <c r="AF1428" s="143"/>
      <c r="AG1428" s="143"/>
      <c r="AH1428" s="143"/>
      <c r="AI1428" s="143"/>
      <c r="AJ1428" s="143"/>
      <c r="AK1428" s="143"/>
      <c r="AL1428" s="143"/>
      <c r="AM1428" s="143"/>
      <c r="AN1428" s="143"/>
    </row>
    <row r="1429" s="100" customFormat="1" spans="3:40">
      <c r="C1429" s="136"/>
      <c r="D1429" s="136"/>
      <c r="F1429" s="15"/>
      <c r="G1429" s="138"/>
      <c r="H1429" s="138"/>
      <c r="I1429" s="126"/>
      <c r="J1429" s="15"/>
      <c r="K1429" s="15"/>
      <c r="L1429" s="20"/>
      <c r="M1429" s="20"/>
      <c r="N1429" s="126"/>
      <c r="O1429" s="126"/>
      <c r="P1429" s="126"/>
      <c r="Q1429" s="198"/>
      <c r="R1429" s="172"/>
      <c r="S1429" s="199"/>
      <c r="AE1429" s="143"/>
      <c r="AF1429" s="143"/>
      <c r="AG1429" s="143"/>
      <c r="AH1429" s="143"/>
      <c r="AI1429" s="143"/>
      <c r="AJ1429" s="143"/>
      <c r="AK1429" s="143"/>
      <c r="AL1429" s="143"/>
      <c r="AM1429" s="143"/>
      <c r="AN1429" s="143"/>
    </row>
    <row r="1430" s="100" customFormat="1" spans="3:40">
      <c r="C1430" s="136"/>
      <c r="D1430" s="136"/>
      <c r="F1430" s="15"/>
      <c r="G1430" s="138"/>
      <c r="H1430" s="138"/>
      <c r="I1430" s="126"/>
      <c r="J1430" s="15"/>
      <c r="K1430" s="15"/>
      <c r="L1430" s="20"/>
      <c r="M1430" s="20"/>
      <c r="N1430" s="126"/>
      <c r="O1430" s="126"/>
      <c r="P1430" s="126"/>
      <c r="Q1430" s="198"/>
      <c r="R1430" s="172"/>
      <c r="S1430" s="199"/>
      <c r="AE1430" s="143"/>
      <c r="AF1430" s="143"/>
      <c r="AG1430" s="143"/>
      <c r="AH1430" s="143"/>
      <c r="AI1430" s="143"/>
      <c r="AJ1430" s="143"/>
      <c r="AK1430" s="143"/>
      <c r="AL1430" s="143"/>
      <c r="AM1430" s="145"/>
      <c r="AN1430" s="143"/>
    </row>
    <row r="1431" s="100" customFormat="1" spans="3:40">
      <c r="C1431" s="136"/>
      <c r="D1431" s="136"/>
      <c r="F1431" s="15"/>
      <c r="G1431" s="138"/>
      <c r="H1431" s="138"/>
      <c r="I1431" s="126"/>
      <c r="J1431" s="15"/>
      <c r="K1431" s="15"/>
      <c r="L1431" s="20"/>
      <c r="M1431" s="20"/>
      <c r="N1431" s="126"/>
      <c r="O1431" s="126"/>
      <c r="P1431" s="126"/>
      <c r="Q1431" s="198"/>
      <c r="R1431" s="172"/>
      <c r="S1431" s="199"/>
      <c r="AE1431" s="143"/>
      <c r="AF1431" s="143"/>
      <c r="AG1431" s="143"/>
      <c r="AH1431" s="143"/>
      <c r="AI1431" s="143"/>
      <c r="AJ1431" s="143"/>
      <c r="AK1431" s="143"/>
      <c r="AL1431" s="143"/>
      <c r="AM1431" s="145"/>
      <c r="AN1431" s="143"/>
    </row>
    <row r="1432" s="100" customFormat="1" spans="3:40">
      <c r="C1432" s="136"/>
      <c r="D1432" s="136"/>
      <c r="F1432" s="15"/>
      <c r="G1432" s="138"/>
      <c r="H1432" s="138"/>
      <c r="I1432" s="126"/>
      <c r="J1432" s="15"/>
      <c r="K1432" s="15"/>
      <c r="L1432" s="20"/>
      <c r="M1432" s="20"/>
      <c r="N1432" s="126"/>
      <c r="O1432" s="126"/>
      <c r="P1432" s="126"/>
      <c r="Q1432" s="198"/>
      <c r="R1432" s="172"/>
      <c r="S1432" s="199"/>
      <c r="AE1432" s="143"/>
      <c r="AF1432" s="143"/>
      <c r="AG1432" s="143"/>
      <c r="AH1432" s="143"/>
      <c r="AI1432" s="143"/>
      <c r="AJ1432" s="143"/>
      <c r="AK1432" s="143"/>
      <c r="AL1432" s="143"/>
      <c r="AM1432" s="145"/>
      <c r="AN1432" s="143"/>
    </row>
    <row r="1433" s="100" customFormat="1" spans="3:40">
      <c r="C1433" s="136"/>
      <c r="D1433" s="136"/>
      <c r="F1433" s="15"/>
      <c r="G1433" s="138"/>
      <c r="H1433" s="138"/>
      <c r="I1433" s="126"/>
      <c r="J1433" s="15"/>
      <c r="K1433" s="15"/>
      <c r="L1433" s="20"/>
      <c r="M1433" s="20"/>
      <c r="N1433" s="126"/>
      <c r="O1433" s="126"/>
      <c r="P1433" s="126"/>
      <c r="Q1433" s="198"/>
      <c r="R1433" s="172"/>
      <c r="S1433" s="199"/>
      <c r="AE1433" s="143"/>
      <c r="AF1433" s="143"/>
      <c r="AG1433" s="143"/>
      <c r="AH1433" s="143"/>
      <c r="AI1433" s="143"/>
      <c r="AJ1433" s="143"/>
      <c r="AK1433" s="143"/>
      <c r="AL1433" s="143"/>
      <c r="AM1433" s="145"/>
      <c r="AN1433" s="143"/>
    </row>
    <row r="1434" s="100" customFormat="1" spans="3:40">
      <c r="C1434" s="136"/>
      <c r="D1434" s="136"/>
      <c r="F1434" s="15"/>
      <c r="G1434" s="138"/>
      <c r="H1434" s="138"/>
      <c r="I1434" s="126"/>
      <c r="J1434" s="15"/>
      <c r="K1434" s="15"/>
      <c r="L1434" s="20"/>
      <c r="M1434" s="20"/>
      <c r="N1434" s="126"/>
      <c r="O1434" s="126"/>
      <c r="P1434" s="126"/>
      <c r="Q1434" s="198"/>
      <c r="R1434" s="172"/>
      <c r="S1434" s="199"/>
      <c r="AE1434" s="143"/>
      <c r="AF1434" s="143"/>
      <c r="AG1434" s="143"/>
      <c r="AH1434" s="143"/>
      <c r="AI1434" s="143"/>
      <c r="AJ1434" s="143"/>
      <c r="AK1434" s="143"/>
      <c r="AL1434" s="143"/>
      <c r="AM1434" s="145"/>
      <c r="AN1434" s="143"/>
    </row>
    <row r="1435" s="100" customFormat="1" spans="3:40">
      <c r="C1435" s="136"/>
      <c r="D1435" s="136"/>
      <c r="F1435" s="15"/>
      <c r="G1435" s="138"/>
      <c r="H1435" s="138"/>
      <c r="I1435" s="126"/>
      <c r="J1435" s="15"/>
      <c r="K1435" s="15"/>
      <c r="L1435" s="20"/>
      <c r="M1435" s="20"/>
      <c r="N1435" s="126"/>
      <c r="O1435" s="126"/>
      <c r="P1435" s="126"/>
      <c r="Q1435" s="198"/>
      <c r="R1435" s="172"/>
      <c r="S1435" s="172"/>
      <c r="AE1435" s="143"/>
      <c r="AF1435" s="143"/>
      <c r="AG1435" s="143"/>
      <c r="AH1435" s="143"/>
      <c r="AI1435" s="143"/>
      <c r="AJ1435" s="143"/>
      <c r="AK1435" s="143"/>
      <c r="AL1435" s="143"/>
      <c r="AM1435" s="143"/>
      <c r="AN1435" s="143"/>
    </row>
    <row r="1436" s="100" customFormat="1" spans="3:40">
      <c r="C1436" s="136"/>
      <c r="D1436" s="136"/>
      <c r="F1436" s="15"/>
      <c r="G1436" s="138"/>
      <c r="H1436" s="138"/>
      <c r="I1436" s="126"/>
      <c r="J1436" s="15"/>
      <c r="K1436" s="15"/>
      <c r="L1436" s="20"/>
      <c r="M1436" s="20"/>
      <c r="N1436" s="126"/>
      <c r="O1436" s="126"/>
      <c r="P1436" s="126"/>
      <c r="Q1436" s="198"/>
      <c r="R1436" s="172"/>
      <c r="S1436" s="199"/>
      <c r="AE1436" s="143"/>
      <c r="AF1436" s="143"/>
      <c r="AG1436" s="143"/>
      <c r="AH1436" s="143"/>
      <c r="AI1436" s="143"/>
      <c r="AJ1436" s="143"/>
      <c r="AK1436" s="143"/>
      <c r="AL1436" s="143"/>
      <c r="AM1436" s="145"/>
      <c r="AN1436" s="143"/>
    </row>
    <row r="1437" s="100" customFormat="1" spans="3:40">
      <c r="C1437" s="136"/>
      <c r="D1437" s="136"/>
      <c r="F1437" s="15"/>
      <c r="G1437" s="138"/>
      <c r="H1437" s="138"/>
      <c r="I1437" s="126"/>
      <c r="J1437" s="15"/>
      <c r="K1437" s="15"/>
      <c r="L1437" s="20"/>
      <c r="M1437" s="20"/>
      <c r="N1437" s="126"/>
      <c r="O1437" s="126"/>
      <c r="P1437" s="126"/>
      <c r="Q1437" s="198"/>
      <c r="R1437" s="172"/>
      <c r="S1437" s="199"/>
      <c r="AE1437" s="143"/>
      <c r="AF1437" s="143"/>
      <c r="AG1437" s="143"/>
      <c r="AH1437" s="143"/>
      <c r="AI1437" s="143"/>
      <c r="AJ1437" s="143"/>
      <c r="AK1437" s="143"/>
      <c r="AL1437" s="143"/>
      <c r="AM1437" s="145"/>
      <c r="AN1437" s="143"/>
    </row>
    <row r="1438" s="100" customFormat="1" spans="3:40">
      <c r="C1438" s="136"/>
      <c r="D1438" s="136"/>
      <c r="F1438" s="15"/>
      <c r="G1438" s="138"/>
      <c r="H1438" s="138"/>
      <c r="I1438" s="126"/>
      <c r="J1438" s="15"/>
      <c r="K1438" s="15"/>
      <c r="L1438" s="20"/>
      <c r="M1438" s="20"/>
      <c r="N1438" s="126"/>
      <c r="O1438" s="126"/>
      <c r="P1438" s="126"/>
      <c r="Q1438" s="198"/>
      <c r="R1438" s="172"/>
      <c r="S1438" s="199"/>
      <c r="AE1438" s="143"/>
      <c r="AF1438" s="143"/>
      <c r="AG1438" s="143"/>
      <c r="AH1438" s="143"/>
      <c r="AI1438" s="143"/>
      <c r="AJ1438" s="143"/>
      <c r="AK1438" s="143"/>
      <c r="AL1438" s="143"/>
      <c r="AM1438" s="145"/>
      <c r="AN1438" s="143"/>
    </row>
    <row r="1439" s="100" customFormat="1" spans="3:40">
      <c r="C1439" s="136"/>
      <c r="D1439" s="136"/>
      <c r="F1439" s="15"/>
      <c r="G1439" s="138"/>
      <c r="H1439" s="138"/>
      <c r="I1439" s="126"/>
      <c r="J1439" s="15"/>
      <c r="K1439" s="15"/>
      <c r="L1439" s="20"/>
      <c r="M1439" s="20"/>
      <c r="N1439" s="126"/>
      <c r="O1439" s="126"/>
      <c r="P1439" s="126"/>
      <c r="Q1439" s="198"/>
      <c r="R1439" s="172"/>
      <c r="S1439" s="199"/>
      <c r="AE1439" s="143"/>
      <c r="AF1439" s="143"/>
      <c r="AG1439" s="143"/>
      <c r="AH1439" s="143"/>
      <c r="AI1439" s="143"/>
      <c r="AJ1439" s="143"/>
      <c r="AK1439" s="143"/>
      <c r="AL1439" s="143"/>
      <c r="AM1439" s="143"/>
      <c r="AN1439" s="143"/>
    </row>
    <row r="1440" s="100" customFormat="1" spans="3:40">
      <c r="C1440" s="136"/>
      <c r="D1440" s="136"/>
      <c r="F1440" s="15"/>
      <c r="G1440" s="138"/>
      <c r="H1440" s="138"/>
      <c r="I1440" s="126"/>
      <c r="J1440" s="15"/>
      <c r="K1440" s="15"/>
      <c r="L1440" s="20"/>
      <c r="M1440" s="20"/>
      <c r="N1440" s="126"/>
      <c r="O1440" s="126"/>
      <c r="P1440" s="126"/>
      <c r="Q1440" s="198"/>
      <c r="R1440" s="172"/>
      <c r="S1440" s="199"/>
      <c r="AE1440" s="143"/>
      <c r="AF1440" s="143"/>
      <c r="AG1440" s="143"/>
      <c r="AH1440" s="143"/>
      <c r="AI1440" s="143"/>
      <c r="AJ1440" s="143"/>
      <c r="AK1440" s="143"/>
      <c r="AL1440" s="143"/>
      <c r="AM1440" s="143"/>
      <c r="AN1440" s="143"/>
    </row>
    <row r="1441" s="100" customFormat="1" spans="3:40">
      <c r="C1441" s="136"/>
      <c r="D1441" s="136"/>
      <c r="F1441" s="15"/>
      <c r="G1441" s="138"/>
      <c r="H1441" s="138"/>
      <c r="I1441" s="126"/>
      <c r="J1441" s="15"/>
      <c r="K1441" s="15"/>
      <c r="L1441" s="20"/>
      <c r="M1441" s="20"/>
      <c r="N1441" s="126"/>
      <c r="O1441" s="126"/>
      <c r="P1441" s="126"/>
      <c r="Q1441" s="198"/>
      <c r="R1441" s="172"/>
      <c r="S1441" s="199"/>
      <c r="AE1441" s="143"/>
      <c r="AF1441" s="143"/>
      <c r="AG1441" s="143"/>
      <c r="AH1441" s="143"/>
      <c r="AI1441" s="143"/>
      <c r="AJ1441" s="143"/>
      <c r="AK1441" s="143"/>
      <c r="AL1441" s="143"/>
      <c r="AM1441" s="143"/>
      <c r="AN1441" s="143"/>
    </row>
    <row r="1442" s="100" customFormat="1" spans="3:40">
      <c r="C1442" s="136"/>
      <c r="D1442" s="136"/>
      <c r="F1442" s="15"/>
      <c r="G1442" s="138"/>
      <c r="H1442" s="138"/>
      <c r="I1442" s="126"/>
      <c r="J1442" s="15"/>
      <c r="K1442" s="15"/>
      <c r="L1442" s="20"/>
      <c r="M1442" s="20"/>
      <c r="N1442" s="126"/>
      <c r="O1442" s="126"/>
      <c r="P1442" s="126"/>
      <c r="Q1442" s="198"/>
      <c r="R1442" s="172"/>
      <c r="S1442" s="199"/>
      <c r="AE1442" s="143"/>
      <c r="AF1442" s="143"/>
      <c r="AG1442" s="143"/>
      <c r="AH1442" s="143"/>
      <c r="AI1442" s="143"/>
      <c r="AJ1442" s="143"/>
      <c r="AK1442" s="143"/>
      <c r="AL1442" s="143"/>
      <c r="AM1442" s="143"/>
      <c r="AN1442" s="143"/>
    </row>
    <row r="1443" s="100" customFormat="1" spans="3:40">
      <c r="C1443" s="136"/>
      <c r="D1443" s="136"/>
      <c r="F1443" s="15"/>
      <c r="G1443" s="138"/>
      <c r="H1443" s="138"/>
      <c r="I1443" s="126"/>
      <c r="J1443" s="15"/>
      <c r="K1443" s="15"/>
      <c r="L1443" s="20"/>
      <c r="M1443" s="20"/>
      <c r="N1443" s="126"/>
      <c r="O1443" s="126"/>
      <c r="P1443" s="126"/>
      <c r="Q1443" s="198"/>
      <c r="R1443" s="172"/>
      <c r="S1443" s="199"/>
      <c r="AE1443" s="143"/>
      <c r="AF1443" s="143"/>
      <c r="AG1443" s="143"/>
      <c r="AH1443" s="143"/>
      <c r="AI1443" s="143"/>
      <c r="AJ1443" s="143"/>
      <c r="AK1443" s="143"/>
      <c r="AL1443" s="143"/>
      <c r="AM1443" s="143"/>
      <c r="AN1443" s="143"/>
    </row>
    <row r="1444" s="100" customFormat="1" spans="3:40">
      <c r="C1444" s="136"/>
      <c r="D1444" s="136"/>
      <c r="F1444" s="15"/>
      <c r="G1444" s="138"/>
      <c r="H1444" s="138"/>
      <c r="I1444" s="126"/>
      <c r="J1444" s="15"/>
      <c r="K1444" s="15"/>
      <c r="L1444" s="20"/>
      <c r="M1444" s="20"/>
      <c r="N1444" s="126"/>
      <c r="O1444" s="126"/>
      <c r="P1444" s="126"/>
      <c r="Q1444" s="198"/>
      <c r="R1444" s="172"/>
      <c r="S1444" s="199"/>
      <c r="AE1444" s="143"/>
      <c r="AF1444" s="143"/>
      <c r="AG1444" s="143"/>
      <c r="AH1444" s="143"/>
      <c r="AI1444" s="143"/>
      <c r="AJ1444" s="143"/>
      <c r="AK1444" s="143"/>
      <c r="AL1444" s="143"/>
      <c r="AM1444" s="143"/>
      <c r="AN1444" s="143"/>
    </row>
    <row r="1445" s="100" customFormat="1" spans="3:40">
      <c r="C1445" s="136"/>
      <c r="D1445" s="136"/>
      <c r="F1445" s="15"/>
      <c r="G1445" s="138"/>
      <c r="H1445" s="138"/>
      <c r="I1445" s="126"/>
      <c r="J1445" s="15"/>
      <c r="K1445" s="15"/>
      <c r="L1445" s="20"/>
      <c r="M1445" s="20"/>
      <c r="N1445" s="126"/>
      <c r="O1445" s="126"/>
      <c r="P1445" s="126"/>
      <c r="Q1445" s="198"/>
      <c r="R1445" s="172"/>
      <c r="S1445" s="172"/>
      <c r="AE1445" s="143"/>
      <c r="AF1445" s="143"/>
      <c r="AG1445" s="143"/>
      <c r="AH1445" s="143"/>
      <c r="AI1445" s="143"/>
      <c r="AJ1445" s="143"/>
      <c r="AK1445" s="143"/>
      <c r="AL1445" s="143"/>
      <c r="AM1445" s="143"/>
      <c r="AN1445" s="143"/>
    </row>
    <row r="1446" s="100" customFormat="1" spans="3:40">
      <c r="C1446" s="136"/>
      <c r="D1446" s="136"/>
      <c r="F1446" s="15"/>
      <c r="G1446" s="138"/>
      <c r="H1446" s="138"/>
      <c r="I1446" s="126"/>
      <c r="J1446" s="15"/>
      <c r="K1446" s="15"/>
      <c r="L1446" s="20"/>
      <c r="M1446" s="20"/>
      <c r="N1446" s="126"/>
      <c r="O1446" s="126"/>
      <c r="P1446" s="126"/>
      <c r="Q1446" s="198"/>
      <c r="R1446" s="172"/>
      <c r="S1446" s="172"/>
      <c r="AE1446" s="143"/>
      <c r="AF1446" s="143"/>
      <c r="AG1446" s="143"/>
      <c r="AH1446" s="143"/>
      <c r="AI1446" s="143"/>
      <c r="AJ1446" s="143"/>
      <c r="AK1446" s="143"/>
      <c r="AL1446" s="143"/>
      <c r="AM1446" s="145"/>
      <c r="AN1446" s="143"/>
    </row>
    <row r="1447" s="100" customFormat="1" spans="3:40">
      <c r="C1447" s="136"/>
      <c r="D1447" s="136"/>
      <c r="F1447" s="15"/>
      <c r="G1447" s="138"/>
      <c r="H1447" s="138"/>
      <c r="I1447" s="126"/>
      <c r="J1447" s="15"/>
      <c r="K1447" s="15"/>
      <c r="L1447" s="20"/>
      <c r="M1447" s="20"/>
      <c r="N1447" s="126"/>
      <c r="O1447" s="126"/>
      <c r="P1447" s="126"/>
      <c r="Q1447" s="198"/>
      <c r="R1447" s="172"/>
      <c r="S1447" s="199"/>
      <c r="AE1447" s="143"/>
      <c r="AF1447" s="143"/>
      <c r="AG1447" s="143"/>
      <c r="AH1447" s="143"/>
      <c r="AI1447" s="143"/>
      <c r="AJ1447" s="143"/>
      <c r="AK1447" s="143"/>
      <c r="AL1447" s="143"/>
      <c r="AM1447" s="145"/>
      <c r="AN1447" s="143"/>
    </row>
    <row r="1448" s="100" customFormat="1" spans="3:40">
      <c r="C1448" s="136"/>
      <c r="D1448" s="136"/>
      <c r="F1448" s="15"/>
      <c r="G1448" s="138"/>
      <c r="H1448" s="138"/>
      <c r="I1448" s="126"/>
      <c r="J1448" s="15"/>
      <c r="K1448" s="15"/>
      <c r="L1448" s="20"/>
      <c r="M1448" s="20"/>
      <c r="N1448" s="126"/>
      <c r="O1448" s="126"/>
      <c r="P1448" s="126"/>
      <c r="Q1448" s="198"/>
      <c r="R1448" s="172"/>
      <c r="S1448" s="199"/>
      <c r="AE1448" s="143"/>
      <c r="AF1448" s="143"/>
      <c r="AG1448" s="143"/>
      <c r="AH1448" s="143"/>
      <c r="AI1448" s="143"/>
      <c r="AJ1448" s="143"/>
      <c r="AK1448" s="143"/>
      <c r="AL1448" s="143"/>
      <c r="AM1448" s="145"/>
      <c r="AN1448" s="143"/>
    </row>
    <row r="1449" s="100" customFormat="1" spans="3:40">
      <c r="C1449" s="136"/>
      <c r="D1449" s="136"/>
      <c r="F1449" s="15"/>
      <c r="G1449" s="138"/>
      <c r="H1449" s="138"/>
      <c r="I1449" s="126"/>
      <c r="J1449" s="15"/>
      <c r="K1449" s="15"/>
      <c r="L1449" s="20"/>
      <c r="M1449" s="20"/>
      <c r="N1449" s="126"/>
      <c r="O1449" s="126"/>
      <c r="P1449" s="126"/>
      <c r="Q1449" s="198"/>
      <c r="R1449" s="172"/>
      <c r="S1449" s="199"/>
      <c r="AE1449" s="143"/>
      <c r="AF1449" s="143"/>
      <c r="AG1449" s="143"/>
      <c r="AH1449" s="143"/>
      <c r="AI1449" s="143"/>
      <c r="AJ1449" s="143"/>
      <c r="AK1449" s="143"/>
      <c r="AL1449" s="143"/>
      <c r="AM1449" s="145"/>
      <c r="AN1449" s="143"/>
    </row>
    <row r="1450" s="100" customFormat="1" spans="3:40">
      <c r="C1450" s="136"/>
      <c r="D1450" s="136"/>
      <c r="F1450" s="15"/>
      <c r="G1450" s="138"/>
      <c r="H1450" s="138"/>
      <c r="I1450" s="126"/>
      <c r="J1450" s="15"/>
      <c r="K1450" s="15"/>
      <c r="L1450" s="20"/>
      <c r="M1450" s="20"/>
      <c r="N1450" s="126"/>
      <c r="O1450" s="126"/>
      <c r="P1450" s="126"/>
      <c r="Q1450" s="198"/>
      <c r="R1450" s="172"/>
      <c r="S1450" s="199"/>
      <c r="AE1450" s="143"/>
      <c r="AF1450" s="143"/>
      <c r="AG1450" s="143"/>
      <c r="AH1450" s="143"/>
      <c r="AI1450" s="143"/>
      <c r="AJ1450" s="143"/>
      <c r="AK1450" s="143"/>
      <c r="AL1450" s="143"/>
      <c r="AM1450" s="145"/>
      <c r="AN1450" s="143"/>
    </row>
    <row r="1451" s="100" customFormat="1" spans="3:40">
      <c r="C1451" s="136"/>
      <c r="D1451" s="136"/>
      <c r="F1451" s="15"/>
      <c r="G1451" s="138"/>
      <c r="H1451" s="138"/>
      <c r="I1451" s="126"/>
      <c r="J1451" s="15"/>
      <c r="K1451" s="15"/>
      <c r="L1451" s="20"/>
      <c r="M1451" s="20"/>
      <c r="N1451" s="126"/>
      <c r="O1451" s="126"/>
      <c r="P1451" s="126"/>
      <c r="Q1451" s="198"/>
      <c r="R1451" s="172"/>
      <c r="S1451" s="199"/>
      <c r="AE1451" s="143"/>
      <c r="AF1451" s="143"/>
      <c r="AG1451" s="143"/>
      <c r="AH1451" s="143"/>
      <c r="AI1451" s="143"/>
      <c r="AJ1451" s="143"/>
      <c r="AK1451" s="143"/>
      <c r="AL1451" s="143"/>
      <c r="AM1451" s="143"/>
      <c r="AN1451" s="143"/>
    </row>
    <row r="1452" s="100" customFormat="1" spans="3:40">
      <c r="C1452" s="136"/>
      <c r="D1452" s="136"/>
      <c r="F1452" s="15"/>
      <c r="G1452" s="138"/>
      <c r="H1452" s="138"/>
      <c r="I1452" s="126"/>
      <c r="J1452" s="15"/>
      <c r="K1452" s="15"/>
      <c r="L1452" s="20"/>
      <c r="M1452" s="20"/>
      <c r="N1452" s="126"/>
      <c r="O1452" s="126"/>
      <c r="P1452" s="126"/>
      <c r="Q1452" s="198"/>
      <c r="R1452" s="172"/>
      <c r="S1452" s="199"/>
      <c r="AE1452" s="143"/>
      <c r="AF1452" s="143"/>
      <c r="AG1452" s="143"/>
      <c r="AH1452" s="143"/>
      <c r="AI1452" s="143"/>
      <c r="AJ1452" s="143"/>
      <c r="AK1452" s="143"/>
      <c r="AL1452" s="143"/>
      <c r="AM1452" s="143"/>
      <c r="AN1452" s="143"/>
    </row>
    <row r="1453" s="100" customFormat="1" spans="3:40">
      <c r="C1453" s="136"/>
      <c r="D1453" s="136"/>
      <c r="F1453" s="15"/>
      <c r="G1453" s="138"/>
      <c r="H1453" s="138"/>
      <c r="I1453" s="126"/>
      <c r="J1453" s="15"/>
      <c r="K1453" s="15"/>
      <c r="L1453" s="20"/>
      <c r="M1453" s="20"/>
      <c r="N1453" s="126"/>
      <c r="O1453" s="126"/>
      <c r="P1453" s="126"/>
      <c r="Q1453" s="198"/>
      <c r="R1453" s="172"/>
      <c r="S1453" s="199"/>
      <c r="AE1453" s="143"/>
      <c r="AF1453" s="143"/>
      <c r="AG1453" s="143"/>
      <c r="AH1453" s="143"/>
      <c r="AI1453" s="143"/>
      <c r="AJ1453" s="143"/>
      <c r="AK1453" s="143"/>
      <c r="AL1453" s="143"/>
      <c r="AM1453" s="145"/>
      <c r="AN1453" s="143"/>
    </row>
    <row r="1454" s="100" customFormat="1" spans="3:40">
      <c r="C1454" s="136"/>
      <c r="D1454" s="136"/>
      <c r="F1454" s="15"/>
      <c r="G1454" s="138"/>
      <c r="H1454" s="138"/>
      <c r="I1454" s="126"/>
      <c r="J1454" s="15"/>
      <c r="K1454" s="15"/>
      <c r="L1454" s="20"/>
      <c r="M1454" s="20"/>
      <c r="N1454" s="126"/>
      <c r="O1454" s="126"/>
      <c r="P1454" s="126"/>
      <c r="Q1454" s="198"/>
      <c r="R1454" s="172"/>
      <c r="S1454" s="199"/>
      <c r="AE1454" s="143"/>
      <c r="AF1454" s="143"/>
      <c r="AG1454" s="143"/>
      <c r="AH1454" s="143"/>
      <c r="AI1454" s="143"/>
      <c r="AJ1454" s="143"/>
      <c r="AK1454" s="143"/>
      <c r="AL1454" s="143"/>
      <c r="AM1454" s="145"/>
      <c r="AN1454" s="143"/>
    </row>
    <row r="1455" s="100" customFormat="1" spans="3:40">
      <c r="C1455" s="136"/>
      <c r="D1455" s="136"/>
      <c r="F1455" s="15"/>
      <c r="G1455" s="138"/>
      <c r="H1455" s="138"/>
      <c r="I1455" s="126"/>
      <c r="J1455" s="15"/>
      <c r="K1455" s="15"/>
      <c r="L1455" s="20"/>
      <c r="M1455" s="20"/>
      <c r="N1455" s="126"/>
      <c r="O1455" s="126"/>
      <c r="P1455" s="126"/>
      <c r="Q1455" s="198"/>
      <c r="R1455" s="172"/>
      <c r="S1455" s="199"/>
      <c r="AE1455" s="143"/>
      <c r="AF1455" s="143"/>
      <c r="AG1455" s="143"/>
      <c r="AH1455" s="143"/>
      <c r="AI1455" s="143"/>
      <c r="AJ1455" s="143"/>
      <c r="AK1455" s="143"/>
      <c r="AL1455" s="143"/>
      <c r="AM1455" s="145"/>
      <c r="AN1455" s="143"/>
    </row>
    <row r="1456" s="100" customFormat="1" spans="3:40">
      <c r="C1456" s="136"/>
      <c r="D1456" s="136"/>
      <c r="F1456" s="15"/>
      <c r="G1456" s="138"/>
      <c r="H1456" s="138"/>
      <c r="I1456" s="126"/>
      <c r="J1456" s="15"/>
      <c r="K1456" s="15"/>
      <c r="L1456" s="20"/>
      <c r="M1456" s="20"/>
      <c r="N1456" s="126"/>
      <c r="O1456" s="126"/>
      <c r="P1456" s="126"/>
      <c r="Q1456" s="198"/>
      <c r="R1456" s="172"/>
      <c r="S1456" s="199"/>
      <c r="AE1456" s="143"/>
      <c r="AF1456" s="143"/>
      <c r="AG1456" s="143"/>
      <c r="AH1456" s="143"/>
      <c r="AI1456" s="143"/>
      <c r="AJ1456" s="143"/>
      <c r="AK1456" s="143"/>
      <c r="AL1456" s="143"/>
      <c r="AM1456" s="145"/>
      <c r="AN1456" s="143"/>
    </row>
    <row r="1457" s="100" customFormat="1" spans="3:40">
      <c r="C1457" s="136"/>
      <c r="D1457" s="136"/>
      <c r="F1457" s="15"/>
      <c r="G1457" s="138"/>
      <c r="H1457" s="138"/>
      <c r="I1457" s="126"/>
      <c r="J1457" s="15"/>
      <c r="K1457" s="15"/>
      <c r="L1457" s="20"/>
      <c r="M1457" s="20"/>
      <c r="N1457" s="126"/>
      <c r="O1457" s="126"/>
      <c r="P1457" s="126"/>
      <c r="Q1457" s="198"/>
      <c r="R1457" s="172"/>
      <c r="S1457" s="199"/>
      <c r="AE1457" s="143"/>
      <c r="AF1457" s="143"/>
      <c r="AG1457" s="143"/>
      <c r="AH1457" s="143"/>
      <c r="AI1457" s="143"/>
      <c r="AJ1457" s="143"/>
      <c r="AK1457" s="143"/>
      <c r="AL1457" s="143"/>
      <c r="AM1457" s="145"/>
      <c r="AN1457" s="143"/>
    </row>
    <row r="1458" s="100" customFormat="1" spans="3:40">
      <c r="C1458" s="136"/>
      <c r="D1458" s="136"/>
      <c r="F1458" s="15"/>
      <c r="G1458" s="138"/>
      <c r="H1458" s="138"/>
      <c r="I1458" s="126"/>
      <c r="J1458" s="15"/>
      <c r="K1458" s="15"/>
      <c r="L1458" s="20"/>
      <c r="M1458" s="20"/>
      <c r="N1458" s="126"/>
      <c r="O1458" s="126"/>
      <c r="P1458" s="126"/>
      <c r="Q1458" s="198"/>
      <c r="R1458" s="172"/>
      <c r="S1458" s="199"/>
      <c r="AE1458" s="143"/>
      <c r="AF1458" s="143"/>
      <c r="AG1458" s="143"/>
      <c r="AH1458" s="143"/>
      <c r="AI1458" s="143"/>
      <c r="AJ1458" s="143"/>
      <c r="AK1458" s="143"/>
      <c r="AL1458" s="143"/>
      <c r="AM1458" s="145"/>
      <c r="AN1458" s="143"/>
    </row>
    <row r="1459" s="100" customFormat="1" spans="3:40">
      <c r="C1459" s="136"/>
      <c r="D1459" s="136"/>
      <c r="F1459" s="15"/>
      <c r="G1459" s="138"/>
      <c r="H1459" s="138"/>
      <c r="I1459" s="126"/>
      <c r="J1459" s="15"/>
      <c r="K1459" s="15"/>
      <c r="L1459" s="20"/>
      <c r="M1459" s="20"/>
      <c r="N1459" s="126"/>
      <c r="O1459" s="126"/>
      <c r="P1459" s="126"/>
      <c r="Q1459" s="198"/>
      <c r="R1459" s="172"/>
      <c r="S1459" s="19"/>
      <c r="AE1459" s="143"/>
      <c r="AF1459" s="143"/>
      <c r="AG1459" s="143"/>
      <c r="AH1459" s="143"/>
      <c r="AI1459" s="143"/>
      <c r="AJ1459" s="143"/>
      <c r="AK1459" s="143"/>
      <c r="AL1459" s="143"/>
      <c r="AM1459" s="143"/>
      <c r="AN1459" s="143"/>
    </row>
    <row r="1460" s="100" customFormat="1" spans="3:40">
      <c r="C1460" s="136"/>
      <c r="D1460" s="136"/>
      <c r="F1460" s="15"/>
      <c r="G1460" s="138"/>
      <c r="H1460" s="138"/>
      <c r="I1460" s="126"/>
      <c r="J1460" s="15"/>
      <c r="K1460" s="15"/>
      <c r="L1460" s="20"/>
      <c r="M1460" s="20"/>
      <c r="N1460" s="126"/>
      <c r="O1460" s="126"/>
      <c r="P1460" s="126"/>
      <c r="Q1460" s="198"/>
      <c r="R1460" s="172"/>
      <c r="S1460" s="19"/>
      <c r="AE1460" s="143"/>
      <c r="AF1460" s="143"/>
      <c r="AG1460" s="143"/>
      <c r="AH1460" s="143"/>
      <c r="AI1460" s="143"/>
      <c r="AJ1460" s="143"/>
      <c r="AK1460" s="143"/>
      <c r="AL1460" s="143"/>
      <c r="AM1460" s="143"/>
      <c r="AN1460" s="143"/>
    </row>
    <row r="1461" s="100" customFormat="1" spans="3:40">
      <c r="C1461" s="136"/>
      <c r="D1461" s="136"/>
      <c r="F1461" s="15"/>
      <c r="G1461" s="138"/>
      <c r="H1461" s="138"/>
      <c r="I1461" s="126"/>
      <c r="J1461" s="15"/>
      <c r="K1461" s="15"/>
      <c r="L1461" s="20"/>
      <c r="M1461" s="20"/>
      <c r="N1461" s="126"/>
      <c r="O1461" s="126"/>
      <c r="P1461" s="126"/>
      <c r="Q1461" s="198"/>
      <c r="R1461" s="172"/>
      <c r="S1461" s="19"/>
      <c r="AE1461" s="143"/>
      <c r="AF1461" s="143"/>
      <c r="AG1461" s="143"/>
      <c r="AH1461" s="143"/>
      <c r="AI1461" s="143"/>
      <c r="AJ1461" s="143"/>
      <c r="AK1461" s="143"/>
      <c r="AL1461" s="143"/>
      <c r="AM1461" s="143"/>
      <c r="AN1461" s="143"/>
    </row>
    <row r="1462" s="100" customFormat="1" spans="3:40">
      <c r="C1462" s="136"/>
      <c r="D1462" s="136"/>
      <c r="F1462" s="15"/>
      <c r="G1462" s="138"/>
      <c r="H1462" s="138"/>
      <c r="I1462" s="126"/>
      <c r="J1462" s="15"/>
      <c r="K1462" s="15"/>
      <c r="L1462" s="20"/>
      <c r="M1462" s="20"/>
      <c r="N1462" s="126"/>
      <c r="O1462" s="126"/>
      <c r="P1462" s="126"/>
      <c r="Q1462" s="198"/>
      <c r="R1462" s="172"/>
      <c r="S1462" s="19"/>
      <c r="AE1462" s="143"/>
      <c r="AF1462" s="143"/>
      <c r="AG1462" s="143"/>
      <c r="AH1462" s="143"/>
      <c r="AI1462" s="143"/>
      <c r="AJ1462" s="143"/>
      <c r="AK1462" s="143"/>
      <c r="AL1462" s="143"/>
      <c r="AM1462" s="145"/>
      <c r="AN1462" s="143"/>
    </row>
    <row r="1463" s="100" customFormat="1" spans="3:40">
      <c r="C1463" s="136"/>
      <c r="D1463" s="136"/>
      <c r="F1463" s="15"/>
      <c r="G1463" s="138"/>
      <c r="H1463" s="138"/>
      <c r="I1463" s="126"/>
      <c r="J1463" s="15"/>
      <c r="K1463" s="15"/>
      <c r="L1463" s="20"/>
      <c r="M1463" s="20"/>
      <c r="N1463" s="126"/>
      <c r="O1463" s="126"/>
      <c r="P1463" s="126"/>
      <c r="Q1463" s="198"/>
      <c r="R1463" s="172"/>
      <c r="S1463" s="19"/>
      <c r="AE1463" s="143"/>
      <c r="AF1463" s="143"/>
      <c r="AG1463" s="143"/>
      <c r="AH1463" s="143"/>
      <c r="AI1463" s="143"/>
      <c r="AJ1463" s="143"/>
      <c r="AK1463" s="143"/>
      <c r="AL1463" s="143"/>
      <c r="AM1463" s="143"/>
      <c r="AN1463" s="143"/>
    </row>
    <row r="1464" s="100" customFormat="1" spans="3:40">
      <c r="C1464" s="136"/>
      <c r="D1464" s="136"/>
      <c r="F1464" s="15"/>
      <c r="G1464" s="138"/>
      <c r="H1464" s="138"/>
      <c r="I1464" s="126"/>
      <c r="J1464" s="15"/>
      <c r="K1464" s="15"/>
      <c r="L1464" s="20"/>
      <c r="M1464" s="20"/>
      <c r="N1464" s="126"/>
      <c r="O1464" s="126"/>
      <c r="P1464" s="126"/>
      <c r="Q1464" s="198"/>
      <c r="R1464" s="172"/>
      <c r="S1464" s="19"/>
      <c r="AE1464" s="143"/>
      <c r="AF1464" s="143"/>
      <c r="AG1464" s="143"/>
      <c r="AH1464" s="143"/>
      <c r="AI1464" s="143"/>
      <c r="AJ1464" s="143"/>
      <c r="AK1464" s="143"/>
      <c r="AL1464" s="143"/>
      <c r="AM1464" s="143"/>
      <c r="AN1464" s="143"/>
    </row>
    <row r="1465" s="100" customFormat="1" spans="3:40">
      <c r="C1465" s="136"/>
      <c r="D1465" s="136"/>
      <c r="F1465" s="15"/>
      <c r="G1465" s="138"/>
      <c r="H1465" s="138"/>
      <c r="I1465" s="126"/>
      <c r="J1465" s="15"/>
      <c r="K1465" s="15"/>
      <c r="L1465" s="20"/>
      <c r="M1465" s="20"/>
      <c r="N1465" s="126"/>
      <c r="O1465" s="126"/>
      <c r="P1465" s="126"/>
      <c r="Q1465" s="198"/>
      <c r="R1465" s="172"/>
      <c r="S1465" s="19"/>
      <c r="AE1465" s="143"/>
      <c r="AF1465" s="143"/>
      <c r="AG1465" s="143"/>
      <c r="AH1465" s="143"/>
      <c r="AI1465" s="143"/>
      <c r="AJ1465" s="143"/>
      <c r="AK1465" s="143"/>
      <c r="AL1465" s="143"/>
      <c r="AM1465" s="145"/>
      <c r="AN1465" s="143"/>
    </row>
    <row r="1466" s="100" customFormat="1" spans="3:40">
      <c r="C1466" s="136"/>
      <c r="D1466" s="136"/>
      <c r="F1466" s="15"/>
      <c r="G1466" s="138"/>
      <c r="H1466" s="138"/>
      <c r="I1466" s="126"/>
      <c r="J1466" s="15"/>
      <c r="K1466" s="15"/>
      <c r="L1466" s="20"/>
      <c r="M1466" s="20"/>
      <c r="N1466" s="126"/>
      <c r="O1466" s="126"/>
      <c r="P1466" s="126"/>
      <c r="Q1466" s="198"/>
      <c r="R1466" s="172"/>
      <c r="S1466" s="19"/>
      <c r="AE1466" s="143"/>
      <c r="AF1466" s="143"/>
      <c r="AG1466" s="143"/>
      <c r="AH1466" s="143"/>
      <c r="AI1466" s="143"/>
      <c r="AJ1466" s="143"/>
      <c r="AK1466" s="143"/>
      <c r="AL1466" s="143"/>
      <c r="AM1466" s="145"/>
      <c r="AN1466" s="143"/>
    </row>
    <row r="1467" s="100" customFormat="1" spans="3:40">
      <c r="C1467" s="136"/>
      <c r="D1467" s="136"/>
      <c r="F1467" s="15"/>
      <c r="G1467" s="138"/>
      <c r="H1467" s="138"/>
      <c r="I1467" s="126"/>
      <c r="J1467" s="15"/>
      <c r="K1467" s="15"/>
      <c r="L1467" s="20"/>
      <c r="M1467" s="20"/>
      <c r="N1467" s="126"/>
      <c r="O1467" s="126"/>
      <c r="P1467" s="126"/>
      <c r="Q1467" s="198"/>
      <c r="R1467" s="172"/>
      <c r="S1467" s="19"/>
      <c r="AE1467" s="143"/>
      <c r="AF1467" s="143"/>
      <c r="AG1467" s="143"/>
      <c r="AH1467" s="143"/>
      <c r="AI1467" s="143"/>
      <c r="AJ1467" s="143"/>
      <c r="AK1467" s="143"/>
      <c r="AL1467" s="143"/>
      <c r="AM1467" s="145"/>
      <c r="AN1467" s="143"/>
    </row>
    <row r="1468" s="100" customFormat="1" spans="3:40">
      <c r="C1468" s="136"/>
      <c r="D1468" s="136"/>
      <c r="F1468" s="15"/>
      <c r="G1468" s="138"/>
      <c r="H1468" s="138"/>
      <c r="I1468" s="126"/>
      <c r="J1468" s="15"/>
      <c r="K1468" s="15"/>
      <c r="L1468" s="20"/>
      <c r="M1468" s="20"/>
      <c r="N1468" s="126"/>
      <c r="O1468" s="126"/>
      <c r="P1468" s="126"/>
      <c r="Q1468" s="198"/>
      <c r="R1468" s="172"/>
      <c r="S1468" s="19"/>
      <c r="AE1468" s="143"/>
      <c r="AF1468" s="143"/>
      <c r="AG1468" s="143"/>
      <c r="AH1468" s="143"/>
      <c r="AI1468" s="143"/>
      <c r="AJ1468" s="143"/>
      <c r="AK1468" s="143"/>
      <c r="AL1468" s="143"/>
      <c r="AM1468" s="143"/>
      <c r="AN1468" s="143"/>
    </row>
    <row r="1469" s="100" customFormat="1" spans="3:40">
      <c r="C1469" s="136"/>
      <c r="D1469" s="136"/>
      <c r="F1469" s="15"/>
      <c r="G1469" s="138"/>
      <c r="H1469" s="138"/>
      <c r="I1469" s="126"/>
      <c r="J1469" s="15"/>
      <c r="K1469" s="15"/>
      <c r="L1469" s="20"/>
      <c r="M1469" s="20"/>
      <c r="N1469" s="126"/>
      <c r="O1469" s="126"/>
      <c r="P1469" s="126"/>
      <c r="Q1469" s="198"/>
      <c r="R1469" s="172"/>
      <c r="S1469" s="19"/>
      <c r="AE1469" s="143"/>
      <c r="AF1469" s="143"/>
      <c r="AG1469" s="143"/>
      <c r="AH1469" s="143"/>
      <c r="AI1469" s="143"/>
      <c r="AJ1469" s="143"/>
      <c r="AK1469" s="143"/>
      <c r="AL1469" s="143"/>
      <c r="AM1469" s="143"/>
      <c r="AN1469" s="143"/>
    </row>
    <row r="1470" s="100" customFormat="1" spans="3:40">
      <c r="C1470" s="136"/>
      <c r="D1470" s="136"/>
      <c r="F1470" s="15"/>
      <c r="G1470" s="138"/>
      <c r="H1470" s="138"/>
      <c r="I1470" s="126"/>
      <c r="J1470" s="15"/>
      <c r="K1470" s="15"/>
      <c r="L1470" s="20"/>
      <c r="M1470" s="20"/>
      <c r="N1470" s="126"/>
      <c r="O1470" s="126"/>
      <c r="P1470" s="126"/>
      <c r="Q1470" s="198"/>
      <c r="R1470" s="172"/>
      <c r="S1470" s="19"/>
      <c r="AE1470" s="143"/>
      <c r="AF1470" s="143"/>
      <c r="AG1470" s="143"/>
      <c r="AH1470" s="143"/>
      <c r="AI1470" s="143"/>
      <c r="AJ1470" s="143"/>
      <c r="AK1470" s="143"/>
      <c r="AL1470" s="143"/>
      <c r="AM1470" s="143"/>
      <c r="AN1470" s="143"/>
    </row>
    <row r="1471" s="100" customFormat="1" spans="3:40">
      <c r="C1471" s="136"/>
      <c r="D1471" s="136"/>
      <c r="F1471" s="15"/>
      <c r="G1471" s="138"/>
      <c r="H1471" s="138"/>
      <c r="I1471" s="126"/>
      <c r="J1471" s="15"/>
      <c r="K1471" s="15"/>
      <c r="L1471" s="20"/>
      <c r="M1471" s="20"/>
      <c r="N1471" s="126"/>
      <c r="O1471" s="126"/>
      <c r="P1471" s="126"/>
      <c r="Q1471" s="198"/>
      <c r="R1471" s="172"/>
      <c r="S1471" s="19"/>
      <c r="AE1471" s="143"/>
      <c r="AF1471" s="143"/>
      <c r="AG1471" s="143"/>
      <c r="AH1471" s="143"/>
      <c r="AI1471" s="143"/>
      <c r="AJ1471" s="143"/>
      <c r="AK1471" s="143"/>
      <c r="AL1471" s="143"/>
      <c r="AM1471" s="143"/>
      <c r="AN1471" s="143"/>
    </row>
    <row r="1472" s="100" customFormat="1" spans="3:40">
      <c r="C1472" s="136"/>
      <c r="D1472" s="136"/>
      <c r="F1472" s="15"/>
      <c r="G1472" s="138"/>
      <c r="H1472" s="138"/>
      <c r="I1472" s="126"/>
      <c r="J1472" s="15"/>
      <c r="K1472" s="15"/>
      <c r="L1472" s="20"/>
      <c r="M1472" s="20"/>
      <c r="N1472" s="126"/>
      <c r="O1472" s="126"/>
      <c r="P1472" s="126"/>
      <c r="Q1472" s="198"/>
      <c r="R1472" s="172"/>
      <c r="S1472" s="19"/>
      <c r="AE1472" s="143"/>
      <c r="AF1472" s="143"/>
      <c r="AG1472" s="143"/>
      <c r="AH1472" s="143"/>
      <c r="AI1472" s="143"/>
      <c r="AJ1472" s="143"/>
      <c r="AK1472" s="143"/>
      <c r="AL1472" s="143"/>
      <c r="AM1472" s="143"/>
      <c r="AN1472" s="143"/>
    </row>
    <row r="1473" s="100" customFormat="1" spans="3:40">
      <c r="C1473" s="136"/>
      <c r="D1473" s="136"/>
      <c r="F1473" s="15"/>
      <c r="G1473" s="138"/>
      <c r="H1473" s="138"/>
      <c r="I1473" s="126"/>
      <c r="J1473" s="15"/>
      <c r="K1473" s="15"/>
      <c r="L1473" s="20"/>
      <c r="M1473" s="20"/>
      <c r="N1473" s="126"/>
      <c r="O1473" s="126"/>
      <c r="P1473" s="126"/>
      <c r="Q1473" s="198"/>
      <c r="R1473" s="172"/>
      <c r="S1473" s="19"/>
      <c r="AE1473" s="143"/>
      <c r="AF1473" s="143"/>
      <c r="AG1473" s="143"/>
      <c r="AH1473" s="143"/>
      <c r="AI1473" s="143"/>
      <c r="AJ1473" s="143"/>
      <c r="AK1473" s="143"/>
      <c r="AL1473" s="143"/>
      <c r="AM1473" s="143"/>
      <c r="AN1473" s="143"/>
    </row>
    <row r="1474" s="100" customFormat="1" spans="3:40">
      <c r="C1474" s="136"/>
      <c r="D1474" s="136"/>
      <c r="F1474" s="15"/>
      <c r="G1474" s="138"/>
      <c r="H1474" s="138"/>
      <c r="I1474" s="126"/>
      <c r="J1474" s="15"/>
      <c r="K1474" s="15"/>
      <c r="L1474" s="20"/>
      <c r="M1474" s="20"/>
      <c r="N1474" s="126"/>
      <c r="O1474" s="126"/>
      <c r="P1474" s="126"/>
      <c r="Q1474" s="198"/>
      <c r="R1474" s="172"/>
      <c r="S1474" s="19"/>
      <c r="AE1474" s="143"/>
      <c r="AF1474" s="143"/>
      <c r="AG1474" s="143"/>
      <c r="AH1474" s="143"/>
      <c r="AI1474" s="143"/>
      <c r="AJ1474" s="143"/>
      <c r="AK1474" s="143"/>
      <c r="AL1474" s="143"/>
      <c r="AM1474" s="143"/>
      <c r="AN1474" s="143"/>
    </row>
    <row r="1475" s="100" customFormat="1" spans="3:40">
      <c r="C1475" s="136"/>
      <c r="D1475" s="136"/>
      <c r="F1475" s="15"/>
      <c r="G1475" s="138"/>
      <c r="H1475" s="138"/>
      <c r="I1475" s="126"/>
      <c r="J1475" s="15"/>
      <c r="K1475" s="15"/>
      <c r="L1475" s="20"/>
      <c r="M1475" s="20"/>
      <c r="N1475" s="126"/>
      <c r="O1475" s="126"/>
      <c r="P1475" s="126"/>
      <c r="Q1475" s="198"/>
      <c r="R1475" s="172"/>
      <c r="S1475" s="19"/>
      <c r="AE1475" s="143"/>
      <c r="AF1475" s="143"/>
      <c r="AG1475" s="143"/>
      <c r="AH1475" s="143"/>
      <c r="AI1475" s="143"/>
      <c r="AJ1475" s="143"/>
      <c r="AK1475" s="143"/>
      <c r="AL1475" s="143"/>
      <c r="AM1475" s="145"/>
      <c r="AN1475" s="143"/>
    </row>
    <row r="1476" s="100" customFormat="1" spans="3:40">
      <c r="C1476" s="136"/>
      <c r="D1476" s="136"/>
      <c r="F1476" s="15"/>
      <c r="G1476" s="138"/>
      <c r="H1476" s="138"/>
      <c r="I1476" s="126"/>
      <c r="J1476" s="15"/>
      <c r="K1476" s="15"/>
      <c r="L1476" s="20"/>
      <c r="M1476" s="20"/>
      <c r="N1476" s="126"/>
      <c r="O1476" s="126"/>
      <c r="P1476" s="126"/>
      <c r="Q1476" s="198"/>
      <c r="R1476" s="172"/>
      <c r="S1476" s="19"/>
      <c r="AE1476" s="143"/>
      <c r="AF1476" s="143"/>
      <c r="AG1476" s="143"/>
      <c r="AH1476" s="143"/>
      <c r="AI1476" s="143"/>
      <c r="AJ1476" s="143"/>
      <c r="AK1476" s="143"/>
      <c r="AL1476" s="143"/>
      <c r="AM1476" s="145"/>
      <c r="AN1476" s="143"/>
    </row>
    <row r="1477" s="100" customFormat="1" spans="3:40">
      <c r="C1477" s="136"/>
      <c r="D1477" s="136"/>
      <c r="F1477" s="15"/>
      <c r="G1477" s="138"/>
      <c r="H1477" s="138"/>
      <c r="I1477" s="126"/>
      <c r="J1477" s="15"/>
      <c r="K1477" s="15"/>
      <c r="L1477" s="20"/>
      <c r="M1477" s="20"/>
      <c r="N1477" s="126"/>
      <c r="O1477" s="126"/>
      <c r="P1477" s="126"/>
      <c r="Q1477" s="198"/>
      <c r="R1477" s="172"/>
      <c r="S1477" s="19"/>
      <c r="AE1477" s="143"/>
      <c r="AF1477" s="143"/>
      <c r="AG1477" s="143"/>
      <c r="AH1477" s="143"/>
      <c r="AI1477" s="143"/>
      <c r="AJ1477" s="143"/>
      <c r="AK1477" s="143"/>
      <c r="AL1477" s="143"/>
      <c r="AM1477" s="145"/>
      <c r="AN1477" s="143"/>
    </row>
    <row r="1478" s="100" customFormat="1" spans="3:40">
      <c r="C1478" s="136"/>
      <c r="D1478" s="136"/>
      <c r="F1478" s="15"/>
      <c r="G1478" s="138"/>
      <c r="H1478" s="138"/>
      <c r="I1478" s="126"/>
      <c r="J1478" s="15"/>
      <c r="K1478" s="15"/>
      <c r="L1478" s="20"/>
      <c r="M1478" s="20"/>
      <c r="N1478" s="126"/>
      <c r="O1478" s="126"/>
      <c r="P1478" s="126"/>
      <c r="Q1478" s="198"/>
      <c r="R1478" s="172"/>
      <c r="S1478" s="19"/>
      <c r="AE1478" s="143"/>
      <c r="AF1478" s="143"/>
      <c r="AG1478" s="143"/>
      <c r="AH1478" s="143"/>
      <c r="AI1478" s="143"/>
      <c r="AJ1478" s="143"/>
      <c r="AK1478" s="143"/>
      <c r="AL1478" s="143"/>
      <c r="AM1478" s="145"/>
      <c r="AN1478" s="143"/>
    </row>
    <row r="1479" s="100" customFormat="1" spans="3:40">
      <c r="C1479" s="136"/>
      <c r="D1479" s="136"/>
      <c r="F1479" s="15"/>
      <c r="G1479" s="138"/>
      <c r="H1479" s="138"/>
      <c r="I1479" s="126"/>
      <c r="J1479" s="15"/>
      <c r="K1479" s="15"/>
      <c r="L1479" s="20"/>
      <c r="M1479" s="20"/>
      <c r="N1479" s="126"/>
      <c r="O1479" s="126"/>
      <c r="P1479" s="126"/>
      <c r="Q1479" s="198"/>
      <c r="R1479" s="172"/>
      <c r="S1479" s="19"/>
      <c r="AE1479" s="143"/>
      <c r="AF1479" s="143"/>
      <c r="AG1479" s="143"/>
      <c r="AH1479" s="143"/>
      <c r="AI1479" s="143"/>
      <c r="AJ1479" s="143"/>
      <c r="AK1479" s="143"/>
      <c r="AL1479" s="143"/>
      <c r="AM1479" s="145"/>
      <c r="AN1479" s="143"/>
    </row>
    <row r="1480" s="100" customFormat="1" spans="3:40">
      <c r="C1480" s="136"/>
      <c r="D1480" s="136"/>
      <c r="F1480" s="15"/>
      <c r="G1480" s="138"/>
      <c r="H1480" s="138"/>
      <c r="I1480" s="126"/>
      <c r="J1480" s="15"/>
      <c r="K1480" s="15"/>
      <c r="L1480" s="20"/>
      <c r="M1480" s="20"/>
      <c r="N1480" s="126"/>
      <c r="O1480" s="126"/>
      <c r="P1480" s="126"/>
      <c r="Q1480" s="198"/>
      <c r="R1480" s="172"/>
      <c r="S1480" s="19"/>
      <c r="AE1480" s="143"/>
      <c r="AF1480" s="143"/>
      <c r="AG1480" s="143"/>
      <c r="AH1480" s="143"/>
      <c r="AI1480" s="143"/>
      <c r="AJ1480" s="143"/>
      <c r="AK1480" s="143"/>
      <c r="AL1480" s="143"/>
      <c r="AM1480" s="145"/>
      <c r="AN1480" s="143"/>
    </row>
    <row r="1481" s="100" customFormat="1" spans="3:40">
      <c r="C1481" s="136"/>
      <c r="D1481" s="136"/>
      <c r="F1481" s="15"/>
      <c r="G1481" s="138"/>
      <c r="H1481" s="138"/>
      <c r="I1481" s="126"/>
      <c r="J1481" s="15"/>
      <c r="K1481" s="15"/>
      <c r="L1481" s="20"/>
      <c r="M1481" s="20"/>
      <c r="N1481" s="126"/>
      <c r="O1481" s="126"/>
      <c r="P1481" s="126"/>
      <c r="Q1481" s="198"/>
      <c r="R1481" s="172"/>
      <c r="S1481" s="199"/>
      <c r="AE1481" s="143"/>
      <c r="AF1481" s="143"/>
      <c r="AG1481" s="143"/>
      <c r="AH1481" s="143"/>
      <c r="AI1481" s="143"/>
      <c r="AJ1481" s="143"/>
      <c r="AK1481" s="143"/>
      <c r="AL1481" s="143"/>
      <c r="AM1481" s="145"/>
      <c r="AN1481" s="143"/>
    </row>
    <row r="1482" s="100" customFormat="1" spans="3:40">
      <c r="C1482" s="136"/>
      <c r="D1482" s="136"/>
      <c r="F1482" s="15"/>
      <c r="G1482" s="138"/>
      <c r="H1482" s="138"/>
      <c r="I1482" s="126"/>
      <c r="J1482" s="15"/>
      <c r="K1482" s="15"/>
      <c r="L1482" s="20"/>
      <c r="M1482" s="20"/>
      <c r="N1482" s="126"/>
      <c r="O1482" s="126"/>
      <c r="P1482" s="126"/>
      <c r="Q1482" s="198"/>
      <c r="R1482" s="172"/>
      <c r="S1482" s="199"/>
      <c r="AE1482" s="143"/>
      <c r="AF1482" s="143"/>
      <c r="AG1482" s="143"/>
      <c r="AH1482" s="143"/>
      <c r="AI1482" s="143"/>
      <c r="AJ1482" s="143"/>
      <c r="AK1482" s="143"/>
      <c r="AL1482" s="143"/>
      <c r="AM1482" s="145"/>
      <c r="AN1482" s="143"/>
    </row>
    <row r="1483" s="100" customFormat="1" spans="3:40">
      <c r="C1483" s="136"/>
      <c r="D1483" s="136"/>
      <c r="F1483" s="15"/>
      <c r="G1483" s="138"/>
      <c r="H1483" s="138"/>
      <c r="I1483" s="126"/>
      <c r="J1483" s="15"/>
      <c r="K1483" s="15"/>
      <c r="L1483" s="20"/>
      <c r="M1483" s="20"/>
      <c r="N1483" s="126"/>
      <c r="O1483" s="126"/>
      <c r="P1483" s="126"/>
      <c r="Q1483" s="198"/>
      <c r="R1483" s="172"/>
      <c r="S1483" s="19"/>
      <c r="AE1483" s="143"/>
      <c r="AF1483" s="143"/>
      <c r="AG1483" s="143"/>
      <c r="AH1483" s="143"/>
      <c r="AI1483" s="143"/>
      <c r="AJ1483" s="143"/>
      <c r="AK1483" s="143"/>
      <c r="AL1483" s="143"/>
      <c r="AM1483" s="145"/>
      <c r="AN1483" s="143"/>
    </row>
    <row r="1484" s="100" customFormat="1" spans="3:40">
      <c r="C1484" s="136"/>
      <c r="D1484" s="136"/>
      <c r="F1484" s="15"/>
      <c r="G1484" s="138"/>
      <c r="H1484" s="138"/>
      <c r="I1484" s="126"/>
      <c r="J1484" s="15"/>
      <c r="K1484" s="15"/>
      <c r="L1484" s="20"/>
      <c r="M1484" s="20"/>
      <c r="N1484" s="126"/>
      <c r="O1484" s="126"/>
      <c r="P1484" s="126"/>
      <c r="Q1484" s="198"/>
      <c r="R1484" s="172"/>
      <c r="S1484" s="19"/>
      <c r="AE1484" s="143"/>
      <c r="AF1484" s="143"/>
      <c r="AG1484" s="143"/>
      <c r="AH1484" s="143"/>
      <c r="AI1484" s="143"/>
      <c r="AJ1484" s="143"/>
      <c r="AK1484" s="143"/>
      <c r="AL1484" s="143"/>
      <c r="AM1484" s="145"/>
      <c r="AN1484" s="143"/>
    </row>
    <row r="1485" s="100" customFormat="1" spans="3:40">
      <c r="C1485" s="136"/>
      <c r="D1485" s="136"/>
      <c r="F1485" s="15"/>
      <c r="G1485" s="138"/>
      <c r="H1485" s="138"/>
      <c r="I1485" s="126"/>
      <c r="J1485" s="15"/>
      <c r="K1485" s="15"/>
      <c r="L1485" s="20"/>
      <c r="M1485" s="20"/>
      <c r="N1485" s="126"/>
      <c r="O1485" s="126"/>
      <c r="P1485" s="126"/>
      <c r="Q1485" s="198"/>
      <c r="R1485" s="172"/>
      <c r="S1485" s="199"/>
      <c r="AE1485" s="143"/>
      <c r="AF1485" s="143"/>
      <c r="AG1485" s="143"/>
      <c r="AH1485" s="143"/>
      <c r="AI1485" s="143"/>
      <c r="AJ1485" s="143"/>
      <c r="AK1485" s="143"/>
      <c r="AL1485" s="143"/>
      <c r="AM1485" s="145"/>
      <c r="AN1485" s="143"/>
    </row>
    <row r="1486" s="100" customFormat="1" spans="3:40">
      <c r="C1486" s="136"/>
      <c r="D1486" s="136"/>
      <c r="F1486" s="15"/>
      <c r="G1486" s="138"/>
      <c r="H1486" s="138"/>
      <c r="I1486" s="126"/>
      <c r="J1486" s="15"/>
      <c r="K1486" s="15"/>
      <c r="L1486" s="20"/>
      <c r="M1486" s="20"/>
      <c r="N1486" s="126"/>
      <c r="O1486" s="126"/>
      <c r="P1486" s="126"/>
      <c r="Q1486" s="198"/>
      <c r="R1486" s="172"/>
      <c r="S1486" s="199"/>
      <c r="AE1486" s="143"/>
      <c r="AF1486" s="143"/>
      <c r="AG1486" s="143"/>
      <c r="AH1486" s="143"/>
      <c r="AI1486" s="143"/>
      <c r="AJ1486" s="143"/>
      <c r="AK1486" s="143"/>
      <c r="AL1486" s="143"/>
      <c r="AM1486" s="145"/>
      <c r="AN1486" s="143"/>
    </row>
    <row r="1487" s="100" customFormat="1" spans="3:40">
      <c r="C1487" s="136"/>
      <c r="D1487" s="136"/>
      <c r="F1487" s="15"/>
      <c r="G1487" s="138"/>
      <c r="H1487" s="138"/>
      <c r="I1487" s="126"/>
      <c r="J1487" s="15"/>
      <c r="K1487" s="15"/>
      <c r="L1487" s="20"/>
      <c r="M1487" s="20"/>
      <c r="N1487" s="126"/>
      <c r="O1487" s="126"/>
      <c r="P1487" s="126"/>
      <c r="Q1487" s="198"/>
      <c r="R1487" s="172"/>
      <c r="S1487" s="199"/>
      <c r="AE1487" s="143"/>
      <c r="AF1487" s="143"/>
      <c r="AG1487" s="143"/>
      <c r="AH1487" s="143"/>
      <c r="AI1487" s="143"/>
      <c r="AJ1487" s="143"/>
      <c r="AK1487" s="143"/>
      <c r="AL1487" s="143"/>
      <c r="AM1487" s="145"/>
      <c r="AN1487" s="143"/>
    </row>
    <row r="1488" s="100" customFormat="1" spans="3:40">
      <c r="C1488" s="136"/>
      <c r="D1488" s="136"/>
      <c r="F1488" s="15"/>
      <c r="G1488" s="138"/>
      <c r="H1488" s="138"/>
      <c r="I1488" s="126"/>
      <c r="J1488" s="15"/>
      <c r="K1488" s="15"/>
      <c r="L1488" s="20"/>
      <c r="M1488" s="20"/>
      <c r="N1488" s="126"/>
      <c r="O1488" s="126"/>
      <c r="P1488" s="126"/>
      <c r="Q1488" s="198"/>
      <c r="R1488" s="172"/>
      <c r="S1488" s="199"/>
      <c r="AE1488" s="143"/>
      <c r="AF1488" s="143"/>
      <c r="AG1488" s="143"/>
      <c r="AH1488" s="143"/>
      <c r="AI1488" s="143"/>
      <c r="AJ1488" s="143"/>
      <c r="AK1488" s="143"/>
      <c r="AL1488" s="143"/>
      <c r="AM1488" s="143"/>
      <c r="AN1488" s="143"/>
    </row>
    <row r="1489" s="100" customFormat="1" spans="3:40">
      <c r="C1489" s="136"/>
      <c r="D1489" s="136"/>
      <c r="F1489" s="15"/>
      <c r="G1489" s="138"/>
      <c r="H1489" s="138"/>
      <c r="I1489" s="126"/>
      <c r="J1489" s="15"/>
      <c r="K1489" s="15"/>
      <c r="L1489" s="20"/>
      <c r="M1489" s="20"/>
      <c r="N1489" s="126"/>
      <c r="O1489" s="126"/>
      <c r="P1489" s="126"/>
      <c r="Q1489" s="198"/>
      <c r="R1489" s="172"/>
      <c r="S1489" s="199"/>
      <c r="AE1489" s="143"/>
      <c r="AF1489" s="143"/>
      <c r="AG1489" s="143"/>
      <c r="AH1489" s="143"/>
      <c r="AI1489" s="143"/>
      <c r="AJ1489" s="143"/>
      <c r="AK1489" s="143"/>
      <c r="AL1489" s="143"/>
      <c r="AM1489" s="145"/>
      <c r="AN1489" s="143"/>
    </row>
    <row r="1490" s="100" customFormat="1" spans="3:40">
      <c r="C1490" s="136"/>
      <c r="D1490" s="136"/>
      <c r="F1490" s="15"/>
      <c r="G1490" s="138"/>
      <c r="H1490" s="138"/>
      <c r="I1490" s="126"/>
      <c r="J1490" s="15"/>
      <c r="K1490" s="15"/>
      <c r="L1490" s="20"/>
      <c r="M1490" s="20"/>
      <c r="N1490" s="126"/>
      <c r="O1490" s="126"/>
      <c r="P1490" s="126"/>
      <c r="Q1490" s="198"/>
      <c r="R1490" s="172"/>
      <c r="S1490" s="199"/>
      <c r="AE1490" s="143"/>
      <c r="AF1490" s="143"/>
      <c r="AG1490" s="143"/>
      <c r="AH1490" s="143"/>
      <c r="AI1490" s="143"/>
      <c r="AJ1490" s="143"/>
      <c r="AK1490" s="143"/>
      <c r="AL1490" s="143"/>
      <c r="AM1490" s="143"/>
      <c r="AN1490" s="143"/>
    </row>
    <row r="1491" s="100" customFormat="1" spans="3:40">
      <c r="C1491" s="136"/>
      <c r="D1491" s="136"/>
      <c r="F1491" s="15"/>
      <c r="G1491" s="138"/>
      <c r="H1491" s="138"/>
      <c r="I1491" s="126"/>
      <c r="J1491" s="15"/>
      <c r="K1491" s="15"/>
      <c r="L1491" s="20"/>
      <c r="M1491" s="20"/>
      <c r="N1491" s="126"/>
      <c r="O1491" s="126"/>
      <c r="P1491" s="126"/>
      <c r="Q1491" s="198"/>
      <c r="R1491" s="172"/>
      <c r="S1491" s="199"/>
      <c r="AE1491" s="143"/>
      <c r="AF1491" s="143"/>
      <c r="AG1491" s="143"/>
      <c r="AH1491" s="143"/>
      <c r="AI1491" s="143"/>
      <c r="AJ1491" s="143"/>
      <c r="AK1491" s="143"/>
      <c r="AL1491" s="143"/>
      <c r="AM1491" s="143"/>
      <c r="AN1491" s="143"/>
    </row>
    <row r="1492" s="100" customFormat="1" spans="3:40">
      <c r="C1492" s="136"/>
      <c r="D1492" s="136"/>
      <c r="F1492" s="15"/>
      <c r="G1492" s="138"/>
      <c r="H1492" s="138"/>
      <c r="I1492" s="126"/>
      <c r="J1492" s="15"/>
      <c r="K1492" s="15"/>
      <c r="L1492" s="20"/>
      <c r="M1492" s="20"/>
      <c r="N1492" s="126"/>
      <c r="O1492" s="126"/>
      <c r="P1492" s="126"/>
      <c r="Q1492" s="198"/>
      <c r="R1492" s="172"/>
      <c r="S1492" s="199"/>
      <c r="AE1492" s="143"/>
      <c r="AF1492" s="143"/>
      <c r="AG1492" s="143"/>
      <c r="AH1492" s="143"/>
      <c r="AI1492" s="143"/>
      <c r="AJ1492" s="143"/>
      <c r="AK1492" s="143"/>
      <c r="AL1492" s="143"/>
      <c r="AM1492" s="143"/>
      <c r="AN1492" s="143"/>
    </row>
    <row r="1493" s="100" customFormat="1" spans="3:40">
      <c r="C1493" s="136"/>
      <c r="D1493" s="136"/>
      <c r="F1493" s="15"/>
      <c r="G1493" s="138"/>
      <c r="H1493" s="138"/>
      <c r="I1493" s="126"/>
      <c r="J1493" s="15"/>
      <c r="K1493" s="15"/>
      <c r="L1493" s="20"/>
      <c r="M1493" s="20"/>
      <c r="N1493" s="126"/>
      <c r="O1493" s="126"/>
      <c r="P1493" s="126"/>
      <c r="Q1493" s="198"/>
      <c r="R1493" s="172"/>
      <c r="S1493" s="199"/>
      <c r="AE1493" s="143"/>
      <c r="AF1493" s="143"/>
      <c r="AG1493" s="143"/>
      <c r="AH1493" s="143"/>
      <c r="AI1493" s="143"/>
      <c r="AJ1493" s="143"/>
      <c r="AK1493" s="143"/>
      <c r="AL1493" s="143"/>
      <c r="AM1493" s="143"/>
      <c r="AN1493" s="143"/>
    </row>
    <row r="1494" s="100" customFormat="1" spans="3:40">
      <c r="C1494" s="136"/>
      <c r="D1494" s="136"/>
      <c r="F1494" s="15"/>
      <c r="G1494" s="138"/>
      <c r="H1494" s="138"/>
      <c r="I1494" s="126"/>
      <c r="J1494" s="15"/>
      <c r="K1494" s="15"/>
      <c r="L1494" s="20"/>
      <c r="M1494" s="20"/>
      <c r="N1494" s="126"/>
      <c r="O1494" s="126"/>
      <c r="P1494" s="126"/>
      <c r="Q1494" s="198"/>
      <c r="R1494" s="172"/>
      <c r="S1494" s="199"/>
      <c r="AE1494" s="143"/>
      <c r="AF1494" s="143"/>
      <c r="AG1494" s="143"/>
      <c r="AH1494" s="143"/>
      <c r="AI1494" s="143"/>
      <c r="AJ1494" s="143"/>
      <c r="AK1494" s="143"/>
      <c r="AL1494" s="143"/>
      <c r="AM1494" s="143"/>
      <c r="AN1494" s="143"/>
    </row>
    <row r="1495" s="100" customFormat="1" spans="3:40">
      <c r="C1495" s="136"/>
      <c r="D1495" s="136"/>
      <c r="F1495" s="15"/>
      <c r="G1495" s="138"/>
      <c r="H1495" s="138"/>
      <c r="I1495" s="126"/>
      <c r="J1495" s="15"/>
      <c r="K1495" s="15"/>
      <c r="L1495" s="20"/>
      <c r="M1495" s="20"/>
      <c r="N1495" s="126"/>
      <c r="O1495" s="126"/>
      <c r="P1495" s="126"/>
      <c r="Q1495" s="198"/>
      <c r="R1495" s="172"/>
      <c r="S1495" s="199"/>
      <c r="AE1495" s="143"/>
      <c r="AF1495" s="143"/>
      <c r="AG1495" s="143"/>
      <c r="AH1495" s="143"/>
      <c r="AI1495" s="143"/>
      <c r="AJ1495" s="143"/>
      <c r="AK1495" s="143"/>
      <c r="AL1495" s="143"/>
      <c r="AM1495" s="145"/>
      <c r="AN1495" s="143"/>
    </row>
    <row r="1496" s="100" customFormat="1" spans="3:40">
      <c r="C1496" s="136"/>
      <c r="D1496" s="136"/>
      <c r="F1496" s="15"/>
      <c r="G1496" s="138"/>
      <c r="H1496" s="138"/>
      <c r="I1496" s="126"/>
      <c r="J1496" s="15"/>
      <c r="K1496" s="15"/>
      <c r="L1496" s="20"/>
      <c r="M1496" s="20"/>
      <c r="N1496" s="126"/>
      <c r="O1496" s="126"/>
      <c r="P1496" s="126"/>
      <c r="Q1496" s="198"/>
      <c r="R1496" s="172"/>
      <c r="S1496" s="199"/>
      <c r="AE1496" s="143"/>
      <c r="AF1496" s="143"/>
      <c r="AG1496" s="143"/>
      <c r="AH1496" s="143"/>
      <c r="AI1496" s="143"/>
      <c r="AJ1496" s="143"/>
      <c r="AK1496" s="143"/>
      <c r="AL1496" s="143"/>
      <c r="AM1496" s="145"/>
      <c r="AN1496" s="143"/>
    </row>
    <row r="1497" s="100" customFormat="1" spans="3:40">
      <c r="C1497" s="136"/>
      <c r="D1497" s="136"/>
      <c r="F1497" s="15"/>
      <c r="G1497" s="138"/>
      <c r="H1497" s="138"/>
      <c r="I1497" s="126"/>
      <c r="J1497" s="15"/>
      <c r="K1497" s="15"/>
      <c r="L1497" s="20"/>
      <c r="M1497" s="20"/>
      <c r="N1497" s="126"/>
      <c r="O1497" s="126"/>
      <c r="P1497" s="126"/>
      <c r="Q1497" s="198"/>
      <c r="R1497" s="172"/>
      <c r="S1497" s="199"/>
      <c r="AE1497" s="143"/>
      <c r="AF1497" s="143"/>
      <c r="AG1497" s="143"/>
      <c r="AH1497" s="143"/>
      <c r="AI1497" s="143"/>
      <c r="AJ1497" s="143"/>
      <c r="AK1497" s="143"/>
      <c r="AL1497" s="143"/>
      <c r="AM1497" s="145"/>
      <c r="AN1497" s="143"/>
    </row>
    <row r="1498" s="100" customFormat="1" spans="3:40">
      <c r="C1498" s="136"/>
      <c r="D1498" s="136"/>
      <c r="F1498" s="15"/>
      <c r="G1498" s="138"/>
      <c r="H1498" s="138"/>
      <c r="I1498" s="126"/>
      <c r="J1498" s="15"/>
      <c r="K1498" s="15"/>
      <c r="L1498" s="20"/>
      <c r="M1498" s="20"/>
      <c r="N1498" s="126"/>
      <c r="O1498" s="126"/>
      <c r="P1498" s="126"/>
      <c r="Q1498" s="198"/>
      <c r="R1498" s="172"/>
      <c r="S1498" s="199"/>
      <c r="AE1498" s="143"/>
      <c r="AF1498" s="143"/>
      <c r="AG1498" s="143"/>
      <c r="AH1498" s="143"/>
      <c r="AI1498" s="143"/>
      <c r="AJ1498" s="143"/>
      <c r="AK1498" s="143"/>
      <c r="AL1498" s="143"/>
      <c r="AM1498" s="143"/>
      <c r="AN1498" s="143"/>
    </row>
    <row r="1499" s="100" customFormat="1" spans="3:40">
      <c r="C1499" s="136"/>
      <c r="D1499" s="136"/>
      <c r="F1499" s="15"/>
      <c r="G1499" s="138"/>
      <c r="H1499" s="138"/>
      <c r="I1499" s="126"/>
      <c r="J1499" s="15"/>
      <c r="K1499" s="15"/>
      <c r="L1499" s="20"/>
      <c r="M1499" s="20"/>
      <c r="N1499" s="126"/>
      <c r="O1499" s="126"/>
      <c r="P1499" s="126"/>
      <c r="Q1499" s="198"/>
      <c r="R1499" s="172"/>
      <c r="S1499" s="199"/>
      <c r="AE1499" s="143"/>
      <c r="AF1499" s="143"/>
      <c r="AG1499" s="143"/>
      <c r="AH1499" s="143"/>
      <c r="AI1499" s="143"/>
      <c r="AJ1499" s="143"/>
      <c r="AK1499" s="143"/>
      <c r="AL1499" s="143"/>
      <c r="AM1499" s="143"/>
      <c r="AN1499" s="143"/>
    </row>
    <row r="1500" s="100" customFormat="1" spans="3:40">
      <c r="C1500" s="136"/>
      <c r="D1500" s="136"/>
      <c r="F1500" s="15"/>
      <c r="G1500" s="138"/>
      <c r="H1500" s="138"/>
      <c r="I1500" s="126"/>
      <c r="J1500" s="15"/>
      <c r="K1500" s="15"/>
      <c r="L1500" s="20"/>
      <c r="M1500" s="20"/>
      <c r="N1500" s="126"/>
      <c r="O1500" s="126"/>
      <c r="P1500" s="126"/>
      <c r="Q1500" s="198"/>
      <c r="R1500" s="172"/>
      <c r="S1500" s="199"/>
      <c r="AE1500" s="143"/>
      <c r="AF1500" s="143"/>
      <c r="AG1500" s="143"/>
      <c r="AH1500" s="143"/>
      <c r="AI1500" s="143"/>
      <c r="AJ1500" s="143"/>
      <c r="AK1500" s="143"/>
      <c r="AL1500" s="143"/>
      <c r="AM1500" s="145"/>
      <c r="AN1500" s="143"/>
    </row>
    <row r="1501" s="100" customFormat="1" spans="3:40">
      <c r="C1501" s="136"/>
      <c r="D1501" s="136"/>
      <c r="F1501" s="15"/>
      <c r="G1501" s="138"/>
      <c r="H1501" s="138"/>
      <c r="I1501" s="126"/>
      <c r="J1501" s="15"/>
      <c r="K1501" s="15"/>
      <c r="L1501" s="20"/>
      <c r="M1501" s="20"/>
      <c r="N1501" s="126"/>
      <c r="O1501" s="126"/>
      <c r="P1501" s="126"/>
      <c r="Q1501" s="198"/>
      <c r="R1501" s="172"/>
      <c r="S1501" s="199"/>
      <c r="AE1501" s="143"/>
      <c r="AF1501" s="143"/>
      <c r="AG1501" s="143"/>
      <c r="AH1501" s="143"/>
      <c r="AI1501" s="143"/>
      <c r="AJ1501" s="143"/>
      <c r="AK1501" s="143"/>
      <c r="AL1501" s="143"/>
      <c r="AM1501" s="145"/>
      <c r="AN1501" s="143"/>
    </row>
    <row r="1502" s="100" customFormat="1" spans="3:40">
      <c r="C1502" s="136"/>
      <c r="D1502" s="136"/>
      <c r="F1502" s="15"/>
      <c r="G1502" s="138"/>
      <c r="H1502" s="138"/>
      <c r="I1502" s="126"/>
      <c r="J1502" s="15"/>
      <c r="K1502" s="15"/>
      <c r="L1502" s="20"/>
      <c r="M1502" s="20"/>
      <c r="N1502" s="126"/>
      <c r="O1502" s="126"/>
      <c r="P1502" s="126"/>
      <c r="Q1502" s="198"/>
      <c r="R1502" s="172"/>
      <c r="S1502" s="199"/>
      <c r="AE1502" s="143"/>
      <c r="AF1502" s="143"/>
      <c r="AG1502" s="143"/>
      <c r="AH1502" s="143"/>
      <c r="AI1502" s="143"/>
      <c r="AJ1502" s="143"/>
      <c r="AK1502" s="143"/>
      <c r="AL1502" s="143"/>
      <c r="AM1502" s="143"/>
      <c r="AN1502" s="143"/>
    </row>
    <row r="1503" s="100" customFormat="1" spans="3:40">
      <c r="C1503" s="136"/>
      <c r="D1503" s="136"/>
      <c r="F1503" s="15"/>
      <c r="G1503" s="138"/>
      <c r="H1503" s="138"/>
      <c r="I1503" s="126"/>
      <c r="J1503" s="15"/>
      <c r="K1503" s="15"/>
      <c r="L1503" s="20"/>
      <c r="M1503" s="20"/>
      <c r="N1503" s="126"/>
      <c r="O1503" s="126"/>
      <c r="P1503" s="126"/>
      <c r="Q1503" s="198"/>
      <c r="R1503" s="172"/>
      <c r="S1503" s="199"/>
      <c r="AE1503" s="143"/>
      <c r="AF1503" s="143"/>
      <c r="AG1503" s="143"/>
      <c r="AH1503" s="143"/>
      <c r="AI1503" s="143"/>
      <c r="AJ1503" s="143"/>
      <c r="AK1503" s="143"/>
      <c r="AL1503" s="143"/>
      <c r="AM1503" s="143"/>
      <c r="AN1503" s="143"/>
    </row>
    <row r="1504" s="100" customFormat="1" spans="3:40">
      <c r="C1504" s="136"/>
      <c r="D1504" s="136"/>
      <c r="F1504" s="15"/>
      <c r="G1504" s="138"/>
      <c r="H1504" s="138"/>
      <c r="I1504" s="126"/>
      <c r="J1504" s="15"/>
      <c r="K1504" s="15"/>
      <c r="L1504" s="20"/>
      <c r="M1504" s="20"/>
      <c r="N1504" s="126"/>
      <c r="O1504" s="126"/>
      <c r="P1504" s="126"/>
      <c r="Q1504" s="198"/>
      <c r="R1504" s="172"/>
      <c r="S1504" s="199"/>
      <c r="AE1504" s="143"/>
      <c r="AF1504" s="143"/>
      <c r="AG1504" s="143"/>
      <c r="AH1504" s="143"/>
      <c r="AI1504" s="143"/>
      <c r="AJ1504" s="143"/>
      <c r="AK1504" s="143"/>
      <c r="AL1504" s="143"/>
      <c r="AM1504" s="143"/>
      <c r="AN1504" s="143"/>
    </row>
    <row r="1505" s="100" customFormat="1" spans="3:40">
      <c r="C1505" s="136"/>
      <c r="D1505" s="136"/>
      <c r="F1505" s="15"/>
      <c r="G1505" s="138"/>
      <c r="H1505" s="138"/>
      <c r="I1505" s="126"/>
      <c r="J1505" s="15"/>
      <c r="K1505" s="15"/>
      <c r="L1505" s="20"/>
      <c r="M1505" s="20"/>
      <c r="N1505" s="126"/>
      <c r="O1505" s="126"/>
      <c r="P1505" s="126"/>
      <c r="Q1505" s="198"/>
      <c r="R1505" s="172"/>
      <c r="S1505" s="199"/>
      <c r="AE1505" s="143"/>
      <c r="AF1505" s="143"/>
      <c r="AG1505" s="143"/>
      <c r="AH1505" s="143"/>
      <c r="AI1505" s="143"/>
      <c r="AJ1505" s="143"/>
      <c r="AK1505" s="143"/>
      <c r="AL1505" s="143"/>
      <c r="AM1505" s="143"/>
      <c r="AN1505" s="143"/>
    </row>
    <row r="1506" s="100" customFormat="1" spans="3:40">
      <c r="C1506" s="136"/>
      <c r="D1506" s="136"/>
      <c r="F1506" s="15"/>
      <c r="G1506" s="138"/>
      <c r="H1506" s="138"/>
      <c r="I1506" s="126"/>
      <c r="J1506" s="15"/>
      <c r="K1506" s="15"/>
      <c r="L1506" s="20"/>
      <c r="M1506" s="20"/>
      <c r="N1506" s="126"/>
      <c r="O1506" s="126"/>
      <c r="P1506" s="126"/>
      <c r="Q1506" s="198"/>
      <c r="R1506" s="172"/>
      <c r="S1506" s="199"/>
      <c r="AE1506" s="143"/>
      <c r="AF1506" s="143"/>
      <c r="AG1506" s="143"/>
      <c r="AH1506" s="143"/>
      <c r="AI1506" s="143"/>
      <c r="AJ1506" s="143"/>
      <c r="AK1506" s="143"/>
      <c r="AL1506" s="143"/>
      <c r="AM1506" s="143"/>
      <c r="AN1506" s="143"/>
    </row>
    <row r="1507" s="100" customFormat="1" spans="3:40">
      <c r="C1507" s="136"/>
      <c r="D1507" s="136"/>
      <c r="F1507" s="15"/>
      <c r="G1507" s="138"/>
      <c r="H1507" s="138"/>
      <c r="I1507" s="126"/>
      <c r="J1507" s="15"/>
      <c r="K1507" s="15"/>
      <c r="L1507" s="20"/>
      <c r="M1507" s="20"/>
      <c r="N1507" s="126"/>
      <c r="O1507" s="126"/>
      <c r="P1507" s="126"/>
      <c r="Q1507" s="198"/>
      <c r="R1507" s="172"/>
      <c r="S1507" s="199"/>
      <c r="AE1507" s="143"/>
      <c r="AF1507" s="143"/>
      <c r="AG1507" s="143"/>
      <c r="AH1507" s="143"/>
      <c r="AI1507" s="143"/>
      <c r="AJ1507" s="143"/>
      <c r="AK1507" s="143"/>
      <c r="AL1507" s="143"/>
      <c r="AM1507" s="143"/>
      <c r="AN1507" s="143"/>
    </row>
    <row r="1508" s="100" customFormat="1" spans="3:40">
      <c r="C1508" s="136"/>
      <c r="D1508" s="136"/>
      <c r="F1508" s="15"/>
      <c r="G1508" s="138"/>
      <c r="H1508" s="138"/>
      <c r="I1508" s="126"/>
      <c r="J1508" s="15"/>
      <c r="K1508" s="15"/>
      <c r="L1508" s="20"/>
      <c r="M1508" s="20"/>
      <c r="N1508" s="126"/>
      <c r="O1508" s="126"/>
      <c r="P1508" s="126"/>
      <c r="Q1508" s="198"/>
      <c r="R1508" s="172"/>
      <c r="S1508" s="199"/>
      <c r="AE1508" s="143"/>
      <c r="AF1508" s="143"/>
      <c r="AG1508" s="143"/>
      <c r="AH1508" s="143"/>
      <c r="AI1508" s="143"/>
      <c r="AJ1508" s="143"/>
      <c r="AK1508" s="143"/>
      <c r="AL1508" s="143"/>
      <c r="AM1508" s="145"/>
      <c r="AN1508" s="143"/>
    </row>
    <row r="1509" s="100" customFormat="1" spans="3:40">
      <c r="C1509" s="136"/>
      <c r="D1509" s="136"/>
      <c r="F1509" s="15"/>
      <c r="G1509" s="138"/>
      <c r="H1509" s="138"/>
      <c r="I1509" s="126"/>
      <c r="J1509" s="15"/>
      <c r="K1509" s="15"/>
      <c r="L1509" s="20"/>
      <c r="M1509" s="20"/>
      <c r="N1509" s="126"/>
      <c r="O1509" s="126"/>
      <c r="P1509" s="126"/>
      <c r="Q1509" s="198"/>
      <c r="R1509" s="172"/>
      <c r="S1509" s="199"/>
      <c r="AE1509" s="143"/>
      <c r="AF1509" s="143"/>
      <c r="AG1509" s="143"/>
      <c r="AH1509" s="143"/>
      <c r="AI1509" s="143"/>
      <c r="AJ1509" s="143"/>
      <c r="AK1509" s="143"/>
      <c r="AL1509" s="143"/>
      <c r="AM1509" s="143"/>
      <c r="AN1509" s="143"/>
    </row>
    <row r="1510" s="100" customFormat="1" spans="3:40">
      <c r="C1510" s="136"/>
      <c r="D1510" s="136"/>
      <c r="F1510" s="15"/>
      <c r="G1510" s="138"/>
      <c r="H1510" s="138"/>
      <c r="I1510" s="126"/>
      <c r="J1510" s="15"/>
      <c r="K1510" s="15"/>
      <c r="L1510" s="20"/>
      <c r="M1510" s="20"/>
      <c r="N1510" s="126"/>
      <c r="O1510" s="126"/>
      <c r="P1510" s="126"/>
      <c r="Q1510" s="198"/>
      <c r="R1510" s="172"/>
      <c r="S1510" s="199"/>
      <c r="AE1510" s="143"/>
      <c r="AF1510" s="143"/>
      <c r="AG1510" s="143"/>
      <c r="AH1510" s="143"/>
      <c r="AI1510" s="143"/>
      <c r="AJ1510" s="143"/>
      <c r="AK1510" s="143"/>
      <c r="AL1510" s="143"/>
      <c r="AM1510" s="145"/>
      <c r="AN1510" s="143"/>
    </row>
    <row r="1511" s="100" customFormat="1" spans="3:40">
      <c r="C1511" s="136"/>
      <c r="D1511" s="136"/>
      <c r="F1511" s="15"/>
      <c r="G1511" s="138"/>
      <c r="H1511" s="138"/>
      <c r="I1511" s="126"/>
      <c r="J1511" s="15"/>
      <c r="K1511" s="15"/>
      <c r="L1511" s="20"/>
      <c r="M1511" s="20"/>
      <c r="N1511" s="126"/>
      <c r="O1511" s="126"/>
      <c r="P1511" s="126"/>
      <c r="Q1511" s="198"/>
      <c r="R1511" s="172"/>
      <c r="S1511" s="199"/>
      <c r="AE1511" s="143"/>
      <c r="AF1511" s="143"/>
      <c r="AG1511" s="143"/>
      <c r="AH1511" s="143"/>
      <c r="AI1511" s="143"/>
      <c r="AJ1511" s="143"/>
      <c r="AK1511" s="143"/>
      <c r="AL1511" s="143"/>
      <c r="AM1511" s="145"/>
      <c r="AN1511" s="143"/>
    </row>
    <row r="1512" s="100" customFormat="1" spans="3:40">
      <c r="C1512" s="136"/>
      <c r="D1512" s="136"/>
      <c r="F1512" s="15"/>
      <c r="G1512" s="138"/>
      <c r="H1512" s="138"/>
      <c r="I1512" s="126"/>
      <c r="J1512" s="15"/>
      <c r="K1512" s="15"/>
      <c r="L1512" s="20"/>
      <c r="M1512" s="20"/>
      <c r="N1512" s="126"/>
      <c r="O1512" s="126"/>
      <c r="P1512" s="126"/>
      <c r="Q1512" s="198"/>
      <c r="R1512" s="172"/>
      <c r="S1512" s="199"/>
      <c r="AE1512" s="143"/>
      <c r="AF1512" s="143"/>
      <c r="AG1512" s="143"/>
      <c r="AH1512" s="143"/>
      <c r="AI1512" s="143"/>
      <c r="AJ1512" s="143"/>
      <c r="AK1512" s="143"/>
      <c r="AL1512" s="143"/>
      <c r="AM1512" s="145"/>
      <c r="AN1512" s="143"/>
    </row>
    <row r="1513" s="100" customFormat="1" spans="3:40">
      <c r="C1513" s="136"/>
      <c r="D1513" s="136"/>
      <c r="F1513" s="15"/>
      <c r="G1513" s="138"/>
      <c r="H1513" s="138"/>
      <c r="I1513" s="126"/>
      <c r="J1513" s="15"/>
      <c r="K1513" s="15"/>
      <c r="L1513" s="20"/>
      <c r="M1513" s="20"/>
      <c r="N1513" s="126"/>
      <c r="O1513" s="126"/>
      <c r="P1513" s="126"/>
      <c r="Q1513" s="198"/>
      <c r="R1513" s="172"/>
      <c r="S1513" s="199"/>
      <c r="AE1513" s="143"/>
      <c r="AF1513" s="143"/>
      <c r="AG1513" s="143"/>
      <c r="AH1513" s="143"/>
      <c r="AI1513" s="143"/>
      <c r="AJ1513" s="143"/>
      <c r="AK1513" s="143"/>
      <c r="AL1513" s="143"/>
      <c r="AM1513" s="145"/>
      <c r="AN1513" s="143"/>
    </row>
    <row r="1514" s="100" customFormat="1" spans="3:40">
      <c r="C1514" s="136"/>
      <c r="D1514" s="136"/>
      <c r="F1514" s="15"/>
      <c r="G1514" s="138"/>
      <c r="H1514" s="138"/>
      <c r="I1514" s="126"/>
      <c r="J1514" s="15"/>
      <c r="K1514" s="15"/>
      <c r="L1514" s="20"/>
      <c r="M1514" s="20"/>
      <c r="N1514" s="126"/>
      <c r="O1514" s="126"/>
      <c r="P1514" s="126"/>
      <c r="Q1514" s="198"/>
      <c r="R1514" s="172"/>
      <c r="S1514" s="199"/>
      <c r="AE1514" s="143"/>
      <c r="AF1514" s="143"/>
      <c r="AG1514" s="143"/>
      <c r="AH1514" s="143"/>
      <c r="AI1514" s="143"/>
      <c r="AJ1514" s="143"/>
      <c r="AK1514" s="143"/>
      <c r="AL1514" s="143"/>
      <c r="AM1514" s="145"/>
      <c r="AN1514" s="143"/>
    </row>
    <row r="1515" s="100" customFormat="1" spans="3:40">
      <c r="C1515" s="136"/>
      <c r="D1515" s="136"/>
      <c r="F1515" s="15"/>
      <c r="G1515" s="138"/>
      <c r="H1515" s="138"/>
      <c r="I1515" s="126"/>
      <c r="J1515" s="15"/>
      <c r="K1515" s="15"/>
      <c r="L1515" s="20"/>
      <c r="M1515" s="20"/>
      <c r="N1515" s="126"/>
      <c r="O1515" s="126"/>
      <c r="P1515" s="126"/>
      <c r="Q1515" s="198"/>
      <c r="R1515" s="172"/>
      <c r="S1515" s="199"/>
      <c r="AE1515" s="143"/>
      <c r="AF1515" s="143"/>
      <c r="AG1515" s="143"/>
      <c r="AH1515" s="143"/>
      <c r="AI1515" s="143"/>
      <c r="AJ1515" s="143"/>
      <c r="AK1515" s="143"/>
      <c r="AL1515" s="143"/>
      <c r="AM1515" s="143"/>
      <c r="AN1515" s="143"/>
    </row>
    <row r="1516" s="100" customFormat="1" spans="3:40">
      <c r="C1516" s="136"/>
      <c r="D1516" s="136"/>
      <c r="F1516" s="15"/>
      <c r="G1516" s="138"/>
      <c r="H1516" s="138"/>
      <c r="I1516" s="126"/>
      <c r="J1516" s="15"/>
      <c r="K1516" s="15"/>
      <c r="L1516" s="20"/>
      <c r="M1516" s="20"/>
      <c r="N1516" s="126"/>
      <c r="O1516" s="126"/>
      <c r="P1516" s="126"/>
      <c r="Q1516" s="198"/>
      <c r="R1516" s="172"/>
      <c r="S1516" s="199"/>
      <c r="AE1516" s="143"/>
      <c r="AF1516" s="143"/>
      <c r="AG1516" s="143"/>
      <c r="AH1516" s="143"/>
      <c r="AI1516" s="143"/>
      <c r="AJ1516" s="143"/>
      <c r="AK1516" s="143"/>
      <c r="AL1516" s="143"/>
      <c r="AM1516" s="145"/>
      <c r="AN1516" s="143"/>
    </row>
    <row r="1517" s="100" customFormat="1" spans="3:40">
      <c r="C1517" s="136"/>
      <c r="D1517" s="136"/>
      <c r="F1517" s="15"/>
      <c r="G1517" s="138"/>
      <c r="H1517" s="138"/>
      <c r="I1517" s="126"/>
      <c r="J1517" s="15"/>
      <c r="K1517" s="15"/>
      <c r="L1517" s="20"/>
      <c r="M1517" s="20"/>
      <c r="N1517" s="126"/>
      <c r="O1517" s="126"/>
      <c r="P1517" s="126"/>
      <c r="Q1517" s="198"/>
      <c r="R1517" s="172"/>
      <c r="S1517" s="199"/>
      <c r="AE1517" s="143"/>
      <c r="AF1517" s="143"/>
      <c r="AG1517" s="143"/>
      <c r="AH1517" s="143"/>
      <c r="AI1517" s="143"/>
      <c r="AJ1517" s="143"/>
      <c r="AK1517" s="143"/>
      <c r="AL1517" s="143"/>
      <c r="AM1517" s="143"/>
      <c r="AN1517" s="143"/>
    </row>
    <row r="1518" s="100" customFormat="1" spans="3:40">
      <c r="C1518" s="136"/>
      <c r="D1518" s="136"/>
      <c r="F1518" s="15"/>
      <c r="G1518" s="138"/>
      <c r="H1518" s="138"/>
      <c r="I1518" s="126"/>
      <c r="J1518" s="15"/>
      <c r="K1518" s="15"/>
      <c r="L1518" s="20"/>
      <c r="M1518" s="20"/>
      <c r="N1518" s="126"/>
      <c r="O1518" s="126"/>
      <c r="P1518" s="126"/>
      <c r="Q1518" s="198"/>
      <c r="R1518" s="172"/>
      <c r="S1518" s="199"/>
      <c r="AE1518" s="143"/>
      <c r="AF1518" s="143"/>
      <c r="AG1518" s="143"/>
      <c r="AH1518" s="143"/>
      <c r="AI1518" s="143"/>
      <c r="AJ1518" s="143"/>
      <c r="AK1518" s="143"/>
      <c r="AL1518" s="143"/>
      <c r="AM1518" s="143"/>
      <c r="AN1518" s="143"/>
    </row>
    <row r="1519" s="100" customFormat="1" spans="3:40">
      <c r="C1519" s="136"/>
      <c r="D1519" s="136"/>
      <c r="F1519" s="15"/>
      <c r="G1519" s="138"/>
      <c r="H1519" s="138"/>
      <c r="I1519" s="126"/>
      <c r="J1519" s="15"/>
      <c r="K1519" s="15"/>
      <c r="L1519" s="20"/>
      <c r="M1519" s="20"/>
      <c r="N1519" s="126"/>
      <c r="O1519" s="126"/>
      <c r="P1519" s="126"/>
      <c r="Q1519" s="198"/>
      <c r="R1519" s="172"/>
      <c r="S1519" s="199"/>
      <c r="AE1519" s="143"/>
      <c r="AF1519" s="143"/>
      <c r="AG1519" s="143"/>
      <c r="AH1519" s="143"/>
      <c r="AI1519" s="143"/>
      <c r="AJ1519" s="143"/>
      <c r="AK1519" s="143"/>
      <c r="AL1519" s="143"/>
      <c r="AM1519" s="143"/>
      <c r="AN1519" s="143"/>
    </row>
    <row r="1520" s="100" customFormat="1" spans="3:40">
      <c r="C1520" s="136"/>
      <c r="D1520" s="136"/>
      <c r="F1520" s="15"/>
      <c r="G1520" s="138"/>
      <c r="H1520" s="138"/>
      <c r="I1520" s="126"/>
      <c r="J1520" s="15"/>
      <c r="K1520" s="15"/>
      <c r="L1520" s="20"/>
      <c r="M1520" s="20"/>
      <c r="N1520" s="126"/>
      <c r="O1520" s="126"/>
      <c r="P1520" s="126"/>
      <c r="Q1520" s="198"/>
      <c r="R1520" s="172"/>
      <c r="S1520" s="199"/>
      <c r="AE1520" s="143"/>
      <c r="AF1520" s="143"/>
      <c r="AG1520" s="143"/>
      <c r="AH1520" s="143"/>
      <c r="AI1520" s="143"/>
      <c r="AJ1520" s="143"/>
      <c r="AK1520" s="143"/>
      <c r="AL1520" s="143"/>
      <c r="AM1520" s="143"/>
      <c r="AN1520" s="143"/>
    </row>
    <row r="1521" s="100" customFormat="1" spans="3:40">
      <c r="C1521" s="136"/>
      <c r="D1521" s="136"/>
      <c r="F1521" s="15"/>
      <c r="G1521" s="138"/>
      <c r="H1521" s="138"/>
      <c r="I1521" s="126"/>
      <c r="J1521" s="15"/>
      <c r="K1521" s="15"/>
      <c r="L1521" s="20"/>
      <c r="M1521" s="20"/>
      <c r="N1521" s="126"/>
      <c r="O1521" s="126"/>
      <c r="P1521" s="126"/>
      <c r="Q1521" s="198"/>
      <c r="R1521" s="172"/>
      <c r="S1521" s="199"/>
      <c r="AE1521" s="143"/>
      <c r="AF1521" s="143"/>
      <c r="AG1521" s="143"/>
      <c r="AH1521" s="143"/>
      <c r="AI1521" s="143"/>
      <c r="AJ1521" s="143"/>
      <c r="AK1521" s="143"/>
      <c r="AL1521" s="143"/>
      <c r="AM1521" s="143"/>
      <c r="AN1521" s="143"/>
    </row>
    <row r="1522" s="100" customFormat="1" spans="3:40">
      <c r="C1522" s="136"/>
      <c r="D1522" s="136"/>
      <c r="F1522" s="15"/>
      <c r="G1522" s="138"/>
      <c r="H1522" s="138"/>
      <c r="I1522" s="126"/>
      <c r="J1522" s="15"/>
      <c r="K1522" s="15"/>
      <c r="L1522" s="20"/>
      <c r="M1522" s="20"/>
      <c r="N1522" s="126"/>
      <c r="O1522" s="126"/>
      <c r="P1522" s="126"/>
      <c r="Q1522" s="198"/>
      <c r="R1522" s="172"/>
      <c r="S1522" s="199"/>
      <c r="AE1522" s="143"/>
      <c r="AF1522" s="143"/>
      <c r="AG1522" s="143"/>
      <c r="AH1522" s="143"/>
      <c r="AI1522" s="143"/>
      <c r="AJ1522" s="143"/>
      <c r="AK1522" s="143"/>
      <c r="AL1522" s="143"/>
      <c r="AM1522" s="145"/>
      <c r="AN1522" s="143"/>
    </row>
    <row r="1523" s="100" customFormat="1" spans="3:40">
      <c r="C1523" s="136"/>
      <c r="D1523" s="136"/>
      <c r="F1523" s="15"/>
      <c r="G1523" s="138"/>
      <c r="H1523" s="138"/>
      <c r="I1523" s="126"/>
      <c r="J1523" s="15"/>
      <c r="K1523" s="15"/>
      <c r="L1523" s="20"/>
      <c r="M1523" s="20"/>
      <c r="N1523" s="126"/>
      <c r="O1523" s="126"/>
      <c r="P1523" s="126"/>
      <c r="Q1523" s="198"/>
      <c r="R1523" s="172"/>
      <c r="S1523" s="199"/>
      <c r="AE1523" s="143"/>
      <c r="AF1523" s="143"/>
      <c r="AG1523" s="143"/>
      <c r="AH1523" s="143"/>
      <c r="AI1523" s="143"/>
      <c r="AJ1523" s="143"/>
      <c r="AK1523" s="143"/>
      <c r="AL1523" s="143"/>
      <c r="AM1523" s="145"/>
      <c r="AN1523" s="143"/>
    </row>
    <row r="1524" s="100" customFormat="1" spans="3:40">
      <c r="C1524" s="136"/>
      <c r="D1524" s="136"/>
      <c r="F1524" s="15"/>
      <c r="G1524" s="138"/>
      <c r="H1524" s="138"/>
      <c r="I1524" s="126"/>
      <c r="J1524" s="15"/>
      <c r="K1524" s="15"/>
      <c r="L1524" s="20"/>
      <c r="M1524" s="20"/>
      <c r="N1524" s="126"/>
      <c r="O1524" s="126"/>
      <c r="P1524" s="126"/>
      <c r="Q1524" s="198"/>
      <c r="R1524" s="172"/>
      <c r="S1524" s="199"/>
      <c r="AE1524" s="143"/>
      <c r="AF1524" s="143"/>
      <c r="AG1524" s="143"/>
      <c r="AH1524" s="143"/>
      <c r="AI1524" s="143"/>
      <c r="AJ1524" s="143"/>
      <c r="AK1524" s="143"/>
      <c r="AL1524" s="143"/>
      <c r="AM1524" s="145"/>
      <c r="AN1524" s="143"/>
    </row>
    <row r="1525" s="100" customFormat="1" spans="3:40">
      <c r="C1525" s="136"/>
      <c r="D1525" s="136"/>
      <c r="F1525" s="15"/>
      <c r="G1525" s="138"/>
      <c r="H1525" s="138"/>
      <c r="I1525" s="126"/>
      <c r="J1525" s="15"/>
      <c r="K1525" s="15"/>
      <c r="L1525" s="20"/>
      <c r="M1525" s="20"/>
      <c r="N1525" s="126"/>
      <c r="O1525" s="126"/>
      <c r="P1525" s="126"/>
      <c r="Q1525" s="198"/>
      <c r="R1525" s="172"/>
      <c r="S1525" s="199"/>
      <c r="AE1525" s="143"/>
      <c r="AF1525" s="143"/>
      <c r="AG1525" s="143"/>
      <c r="AH1525" s="143"/>
      <c r="AI1525" s="143"/>
      <c r="AJ1525" s="143"/>
      <c r="AK1525" s="143"/>
      <c r="AL1525" s="143"/>
      <c r="AM1525" s="145"/>
      <c r="AN1525" s="143"/>
    </row>
    <row r="1526" s="100" customFormat="1" spans="3:40">
      <c r="C1526" s="136"/>
      <c r="D1526" s="136"/>
      <c r="F1526" s="15"/>
      <c r="G1526" s="138"/>
      <c r="H1526" s="138"/>
      <c r="I1526" s="126"/>
      <c r="J1526" s="15"/>
      <c r="K1526" s="15"/>
      <c r="L1526" s="20"/>
      <c r="M1526" s="20"/>
      <c r="N1526" s="126"/>
      <c r="O1526" s="126"/>
      <c r="P1526" s="126"/>
      <c r="Q1526" s="198"/>
      <c r="R1526" s="172"/>
      <c r="S1526" s="199"/>
      <c r="AE1526" s="143"/>
      <c r="AF1526" s="143"/>
      <c r="AG1526" s="143"/>
      <c r="AH1526" s="143"/>
      <c r="AI1526" s="143"/>
      <c r="AJ1526" s="143"/>
      <c r="AK1526" s="143"/>
      <c r="AL1526" s="143"/>
      <c r="AM1526" s="145"/>
      <c r="AN1526" s="143"/>
    </row>
    <row r="1527" s="100" customFormat="1" spans="3:40">
      <c r="C1527" s="136"/>
      <c r="D1527" s="136"/>
      <c r="F1527" s="15"/>
      <c r="G1527" s="138"/>
      <c r="H1527" s="138"/>
      <c r="I1527" s="126"/>
      <c r="J1527" s="15"/>
      <c r="K1527" s="15"/>
      <c r="L1527" s="20"/>
      <c r="M1527" s="20"/>
      <c r="N1527" s="126"/>
      <c r="O1527" s="126"/>
      <c r="P1527" s="126"/>
      <c r="Q1527" s="198"/>
      <c r="R1527" s="172"/>
      <c r="S1527" s="199"/>
      <c r="AE1527" s="143"/>
      <c r="AF1527" s="143"/>
      <c r="AG1527" s="143"/>
      <c r="AH1527" s="143"/>
      <c r="AI1527" s="143"/>
      <c r="AJ1527" s="143"/>
      <c r="AK1527" s="143"/>
      <c r="AL1527" s="143"/>
      <c r="AM1527" s="145"/>
      <c r="AN1527" s="143"/>
    </row>
    <row r="1528" s="100" customFormat="1" spans="3:40">
      <c r="C1528" s="136"/>
      <c r="D1528" s="136"/>
      <c r="F1528" s="15"/>
      <c r="G1528" s="138"/>
      <c r="H1528" s="138"/>
      <c r="I1528" s="126"/>
      <c r="J1528" s="15"/>
      <c r="K1528" s="15"/>
      <c r="L1528" s="20"/>
      <c r="M1528" s="20"/>
      <c r="N1528" s="126"/>
      <c r="O1528" s="126"/>
      <c r="P1528" s="126"/>
      <c r="Q1528" s="198"/>
      <c r="R1528" s="172"/>
      <c r="S1528" s="199"/>
      <c r="AE1528" s="143"/>
      <c r="AF1528" s="143"/>
      <c r="AG1528" s="143"/>
      <c r="AH1528" s="143"/>
      <c r="AI1528" s="143"/>
      <c r="AJ1528" s="143"/>
      <c r="AK1528" s="143"/>
      <c r="AL1528" s="143"/>
      <c r="AM1528" s="145"/>
      <c r="AN1528" s="143"/>
    </row>
    <row r="1529" s="100" customFormat="1" spans="3:40">
      <c r="C1529" s="136"/>
      <c r="D1529" s="136"/>
      <c r="F1529" s="15"/>
      <c r="G1529" s="138"/>
      <c r="H1529" s="138"/>
      <c r="I1529" s="126"/>
      <c r="J1529" s="15"/>
      <c r="K1529" s="15"/>
      <c r="L1529" s="20"/>
      <c r="M1529" s="20"/>
      <c r="N1529" s="126"/>
      <c r="O1529" s="126"/>
      <c r="P1529" s="126"/>
      <c r="Q1529" s="198"/>
      <c r="R1529" s="172"/>
      <c r="S1529" s="199"/>
      <c r="AE1529" s="143"/>
      <c r="AF1529" s="143"/>
      <c r="AG1529" s="143"/>
      <c r="AH1529" s="143"/>
      <c r="AI1529" s="143"/>
      <c r="AJ1529" s="143"/>
      <c r="AK1529" s="143"/>
      <c r="AL1529" s="143"/>
      <c r="AM1529" s="143"/>
      <c r="AN1529" s="143"/>
    </row>
    <row r="1530" s="100" customFormat="1" spans="3:40">
      <c r="C1530" s="136"/>
      <c r="D1530" s="136"/>
      <c r="F1530" s="15"/>
      <c r="G1530" s="138"/>
      <c r="H1530" s="138"/>
      <c r="I1530" s="126"/>
      <c r="J1530" s="15"/>
      <c r="K1530" s="15"/>
      <c r="L1530" s="20"/>
      <c r="M1530" s="20"/>
      <c r="N1530" s="126"/>
      <c r="O1530" s="126"/>
      <c r="P1530" s="126"/>
      <c r="Q1530" s="198"/>
      <c r="R1530" s="172"/>
      <c r="S1530" s="199"/>
      <c r="AE1530" s="143"/>
      <c r="AF1530" s="143"/>
      <c r="AG1530" s="143"/>
      <c r="AH1530" s="143"/>
      <c r="AI1530" s="143"/>
      <c r="AJ1530" s="143"/>
      <c r="AK1530" s="143"/>
      <c r="AL1530" s="143"/>
      <c r="AM1530" s="145"/>
      <c r="AN1530" s="143"/>
    </row>
    <row r="1531" s="100" customFormat="1" spans="3:40">
      <c r="C1531" s="136"/>
      <c r="D1531" s="136"/>
      <c r="F1531" s="15"/>
      <c r="G1531" s="138"/>
      <c r="H1531" s="138"/>
      <c r="I1531" s="126"/>
      <c r="J1531" s="15"/>
      <c r="K1531" s="15"/>
      <c r="L1531" s="20"/>
      <c r="M1531" s="20"/>
      <c r="N1531" s="126"/>
      <c r="O1531" s="126"/>
      <c r="P1531" s="126"/>
      <c r="Q1531" s="198"/>
      <c r="R1531" s="172"/>
      <c r="S1531" s="199"/>
      <c r="AE1531" s="143"/>
      <c r="AF1531" s="143"/>
      <c r="AG1531" s="143"/>
      <c r="AH1531" s="143"/>
      <c r="AI1531" s="143"/>
      <c r="AJ1531" s="143"/>
      <c r="AK1531" s="143"/>
      <c r="AL1531" s="143"/>
      <c r="AM1531" s="145"/>
      <c r="AN1531" s="143"/>
    </row>
    <row r="1532" s="100" customFormat="1" spans="3:40">
      <c r="C1532" s="136"/>
      <c r="D1532" s="136"/>
      <c r="F1532" s="15"/>
      <c r="G1532" s="138"/>
      <c r="H1532" s="138"/>
      <c r="I1532" s="126"/>
      <c r="J1532" s="15"/>
      <c r="K1532" s="15"/>
      <c r="L1532" s="20"/>
      <c r="M1532" s="20"/>
      <c r="N1532" s="126"/>
      <c r="O1532" s="126"/>
      <c r="P1532" s="126"/>
      <c r="Q1532" s="198"/>
      <c r="R1532" s="172"/>
      <c r="S1532" s="199"/>
      <c r="AE1532" s="143"/>
      <c r="AF1532" s="143"/>
      <c r="AG1532" s="143"/>
      <c r="AH1532" s="143"/>
      <c r="AI1532" s="143"/>
      <c r="AJ1532" s="143"/>
      <c r="AK1532" s="143"/>
      <c r="AL1532" s="143"/>
      <c r="AM1532" s="145"/>
      <c r="AN1532" s="143"/>
    </row>
    <row r="1533" s="100" customFormat="1" spans="3:40">
      <c r="C1533" s="136"/>
      <c r="D1533" s="136"/>
      <c r="F1533" s="15"/>
      <c r="G1533" s="138"/>
      <c r="H1533" s="138"/>
      <c r="I1533" s="126"/>
      <c r="J1533" s="15"/>
      <c r="K1533" s="15"/>
      <c r="L1533" s="20"/>
      <c r="M1533" s="20"/>
      <c r="N1533" s="126"/>
      <c r="O1533" s="126"/>
      <c r="P1533" s="126"/>
      <c r="Q1533" s="198"/>
      <c r="R1533" s="172"/>
      <c r="S1533" s="199"/>
      <c r="AE1533" s="143"/>
      <c r="AF1533" s="143"/>
      <c r="AG1533" s="143"/>
      <c r="AH1533" s="143"/>
      <c r="AI1533" s="143"/>
      <c r="AJ1533" s="143"/>
      <c r="AK1533" s="143"/>
      <c r="AL1533" s="143"/>
      <c r="AM1533" s="143"/>
      <c r="AN1533" s="143"/>
    </row>
    <row r="1534" s="100" customFormat="1" spans="3:40">
      <c r="C1534" s="136"/>
      <c r="D1534" s="136"/>
      <c r="F1534" s="15"/>
      <c r="G1534" s="138"/>
      <c r="H1534" s="138"/>
      <c r="I1534" s="126"/>
      <c r="J1534" s="15"/>
      <c r="K1534" s="15"/>
      <c r="L1534" s="20"/>
      <c r="M1534" s="20"/>
      <c r="N1534" s="126"/>
      <c r="O1534" s="126"/>
      <c r="P1534" s="126"/>
      <c r="Q1534" s="198"/>
      <c r="R1534" s="172"/>
      <c r="S1534" s="199"/>
      <c r="AE1534" s="143"/>
      <c r="AF1534" s="143"/>
      <c r="AG1534" s="143"/>
      <c r="AH1534" s="143"/>
      <c r="AI1534" s="143"/>
      <c r="AJ1534" s="143"/>
      <c r="AK1534" s="143"/>
      <c r="AL1534" s="143"/>
      <c r="AM1534" s="143"/>
      <c r="AN1534" s="143"/>
    </row>
    <row r="1535" s="100" customFormat="1" spans="3:40">
      <c r="C1535" s="136"/>
      <c r="D1535" s="136"/>
      <c r="F1535" s="15"/>
      <c r="G1535" s="138"/>
      <c r="H1535" s="138"/>
      <c r="I1535" s="126"/>
      <c r="J1535" s="15"/>
      <c r="K1535" s="15"/>
      <c r="L1535" s="20"/>
      <c r="M1535" s="20"/>
      <c r="N1535" s="126"/>
      <c r="O1535" s="126"/>
      <c r="P1535" s="126"/>
      <c r="Q1535" s="198"/>
      <c r="R1535" s="172"/>
      <c r="S1535" s="199"/>
      <c r="AE1535" s="143"/>
      <c r="AF1535" s="143"/>
      <c r="AG1535" s="143"/>
      <c r="AH1535" s="143"/>
      <c r="AI1535" s="143"/>
      <c r="AJ1535" s="143"/>
      <c r="AK1535" s="143"/>
      <c r="AL1535" s="143"/>
      <c r="AM1535" s="143"/>
      <c r="AN1535" s="143"/>
    </row>
    <row r="1536" s="100" customFormat="1" spans="3:40">
      <c r="C1536" s="136"/>
      <c r="D1536" s="136"/>
      <c r="F1536" s="15"/>
      <c r="G1536" s="138"/>
      <c r="H1536" s="138"/>
      <c r="I1536" s="126"/>
      <c r="J1536" s="15"/>
      <c r="K1536" s="15"/>
      <c r="L1536" s="20"/>
      <c r="M1536" s="20"/>
      <c r="N1536" s="126"/>
      <c r="O1536" s="126"/>
      <c r="P1536" s="126"/>
      <c r="Q1536" s="198"/>
      <c r="R1536" s="172"/>
      <c r="S1536" s="199"/>
      <c r="AE1536" s="143"/>
      <c r="AF1536" s="143"/>
      <c r="AG1536" s="143"/>
      <c r="AH1536" s="143"/>
      <c r="AI1536" s="143"/>
      <c r="AJ1536" s="143"/>
      <c r="AK1536" s="143"/>
      <c r="AL1536" s="143"/>
      <c r="AM1536" s="143"/>
      <c r="AN1536" s="143"/>
    </row>
    <row r="1537" s="100" customFormat="1" spans="3:40">
      <c r="C1537" s="136"/>
      <c r="D1537" s="136"/>
      <c r="F1537" s="15"/>
      <c r="G1537" s="138"/>
      <c r="H1537" s="138"/>
      <c r="I1537" s="126"/>
      <c r="J1537" s="15"/>
      <c r="K1537" s="15"/>
      <c r="L1537" s="20"/>
      <c r="M1537" s="20"/>
      <c r="N1537" s="126"/>
      <c r="O1537" s="126"/>
      <c r="P1537" s="126"/>
      <c r="Q1537" s="198"/>
      <c r="R1537" s="172"/>
      <c r="S1537" s="199"/>
      <c r="AE1537" s="143"/>
      <c r="AF1537" s="143"/>
      <c r="AG1537" s="143"/>
      <c r="AH1537" s="143"/>
      <c r="AI1537" s="143"/>
      <c r="AJ1537" s="143"/>
      <c r="AK1537" s="143"/>
      <c r="AL1537" s="143"/>
      <c r="AM1537" s="143"/>
      <c r="AN1537" s="143"/>
    </row>
    <row r="1538" s="100" customFormat="1" spans="3:40">
      <c r="C1538" s="136"/>
      <c r="D1538" s="136"/>
      <c r="F1538" s="15"/>
      <c r="G1538" s="138"/>
      <c r="H1538" s="138"/>
      <c r="I1538" s="126"/>
      <c r="J1538" s="15"/>
      <c r="K1538" s="15"/>
      <c r="L1538" s="20"/>
      <c r="M1538" s="20"/>
      <c r="N1538" s="126"/>
      <c r="O1538" s="126"/>
      <c r="P1538" s="126"/>
      <c r="Q1538" s="198"/>
      <c r="R1538" s="172"/>
      <c r="S1538" s="199"/>
      <c r="AE1538" s="143"/>
      <c r="AF1538" s="143"/>
      <c r="AG1538" s="143"/>
      <c r="AH1538" s="143"/>
      <c r="AI1538" s="143"/>
      <c r="AJ1538" s="143"/>
      <c r="AK1538" s="143"/>
      <c r="AL1538" s="143"/>
      <c r="AM1538" s="143"/>
      <c r="AN1538" s="143"/>
    </row>
    <row r="1539" s="100" customFormat="1" spans="3:40">
      <c r="C1539" s="136"/>
      <c r="D1539" s="136"/>
      <c r="F1539" s="15"/>
      <c r="G1539" s="138"/>
      <c r="H1539" s="138"/>
      <c r="I1539" s="126"/>
      <c r="J1539" s="15"/>
      <c r="K1539" s="15"/>
      <c r="L1539" s="20"/>
      <c r="M1539" s="20"/>
      <c r="N1539" s="126"/>
      <c r="O1539" s="126"/>
      <c r="P1539" s="126"/>
      <c r="Q1539" s="198"/>
      <c r="R1539" s="172"/>
      <c r="S1539" s="199"/>
      <c r="AE1539" s="143"/>
      <c r="AF1539" s="143"/>
      <c r="AG1539" s="143"/>
      <c r="AH1539" s="143"/>
      <c r="AI1539" s="143"/>
      <c r="AJ1539" s="143"/>
      <c r="AK1539" s="143"/>
      <c r="AL1539" s="143"/>
      <c r="AM1539" s="143"/>
      <c r="AN1539" s="143"/>
    </row>
    <row r="1540" s="100" customFormat="1" spans="3:40">
      <c r="C1540" s="136"/>
      <c r="D1540" s="136"/>
      <c r="F1540" s="20"/>
      <c r="G1540" s="138"/>
      <c r="H1540" s="138"/>
      <c r="I1540" s="126"/>
      <c r="J1540" s="20"/>
      <c r="K1540" s="20"/>
      <c r="L1540" s="20"/>
      <c r="M1540" s="20"/>
      <c r="N1540" s="126"/>
      <c r="O1540" s="126"/>
      <c r="P1540" s="126"/>
      <c r="Q1540" s="198"/>
      <c r="R1540" s="172"/>
      <c r="S1540" s="199"/>
      <c r="AE1540" s="143"/>
      <c r="AF1540" s="143"/>
      <c r="AG1540" s="143"/>
      <c r="AH1540" s="143"/>
      <c r="AI1540" s="143"/>
      <c r="AJ1540" s="143"/>
      <c r="AK1540" s="143"/>
      <c r="AL1540" s="143"/>
      <c r="AM1540" s="145"/>
      <c r="AN1540" s="143"/>
    </row>
    <row r="1541" s="100" customFormat="1" spans="3:40">
      <c r="C1541" s="136"/>
      <c r="D1541" s="136"/>
      <c r="F1541" s="20"/>
      <c r="G1541" s="138"/>
      <c r="H1541" s="138"/>
      <c r="I1541" s="126"/>
      <c r="J1541" s="20"/>
      <c r="K1541" s="20"/>
      <c r="L1541" s="20"/>
      <c r="M1541" s="20"/>
      <c r="N1541" s="126"/>
      <c r="O1541" s="126"/>
      <c r="P1541" s="126"/>
      <c r="Q1541" s="198"/>
      <c r="R1541" s="172"/>
      <c r="S1541" s="199"/>
      <c r="AE1541" s="143"/>
      <c r="AF1541" s="143"/>
      <c r="AG1541" s="143"/>
      <c r="AH1541" s="143"/>
      <c r="AI1541" s="143"/>
      <c r="AJ1541" s="143"/>
      <c r="AK1541" s="143"/>
      <c r="AL1541" s="143"/>
      <c r="AM1541" s="145"/>
      <c r="AN1541" s="143"/>
    </row>
    <row r="1542" s="100" customFormat="1" spans="3:40">
      <c r="C1542" s="136"/>
      <c r="D1542" s="136"/>
      <c r="F1542" s="20"/>
      <c r="G1542" s="138"/>
      <c r="H1542" s="138"/>
      <c r="I1542" s="126"/>
      <c r="J1542" s="20"/>
      <c r="K1542" s="20"/>
      <c r="L1542" s="20"/>
      <c r="M1542" s="20"/>
      <c r="N1542" s="126"/>
      <c r="O1542" s="126"/>
      <c r="P1542" s="126"/>
      <c r="Q1542" s="198"/>
      <c r="R1542" s="172"/>
      <c r="S1542" s="199"/>
      <c r="AE1542" s="143"/>
      <c r="AF1542" s="143"/>
      <c r="AG1542" s="143"/>
      <c r="AH1542" s="143"/>
      <c r="AI1542" s="143"/>
      <c r="AJ1542" s="143"/>
      <c r="AK1542" s="143"/>
      <c r="AL1542" s="143"/>
      <c r="AM1542" s="145"/>
      <c r="AN1542" s="143"/>
    </row>
    <row r="1543" s="100" customFormat="1" spans="3:40">
      <c r="C1543" s="136"/>
      <c r="D1543" s="136"/>
      <c r="F1543" s="20"/>
      <c r="G1543" s="138"/>
      <c r="H1543" s="138"/>
      <c r="I1543" s="126"/>
      <c r="J1543" s="20"/>
      <c r="K1543" s="20"/>
      <c r="L1543" s="20"/>
      <c r="M1543" s="20"/>
      <c r="N1543" s="126"/>
      <c r="O1543" s="126"/>
      <c r="P1543" s="126"/>
      <c r="Q1543" s="198"/>
      <c r="R1543" s="172"/>
      <c r="S1543" s="199"/>
      <c r="AE1543" s="143"/>
      <c r="AF1543" s="143"/>
      <c r="AG1543" s="143"/>
      <c r="AH1543" s="143"/>
      <c r="AI1543" s="143"/>
      <c r="AJ1543" s="143"/>
      <c r="AK1543" s="143"/>
      <c r="AL1543" s="143"/>
      <c r="AM1543" s="143"/>
      <c r="AN1543" s="151"/>
    </row>
    <row r="1544" s="100" customFormat="1" spans="3:40">
      <c r="C1544" s="136"/>
      <c r="D1544" s="136"/>
      <c r="F1544" s="20"/>
      <c r="G1544" s="138"/>
      <c r="H1544" s="138"/>
      <c r="I1544" s="126"/>
      <c r="J1544" s="20"/>
      <c r="K1544" s="20"/>
      <c r="L1544" s="20"/>
      <c r="M1544" s="20"/>
      <c r="N1544" s="126"/>
      <c r="O1544" s="126"/>
      <c r="P1544" s="126"/>
      <c r="Q1544" s="198"/>
      <c r="R1544" s="172"/>
      <c r="S1544" s="199"/>
      <c r="AE1544" s="143"/>
      <c r="AF1544" s="143"/>
      <c r="AG1544" s="143"/>
      <c r="AH1544" s="143"/>
      <c r="AI1544" s="143"/>
      <c r="AJ1544" s="143"/>
      <c r="AK1544" s="143"/>
      <c r="AL1544" s="143"/>
      <c r="AM1544" s="145"/>
      <c r="AN1544" s="143"/>
    </row>
    <row r="1545" s="100" customFormat="1" spans="3:40">
      <c r="C1545" s="136"/>
      <c r="D1545" s="136"/>
      <c r="F1545" s="20"/>
      <c r="G1545" s="138"/>
      <c r="H1545" s="138"/>
      <c r="I1545" s="126"/>
      <c r="J1545" s="20"/>
      <c r="K1545" s="20"/>
      <c r="L1545" s="20"/>
      <c r="M1545" s="20"/>
      <c r="N1545" s="126"/>
      <c r="O1545" s="126"/>
      <c r="P1545" s="126"/>
      <c r="Q1545" s="202"/>
      <c r="R1545" s="172"/>
      <c r="S1545" s="20"/>
      <c r="AE1545" s="143"/>
      <c r="AF1545" s="143"/>
      <c r="AG1545" s="143"/>
      <c r="AH1545" s="143"/>
      <c r="AI1545" s="143"/>
      <c r="AJ1545" s="143"/>
      <c r="AK1545" s="143"/>
      <c r="AL1545" s="143"/>
      <c r="AM1545" s="145"/>
      <c r="AN1545" s="143"/>
    </row>
    <row r="1546" s="100" customFormat="1" spans="3:40">
      <c r="C1546" s="136"/>
      <c r="D1546" s="136"/>
      <c r="F1546" s="20"/>
      <c r="G1546" s="138"/>
      <c r="H1546" s="138"/>
      <c r="I1546" s="126"/>
      <c r="J1546" s="20"/>
      <c r="K1546" s="20"/>
      <c r="L1546" s="20"/>
      <c r="M1546" s="20"/>
      <c r="N1546" s="126"/>
      <c r="O1546" s="126"/>
      <c r="P1546" s="126"/>
      <c r="Q1546" s="202"/>
      <c r="R1546" s="172"/>
      <c r="S1546" s="172"/>
      <c r="AE1546" s="143"/>
      <c r="AF1546" s="143"/>
      <c r="AG1546" s="143"/>
      <c r="AH1546" s="143"/>
      <c r="AI1546" s="143"/>
      <c r="AJ1546" s="143"/>
      <c r="AK1546" s="143"/>
      <c r="AL1546" s="143"/>
      <c r="AM1546" s="145"/>
      <c r="AN1546" s="143"/>
    </row>
    <row r="1547" s="100" customFormat="1" spans="3:40">
      <c r="C1547" s="136"/>
      <c r="D1547" s="136"/>
      <c r="F1547" s="20"/>
      <c r="G1547" s="138"/>
      <c r="H1547" s="138"/>
      <c r="I1547" s="126"/>
      <c r="J1547" s="20"/>
      <c r="K1547" s="20"/>
      <c r="L1547" s="20"/>
      <c r="M1547" s="20"/>
      <c r="N1547" s="126"/>
      <c r="O1547" s="126"/>
      <c r="P1547" s="126"/>
      <c r="Q1547" s="202"/>
      <c r="R1547" s="172"/>
      <c r="S1547" s="172"/>
      <c r="AE1547" s="143"/>
      <c r="AF1547" s="143"/>
      <c r="AG1547" s="143"/>
      <c r="AH1547" s="143"/>
      <c r="AI1547" s="143"/>
      <c r="AJ1547" s="143"/>
      <c r="AK1547" s="143"/>
      <c r="AL1547" s="143"/>
      <c r="AM1547" s="145"/>
      <c r="AN1547" s="143"/>
    </row>
    <row r="1548" s="100" customFormat="1" spans="3:40">
      <c r="C1548" s="136"/>
      <c r="D1548" s="136"/>
      <c r="F1548" s="20"/>
      <c r="G1548" s="138"/>
      <c r="H1548" s="138"/>
      <c r="I1548" s="126"/>
      <c r="J1548" s="20"/>
      <c r="K1548" s="20"/>
      <c r="L1548" s="20"/>
      <c r="M1548" s="20"/>
      <c r="N1548" s="126"/>
      <c r="O1548" s="126"/>
      <c r="P1548" s="126"/>
      <c r="Q1548" s="202"/>
      <c r="R1548" s="172"/>
      <c r="S1548" s="20"/>
      <c r="AE1548" s="143"/>
      <c r="AF1548" s="143"/>
      <c r="AG1548" s="143"/>
      <c r="AH1548" s="143"/>
      <c r="AI1548" s="143"/>
      <c r="AJ1548" s="143"/>
      <c r="AK1548" s="143"/>
      <c r="AL1548" s="143"/>
      <c r="AM1548" s="143"/>
      <c r="AN1548" s="143"/>
    </row>
    <row r="1549" s="100" customFormat="1" spans="3:40">
      <c r="C1549" s="136"/>
      <c r="D1549" s="136"/>
      <c r="F1549" s="20"/>
      <c r="G1549" s="138"/>
      <c r="H1549" s="138"/>
      <c r="I1549" s="126"/>
      <c r="J1549" s="20"/>
      <c r="K1549" s="20"/>
      <c r="L1549" s="20"/>
      <c r="M1549" s="20"/>
      <c r="N1549" s="126"/>
      <c r="O1549" s="126"/>
      <c r="P1549" s="126"/>
      <c r="Q1549" s="202"/>
      <c r="R1549" s="172"/>
      <c r="S1549" s="20"/>
      <c r="AE1549" s="143"/>
      <c r="AF1549" s="143"/>
      <c r="AG1549" s="143"/>
      <c r="AH1549" s="143"/>
      <c r="AI1549" s="143"/>
      <c r="AJ1549" s="143"/>
      <c r="AK1549" s="143"/>
      <c r="AL1549" s="143"/>
      <c r="AM1549" s="143"/>
      <c r="AN1549" s="143"/>
    </row>
    <row r="1550" s="100" customFormat="1" spans="3:40">
      <c r="C1550" s="136"/>
      <c r="D1550" s="136"/>
      <c r="F1550" s="20"/>
      <c r="G1550" s="138"/>
      <c r="H1550" s="138"/>
      <c r="I1550" s="126"/>
      <c r="J1550" s="20"/>
      <c r="K1550" s="20"/>
      <c r="L1550" s="20"/>
      <c r="M1550" s="20"/>
      <c r="N1550" s="126"/>
      <c r="O1550" s="126"/>
      <c r="P1550" s="126"/>
      <c r="Q1550" s="202"/>
      <c r="R1550" s="172"/>
      <c r="S1550" s="20"/>
      <c r="AE1550" s="143"/>
      <c r="AF1550" s="143"/>
      <c r="AG1550" s="143"/>
      <c r="AH1550" s="143"/>
      <c r="AI1550" s="143"/>
      <c r="AJ1550" s="143"/>
      <c r="AK1550" s="143"/>
      <c r="AL1550" s="143"/>
      <c r="AM1550" s="145"/>
      <c r="AN1550" s="143"/>
    </row>
    <row r="1551" s="100" customFormat="1" spans="3:40">
      <c r="C1551" s="136"/>
      <c r="D1551" s="136"/>
      <c r="F1551" s="20"/>
      <c r="G1551" s="138"/>
      <c r="H1551" s="138"/>
      <c r="I1551" s="126"/>
      <c r="J1551" s="20"/>
      <c r="K1551" s="20"/>
      <c r="L1551" s="20"/>
      <c r="M1551" s="20"/>
      <c r="N1551" s="126"/>
      <c r="O1551" s="126"/>
      <c r="P1551" s="126"/>
      <c r="Q1551" s="202"/>
      <c r="R1551" s="172"/>
      <c r="S1551" s="172"/>
      <c r="AE1551" s="143"/>
      <c r="AF1551" s="143"/>
      <c r="AG1551" s="143"/>
      <c r="AH1551" s="143"/>
      <c r="AI1551" s="143"/>
      <c r="AJ1551" s="143"/>
      <c r="AK1551" s="143"/>
      <c r="AL1551" s="143"/>
      <c r="AM1551" s="145"/>
      <c r="AN1551" s="143"/>
    </row>
    <row r="1552" s="100" customFormat="1" spans="3:40">
      <c r="C1552" s="136"/>
      <c r="D1552" s="136"/>
      <c r="F1552" s="20"/>
      <c r="G1552" s="138"/>
      <c r="H1552" s="138"/>
      <c r="I1552" s="126"/>
      <c r="J1552" s="20"/>
      <c r="K1552" s="20"/>
      <c r="L1552" s="20"/>
      <c r="M1552" s="20"/>
      <c r="N1552" s="126"/>
      <c r="O1552" s="126"/>
      <c r="P1552" s="126"/>
      <c r="Q1552" s="202"/>
      <c r="R1552" s="172"/>
      <c r="S1552" s="172"/>
      <c r="AE1552" s="143"/>
      <c r="AF1552" s="143"/>
      <c r="AG1552" s="143"/>
      <c r="AH1552" s="143"/>
      <c r="AI1552" s="143"/>
      <c r="AJ1552" s="143"/>
      <c r="AK1552" s="143"/>
      <c r="AL1552" s="143"/>
      <c r="AM1552" s="143"/>
      <c r="AN1552" s="143"/>
    </row>
    <row r="1553" s="100" customFormat="1" spans="3:40">
      <c r="C1553" s="136"/>
      <c r="D1553" s="136"/>
      <c r="F1553" s="20"/>
      <c r="G1553" s="138"/>
      <c r="H1553" s="138"/>
      <c r="I1553" s="126"/>
      <c r="J1553" s="20"/>
      <c r="K1553" s="20"/>
      <c r="L1553" s="20"/>
      <c r="M1553" s="20"/>
      <c r="N1553" s="126"/>
      <c r="O1553" s="126"/>
      <c r="P1553" s="126"/>
      <c r="Q1553" s="202"/>
      <c r="R1553" s="172"/>
      <c r="S1553" s="172"/>
      <c r="AE1553" s="143"/>
      <c r="AF1553" s="143"/>
      <c r="AG1553" s="143"/>
      <c r="AH1553" s="143"/>
      <c r="AI1553" s="143"/>
      <c r="AJ1553" s="143"/>
      <c r="AK1553" s="143"/>
      <c r="AL1553" s="143"/>
      <c r="AM1553" s="145"/>
      <c r="AN1553" s="143"/>
    </row>
    <row r="1554" s="100" customFormat="1" spans="3:40">
      <c r="C1554" s="136"/>
      <c r="D1554" s="136"/>
      <c r="F1554" s="20"/>
      <c r="G1554" s="138"/>
      <c r="H1554" s="138"/>
      <c r="I1554" s="126"/>
      <c r="J1554" s="20"/>
      <c r="K1554" s="20"/>
      <c r="L1554" s="20"/>
      <c r="M1554" s="20"/>
      <c r="N1554" s="126"/>
      <c r="O1554" s="126"/>
      <c r="P1554" s="126"/>
      <c r="Q1554" s="202"/>
      <c r="R1554" s="172"/>
      <c r="S1554" s="172"/>
      <c r="AE1554" s="143"/>
      <c r="AF1554" s="143"/>
      <c r="AG1554" s="143"/>
      <c r="AH1554" s="143"/>
      <c r="AI1554" s="143"/>
      <c r="AJ1554" s="143"/>
      <c r="AK1554" s="143"/>
      <c r="AL1554" s="143"/>
      <c r="AM1554" s="145"/>
      <c r="AN1554" s="143"/>
    </row>
    <row r="1555" s="100" customFormat="1" spans="3:40">
      <c r="C1555" s="136"/>
      <c r="D1555" s="136"/>
      <c r="F1555" s="20"/>
      <c r="G1555" s="138"/>
      <c r="H1555" s="138"/>
      <c r="I1555" s="126"/>
      <c r="J1555" s="20"/>
      <c r="K1555" s="20"/>
      <c r="L1555" s="20"/>
      <c r="M1555" s="20"/>
      <c r="N1555" s="126"/>
      <c r="O1555" s="126"/>
      <c r="P1555" s="126"/>
      <c r="Q1555" s="202"/>
      <c r="R1555" s="172"/>
      <c r="S1555" s="20"/>
      <c r="AE1555" s="143"/>
      <c r="AF1555" s="143"/>
      <c r="AG1555" s="143"/>
      <c r="AH1555" s="143"/>
      <c r="AI1555" s="143"/>
      <c r="AJ1555" s="143"/>
      <c r="AK1555" s="143"/>
      <c r="AL1555" s="143"/>
      <c r="AM1555" s="145"/>
      <c r="AN1555" s="143"/>
    </row>
    <row r="1556" s="100" customFormat="1" spans="3:40">
      <c r="C1556" s="136"/>
      <c r="D1556" s="136"/>
      <c r="F1556" s="20"/>
      <c r="G1556" s="138"/>
      <c r="H1556" s="138"/>
      <c r="I1556" s="126"/>
      <c r="J1556" s="20"/>
      <c r="K1556" s="20"/>
      <c r="L1556" s="20"/>
      <c r="M1556" s="20"/>
      <c r="N1556" s="126"/>
      <c r="O1556" s="126"/>
      <c r="P1556" s="126"/>
      <c r="Q1556" s="202"/>
      <c r="R1556" s="172"/>
      <c r="S1556" s="20"/>
      <c r="AE1556" s="143"/>
      <c r="AF1556" s="143"/>
      <c r="AG1556" s="143"/>
      <c r="AH1556" s="143"/>
      <c r="AI1556" s="143"/>
      <c r="AJ1556" s="143"/>
      <c r="AK1556" s="143"/>
      <c r="AL1556" s="143"/>
      <c r="AM1556" s="145"/>
      <c r="AN1556" s="143"/>
    </row>
    <row r="1557" s="100" customFormat="1" spans="3:40">
      <c r="C1557" s="136"/>
      <c r="D1557" s="136"/>
      <c r="F1557" s="20"/>
      <c r="G1557" s="138"/>
      <c r="H1557" s="138"/>
      <c r="I1557" s="126"/>
      <c r="J1557" s="20"/>
      <c r="K1557" s="20"/>
      <c r="L1557" s="20"/>
      <c r="M1557" s="20"/>
      <c r="N1557" s="126"/>
      <c r="O1557" s="126"/>
      <c r="P1557" s="126"/>
      <c r="Q1557" s="202"/>
      <c r="R1557" s="172"/>
      <c r="S1557" s="20"/>
      <c r="AE1557" s="143"/>
      <c r="AF1557" s="143"/>
      <c r="AG1557" s="143"/>
      <c r="AH1557" s="143"/>
      <c r="AI1557" s="143"/>
      <c r="AJ1557" s="143"/>
      <c r="AK1557" s="143"/>
      <c r="AL1557" s="143"/>
      <c r="AM1557" s="145"/>
      <c r="AN1557" s="143"/>
    </row>
    <row r="1558" s="100" customFormat="1" spans="3:40">
      <c r="C1558" s="136"/>
      <c r="D1558" s="136"/>
      <c r="F1558" s="20"/>
      <c r="G1558" s="138"/>
      <c r="H1558" s="138"/>
      <c r="I1558" s="126"/>
      <c r="J1558" s="20"/>
      <c r="K1558" s="20"/>
      <c r="L1558" s="20"/>
      <c r="M1558" s="20"/>
      <c r="N1558" s="126"/>
      <c r="O1558" s="126"/>
      <c r="P1558" s="126"/>
      <c r="Q1558" s="202"/>
      <c r="R1558" s="172"/>
      <c r="S1558" s="20"/>
      <c r="AE1558" s="143"/>
      <c r="AF1558" s="143"/>
      <c r="AG1558" s="143"/>
      <c r="AH1558" s="143"/>
      <c r="AI1558" s="143"/>
      <c r="AJ1558" s="143"/>
      <c r="AK1558" s="143"/>
      <c r="AL1558" s="143"/>
      <c r="AM1558" s="143"/>
      <c r="AN1558" s="143"/>
    </row>
    <row r="1559" s="100" customFormat="1" spans="3:40">
      <c r="C1559" s="136"/>
      <c r="D1559" s="136"/>
      <c r="F1559" s="20"/>
      <c r="G1559" s="138"/>
      <c r="H1559" s="138"/>
      <c r="I1559" s="126"/>
      <c r="J1559" s="20"/>
      <c r="K1559" s="20"/>
      <c r="L1559" s="20"/>
      <c r="M1559" s="20"/>
      <c r="N1559" s="126"/>
      <c r="O1559" s="126"/>
      <c r="P1559" s="126"/>
      <c r="Q1559" s="202"/>
      <c r="R1559" s="172"/>
      <c r="S1559" s="20"/>
      <c r="AE1559" s="143"/>
      <c r="AF1559" s="143"/>
      <c r="AG1559" s="143"/>
      <c r="AH1559" s="143"/>
      <c r="AI1559" s="143"/>
      <c r="AJ1559" s="143"/>
      <c r="AK1559" s="143"/>
      <c r="AL1559" s="143"/>
      <c r="AM1559" s="145"/>
      <c r="AN1559" s="143"/>
    </row>
    <row r="1560" s="100" customFormat="1" spans="3:40">
      <c r="C1560" s="136"/>
      <c r="D1560" s="136"/>
      <c r="F1560" s="20"/>
      <c r="G1560" s="138"/>
      <c r="H1560" s="138"/>
      <c r="I1560" s="126"/>
      <c r="J1560" s="20"/>
      <c r="K1560" s="20"/>
      <c r="L1560" s="20"/>
      <c r="M1560" s="20"/>
      <c r="N1560" s="126"/>
      <c r="O1560" s="126"/>
      <c r="P1560" s="126"/>
      <c r="Q1560" s="202"/>
      <c r="R1560" s="172"/>
      <c r="S1560" s="20"/>
      <c r="AE1560" s="143"/>
      <c r="AF1560" s="143"/>
      <c r="AG1560" s="143"/>
      <c r="AH1560" s="143"/>
      <c r="AI1560" s="143"/>
      <c r="AJ1560" s="143"/>
      <c r="AK1560" s="143"/>
      <c r="AL1560" s="143"/>
      <c r="AM1560" s="145"/>
      <c r="AN1560" s="143"/>
    </row>
    <row r="1561" s="100" customFormat="1" spans="3:40">
      <c r="C1561" s="136"/>
      <c r="D1561" s="136"/>
      <c r="F1561" s="20"/>
      <c r="G1561" s="138"/>
      <c r="H1561" s="138"/>
      <c r="I1561" s="126"/>
      <c r="J1561" s="20"/>
      <c r="K1561" s="20"/>
      <c r="L1561" s="20"/>
      <c r="M1561" s="20"/>
      <c r="N1561" s="126"/>
      <c r="O1561" s="126"/>
      <c r="P1561" s="126"/>
      <c r="Q1561" s="202"/>
      <c r="R1561" s="172"/>
      <c r="S1561" s="172"/>
      <c r="AE1561" s="143"/>
      <c r="AF1561" s="143"/>
      <c r="AG1561" s="143"/>
      <c r="AH1561" s="143"/>
      <c r="AI1561" s="143"/>
      <c r="AJ1561" s="143"/>
      <c r="AK1561" s="143"/>
      <c r="AL1561" s="143"/>
      <c r="AM1561" s="145"/>
      <c r="AN1561" s="143"/>
    </row>
    <row r="1562" s="100" customFormat="1" spans="3:40">
      <c r="C1562" s="136"/>
      <c r="D1562" s="136"/>
      <c r="F1562" s="20"/>
      <c r="G1562" s="138"/>
      <c r="H1562" s="138"/>
      <c r="I1562" s="126"/>
      <c r="J1562" s="20"/>
      <c r="K1562" s="20"/>
      <c r="L1562" s="20"/>
      <c r="M1562" s="20"/>
      <c r="N1562" s="126"/>
      <c r="O1562" s="126"/>
      <c r="P1562" s="126"/>
      <c r="Q1562" s="202"/>
      <c r="R1562" s="172"/>
      <c r="S1562" s="172"/>
      <c r="AE1562" s="143"/>
      <c r="AF1562" s="143"/>
      <c r="AG1562" s="143"/>
      <c r="AH1562" s="143"/>
      <c r="AI1562" s="143"/>
      <c r="AJ1562" s="143"/>
      <c r="AK1562" s="143"/>
      <c r="AL1562" s="143"/>
      <c r="AM1562" s="145"/>
      <c r="AN1562" s="143"/>
    </row>
    <row r="1563" s="100" customFormat="1" spans="3:40">
      <c r="C1563" s="136"/>
      <c r="D1563" s="136"/>
      <c r="F1563" s="20"/>
      <c r="G1563" s="138"/>
      <c r="H1563" s="138"/>
      <c r="I1563" s="126"/>
      <c r="J1563" s="20"/>
      <c r="K1563" s="20"/>
      <c r="L1563" s="20"/>
      <c r="M1563" s="20"/>
      <c r="N1563" s="126"/>
      <c r="O1563" s="126"/>
      <c r="P1563" s="126"/>
      <c r="Q1563" s="202"/>
      <c r="R1563" s="172"/>
      <c r="S1563" s="172"/>
      <c r="AE1563" s="143"/>
      <c r="AF1563" s="143"/>
      <c r="AG1563" s="143"/>
      <c r="AH1563" s="143"/>
      <c r="AI1563" s="143"/>
      <c r="AJ1563" s="143"/>
      <c r="AK1563" s="143"/>
      <c r="AL1563" s="143"/>
      <c r="AM1563" s="145"/>
      <c r="AN1563" s="143"/>
    </row>
    <row r="1564" s="100" customFormat="1" spans="3:40">
      <c r="C1564" s="136"/>
      <c r="D1564" s="136"/>
      <c r="F1564" s="20"/>
      <c r="G1564" s="138"/>
      <c r="H1564" s="138"/>
      <c r="I1564" s="126"/>
      <c r="J1564" s="20"/>
      <c r="K1564" s="20"/>
      <c r="L1564" s="20"/>
      <c r="M1564" s="20"/>
      <c r="N1564" s="126"/>
      <c r="O1564" s="126"/>
      <c r="P1564" s="126"/>
      <c r="Q1564" s="202"/>
      <c r="R1564" s="172"/>
      <c r="S1564" s="20"/>
      <c r="AE1564" s="143"/>
      <c r="AF1564" s="143"/>
      <c r="AG1564" s="143"/>
      <c r="AH1564" s="143"/>
      <c r="AI1564" s="143"/>
      <c r="AJ1564" s="143"/>
      <c r="AK1564" s="143"/>
      <c r="AL1564" s="143"/>
      <c r="AM1564" s="143"/>
      <c r="AN1564" s="143"/>
    </row>
    <row r="1565" s="100" customFormat="1" spans="3:40">
      <c r="C1565" s="136"/>
      <c r="D1565" s="136"/>
      <c r="F1565" s="20"/>
      <c r="G1565" s="138"/>
      <c r="H1565" s="138"/>
      <c r="I1565" s="126"/>
      <c r="J1565" s="20"/>
      <c r="K1565" s="20"/>
      <c r="L1565" s="20"/>
      <c r="M1565" s="20"/>
      <c r="N1565" s="126"/>
      <c r="O1565" s="126"/>
      <c r="P1565" s="126"/>
      <c r="Q1565" s="202"/>
      <c r="R1565" s="172"/>
      <c r="S1565" s="20"/>
      <c r="AE1565" s="143"/>
      <c r="AF1565" s="143"/>
      <c r="AG1565" s="143"/>
      <c r="AH1565" s="143"/>
      <c r="AI1565" s="143"/>
      <c r="AJ1565" s="143"/>
      <c r="AK1565" s="143"/>
      <c r="AL1565" s="143"/>
      <c r="AM1565" s="143"/>
      <c r="AN1565" s="143"/>
    </row>
    <row r="1566" s="100" customFormat="1" spans="3:40">
      <c r="C1566" s="136"/>
      <c r="D1566" s="136"/>
      <c r="F1566" s="20"/>
      <c r="G1566" s="138"/>
      <c r="H1566" s="138"/>
      <c r="I1566" s="126"/>
      <c r="J1566" s="20"/>
      <c r="K1566" s="20"/>
      <c r="L1566" s="20"/>
      <c r="M1566" s="20"/>
      <c r="N1566" s="126"/>
      <c r="O1566" s="126"/>
      <c r="P1566" s="126"/>
      <c r="Q1566" s="202"/>
      <c r="R1566" s="172"/>
      <c r="S1566" s="20"/>
      <c r="AE1566" s="143"/>
      <c r="AF1566" s="143"/>
      <c r="AG1566" s="143"/>
      <c r="AH1566" s="143"/>
      <c r="AI1566" s="143"/>
      <c r="AJ1566" s="143"/>
      <c r="AK1566" s="143"/>
      <c r="AL1566" s="143"/>
      <c r="AM1566" s="143"/>
      <c r="AN1566" s="143"/>
    </row>
    <row r="1567" s="100" customFormat="1" spans="3:40">
      <c r="C1567" s="136"/>
      <c r="D1567" s="136"/>
      <c r="F1567" s="20"/>
      <c r="G1567" s="138"/>
      <c r="H1567" s="138"/>
      <c r="I1567" s="126"/>
      <c r="J1567" s="20"/>
      <c r="K1567" s="20"/>
      <c r="L1567" s="20"/>
      <c r="M1567" s="20"/>
      <c r="N1567" s="126"/>
      <c r="O1567" s="126"/>
      <c r="P1567" s="126"/>
      <c r="Q1567" s="202"/>
      <c r="R1567" s="172"/>
      <c r="S1567" s="20"/>
      <c r="AE1567" s="143"/>
      <c r="AF1567" s="143"/>
      <c r="AG1567" s="143"/>
      <c r="AH1567" s="143"/>
      <c r="AI1567" s="143"/>
      <c r="AJ1567" s="143"/>
      <c r="AK1567" s="143"/>
      <c r="AL1567" s="143"/>
      <c r="AM1567" s="145"/>
      <c r="AN1567" s="143"/>
    </row>
    <row r="1568" s="100" customFormat="1" spans="3:40">
      <c r="C1568" s="136"/>
      <c r="D1568" s="136"/>
      <c r="F1568" s="20"/>
      <c r="G1568" s="138"/>
      <c r="H1568" s="138"/>
      <c r="I1568" s="126"/>
      <c r="J1568" s="20"/>
      <c r="K1568" s="20"/>
      <c r="L1568" s="20"/>
      <c r="M1568" s="20"/>
      <c r="N1568" s="126"/>
      <c r="O1568" s="126"/>
      <c r="P1568" s="126"/>
      <c r="Q1568" s="202"/>
      <c r="R1568" s="172"/>
      <c r="S1568" s="172"/>
      <c r="AE1568" s="143"/>
      <c r="AF1568" s="143"/>
      <c r="AG1568" s="143"/>
      <c r="AH1568" s="143"/>
      <c r="AI1568" s="143"/>
      <c r="AJ1568" s="143"/>
      <c r="AK1568" s="143"/>
      <c r="AL1568" s="143"/>
      <c r="AM1568" s="145"/>
      <c r="AN1568" s="143"/>
    </row>
    <row r="1569" s="100" customFormat="1" spans="3:40">
      <c r="C1569" s="136"/>
      <c r="D1569" s="136"/>
      <c r="F1569" s="20"/>
      <c r="G1569" s="138"/>
      <c r="H1569" s="138"/>
      <c r="I1569" s="126"/>
      <c r="J1569" s="20"/>
      <c r="K1569" s="20"/>
      <c r="L1569" s="20"/>
      <c r="M1569" s="20"/>
      <c r="N1569" s="126"/>
      <c r="O1569" s="126"/>
      <c r="P1569" s="126"/>
      <c r="Q1569" s="202"/>
      <c r="R1569" s="172"/>
      <c r="S1569" s="20"/>
      <c r="AE1569" s="143"/>
      <c r="AF1569" s="143"/>
      <c r="AG1569" s="143"/>
      <c r="AH1569" s="143"/>
      <c r="AI1569" s="143"/>
      <c r="AJ1569" s="143"/>
      <c r="AK1569" s="143"/>
      <c r="AL1569" s="143"/>
      <c r="AM1569" s="145"/>
      <c r="AN1569" s="143"/>
    </row>
    <row r="1570" s="100" customFormat="1" spans="3:40">
      <c r="C1570" s="136"/>
      <c r="D1570" s="136"/>
      <c r="F1570" s="20"/>
      <c r="G1570" s="138"/>
      <c r="H1570" s="138"/>
      <c r="I1570" s="126"/>
      <c r="J1570" s="20"/>
      <c r="K1570" s="20"/>
      <c r="L1570" s="20"/>
      <c r="M1570" s="20"/>
      <c r="N1570" s="126"/>
      <c r="O1570" s="126"/>
      <c r="P1570" s="126"/>
      <c r="Q1570" s="202"/>
      <c r="R1570" s="172"/>
      <c r="S1570" s="172"/>
      <c r="AE1570" s="143"/>
      <c r="AF1570" s="143"/>
      <c r="AG1570" s="143"/>
      <c r="AH1570" s="143"/>
      <c r="AI1570" s="143"/>
      <c r="AJ1570" s="143"/>
      <c r="AK1570" s="143"/>
      <c r="AL1570" s="143"/>
      <c r="AM1570" s="145"/>
      <c r="AN1570" s="143"/>
    </row>
    <row r="1571" s="100" customFormat="1" spans="3:40">
      <c r="C1571" s="136"/>
      <c r="D1571" s="136"/>
      <c r="F1571" s="20"/>
      <c r="G1571" s="138"/>
      <c r="H1571" s="138"/>
      <c r="I1571" s="126"/>
      <c r="J1571" s="20"/>
      <c r="K1571" s="20"/>
      <c r="L1571" s="20"/>
      <c r="M1571" s="20"/>
      <c r="N1571" s="126"/>
      <c r="O1571" s="126"/>
      <c r="P1571" s="126"/>
      <c r="Q1571" s="202"/>
      <c r="R1571" s="173"/>
      <c r="S1571" s="20"/>
      <c r="AE1571" s="143"/>
      <c r="AF1571" s="143"/>
      <c r="AG1571" s="143"/>
      <c r="AH1571" s="143"/>
      <c r="AI1571" s="143"/>
      <c r="AJ1571" s="143"/>
      <c r="AK1571" s="143"/>
      <c r="AL1571" s="143"/>
      <c r="AM1571" s="145"/>
      <c r="AN1571" s="143"/>
    </row>
    <row r="1572" s="100" customFormat="1" spans="3:40">
      <c r="C1572" s="136"/>
      <c r="D1572" s="136"/>
      <c r="F1572" s="20"/>
      <c r="G1572" s="138"/>
      <c r="H1572" s="138"/>
      <c r="I1572" s="126"/>
      <c r="J1572" s="20"/>
      <c r="K1572" s="20"/>
      <c r="L1572" s="20"/>
      <c r="M1572" s="20"/>
      <c r="N1572" s="126"/>
      <c r="O1572" s="126"/>
      <c r="P1572" s="126"/>
      <c r="Q1572" s="202"/>
      <c r="R1572" s="172"/>
      <c r="S1572" s="20"/>
      <c r="AE1572" s="143"/>
      <c r="AF1572" s="143"/>
      <c r="AG1572" s="143"/>
      <c r="AH1572" s="143"/>
      <c r="AI1572" s="143"/>
      <c r="AJ1572" s="143"/>
      <c r="AK1572" s="143"/>
      <c r="AL1572" s="143"/>
      <c r="AM1572" s="145"/>
      <c r="AN1572" s="143"/>
    </row>
    <row r="1573" s="100" customFormat="1" spans="3:40">
      <c r="C1573" s="136"/>
      <c r="D1573" s="136"/>
      <c r="F1573" s="20"/>
      <c r="G1573" s="138"/>
      <c r="H1573" s="138"/>
      <c r="I1573" s="126"/>
      <c r="J1573" s="20"/>
      <c r="K1573" s="20"/>
      <c r="L1573" s="20"/>
      <c r="M1573" s="20"/>
      <c r="N1573" s="126"/>
      <c r="O1573" s="126"/>
      <c r="P1573" s="126"/>
      <c r="Q1573" s="202"/>
      <c r="R1573" s="173"/>
      <c r="S1573" s="20"/>
      <c r="AE1573" s="143"/>
      <c r="AF1573" s="143"/>
      <c r="AG1573" s="143"/>
      <c r="AH1573" s="143"/>
      <c r="AI1573" s="143"/>
      <c r="AJ1573" s="143"/>
      <c r="AK1573" s="143"/>
      <c r="AL1573" s="143"/>
      <c r="AM1573" s="143"/>
      <c r="AN1573" s="151"/>
    </row>
    <row r="1574" s="100" customFormat="1" spans="3:40">
      <c r="C1574" s="136"/>
      <c r="D1574" s="136"/>
      <c r="F1574" s="20"/>
      <c r="G1574" s="138"/>
      <c r="H1574" s="138"/>
      <c r="I1574" s="126"/>
      <c r="J1574" s="20"/>
      <c r="K1574" s="20"/>
      <c r="L1574" s="20"/>
      <c r="M1574" s="20"/>
      <c r="N1574" s="126"/>
      <c r="O1574" s="126"/>
      <c r="P1574" s="126"/>
      <c r="Q1574" s="202"/>
      <c r="R1574" s="172"/>
      <c r="S1574" s="20"/>
      <c r="AE1574" s="143"/>
      <c r="AF1574" s="143"/>
      <c r="AG1574" s="143"/>
      <c r="AH1574" s="143"/>
      <c r="AI1574" s="143"/>
      <c r="AJ1574" s="143"/>
      <c r="AK1574" s="143"/>
      <c r="AL1574" s="143"/>
      <c r="AM1574" s="143"/>
      <c r="AN1574" s="151"/>
    </row>
    <row r="1575" s="100" customFormat="1" spans="3:40">
      <c r="C1575" s="136"/>
      <c r="D1575" s="136"/>
      <c r="F1575" s="20"/>
      <c r="G1575" s="138"/>
      <c r="H1575" s="138"/>
      <c r="I1575" s="126"/>
      <c r="J1575" s="20"/>
      <c r="K1575" s="20"/>
      <c r="L1575" s="20"/>
      <c r="M1575" s="20"/>
      <c r="N1575" s="126"/>
      <c r="O1575" s="126"/>
      <c r="P1575" s="126"/>
      <c r="Q1575" s="202"/>
      <c r="R1575" s="172"/>
      <c r="S1575" s="20"/>
      <c r="AE1575" s="143"/>
      <c r="AF1575" s="143"/>
      <c r="AG1575" s="143"/>
      <c r="AH1575" s="143"/>
      <c r="AI1575" s="143"/>
      <c r="AJ1575" s="143"/>
      <c r="AK1575" s="143"/>
      <c r="AL1575" s="143"/>
      <c r="AM1575" s="145"/>
      <c r="AN1575" s="143"/>
    </row>
    <row r="1576" s="100" customFormat="1" spans="3:40">
      <c r="C1576" s="136"/>
      <c r="D1576" s="136"/>
      <c r="F1576" s="20"/>
      <c r="G1576" s="138"/>
      <c r="H1576" s="138"/>
      <c r="I1576" s="126"/>
      <c r="J1576" s="20"/>
      <c r="K1576" s="20"/>
      <c r="L1576" s="20"/>
      <c r="M1576" s="20"/>
      <c r="N1576" s="126"/>
      <c r="O1576" s="126"/>
      <c r="P1576" s="126"/>
      <c r="Q1576" s="202"/>
      <c r="R1576" s="173"/>
      <c r="S1576" s="20"/>
      <c r="AE1576" s="143"/>
      <c r="AF1576" s="143"/>
      <c r="AG1576" s="143"/>
      <c r="AH1576" s="143"/>
      <c r="AI1576" s="143"/>
      <c r="AJ1576" s="143"/>
      <c r="AK1576" s="143"/>
      <c r="AL1576" s="143"/>
      <c r="AM1576" s="143"/>
      <c r="AN1576" s="151"/>
    </row>
    <row r="1577" s="100" customFormat="1" spans="3:40">
      <c r="C1577" s="136"/>
      <c r="D1577" s="136"/>
      <c r="F1577" s="20"/>
      <c r="G1577" s="138"/>
      <c r="H1577" s="138"/>
      <c r="I1577" s="126"/>
      <c r="J1577" s="20"/>
      <c r="K1577" s="20"/>
      <c r="L1577" s="20"/>
      <c r="M1577" s="20"/>
      <c r="N1577" s="126"/>
      <c r="O1577" s="126"/>
      <c r="P1577" s="126"/>
      <c r="Q1577" s="202"/>
      <c r="R1577" s="172"/>
      <c r="S1577" s="172"/>
      <c r="AE1577" s="143"/>
      <c r="AF1577" s="143"/>
      <c r="AG1577" s="143"/>
      <c r="AH1577" s="143"/>
      <c r="AI1577" s="143"/>
      <c r="AJ1577" s="143"/>
      <c r="AK1577" s="143"/>
      <c r="AL1577" s="143"/>
      <c r="AM1577" s="143"/>
      <c r="AN1577" s="151"/>
    </row>
    <row r="1578" s="100" customFormat="1" spans="3:40">
      <c r="C1578" s="136"/>
      <c r="D1578" s="136"/>
      <c r="F1578" s="20"/>
      <c r="G1578" s="138"/>
      <c r="H1578" s="138"/>
      <c r="I1578" s="126"/>
      <c r="J1578" s="20"/>
      <c r="K1578" s="20"/>
      <c r="L1578" s="20"/>
      <c r="M1578" s="20"/>
      <c r="N1578" s="126"/>
      <c r="O1578" s="126"/>
      <c r="P1578" s="126"/>
      <c r="Q1578" s="202"/>
      <c r="R1578" s="172"/>
      <c r="S1578" s="20"/>
      <c r="AE1578" s="143"/>
      <c r="AF1578" s="143"/>
      <c r="AG1578" s="143"/>
      <c r="AH1578" s="143"/>
      <c r="AI1578" s="143"/>
      <c r="AJ1578" s="143"/>
      <c r="AK1578" s="143"/>
      <c r="AL1578" s="143"/>
      <c r="AM1578" s="143"/>
      <c r="AN1578" s="151"/>
    </row>
    <row r="1579" s="100" customFormat="1" spans="3:40">
      <c r="C1579" s="136"/>
      <c r="D1579" s="136"/>
      <c r="F1579" s="20"/>
      <c r="G1579" s="138"/>
      <c r="H1579" s="138"/>
      <c r="I1579" s="126"/>
      <c r="J1579" s="20"/>
      <c r="K1579" s="20"/>
      <c r="L1579" s="20"/>
      <c r="M1579" s="20"/>
      <c r="N1579" s="126"/>
      <c r="O1579" s="126"/>
      <c r="P1579" s="126"/>
      <c r="Q1579" s="202"/>
      <c r="R1579" s="172"/>
      <c r="S1579" s="20"/>
      <c r="AE1579" s="143"/>
      <c r="AF1579" s="143"/>
      <c r="AG1579" s="143"/>
      <c r="AH1579" s="143"/>
      <c r="AI1579" s="143"/>
      <c r="AJ1579" s="143"/>
      <c r="AK1579" s="143"/>
      <c r="AL1579" s="143"/>
      <c r="AM1579" s="143"/>
      <c r="AN1579" s="151"/>
    </row>
    <row r="1580" s="100" customFormat="1" spans="3:40">
      <c r="C1580" s="136"/>
      <c r="D1580" s="136"/>
      <c r="F1580" s="20"/>
      <c r="G1580" s="138"/>
      <c r="H1580" s="138"/>
      <c r="I1580" s="126"/>
      <c r="J1580" s="20"/>
      <c r="K1580" s="20"/>
      <c r="L1580" s="20"/>
      <c r="M1580" s="20"/>
      <c r="N1580" s="126"/>
      <c r="O1580" s="126"/>
      <c r="P1580" s="126"/>
      <c r="Q1580" s="202"/>
      <c r="R1580" s="173"/>
      <c r="S1580" s="20"/>
      <c r="AE1580" s="143"/>
      <c r="AF1580" s="143"/>
      <c r="AG1580" s="143"/>
      <c r="AH1580" s="143"/>
      <c r="AI1580" s="143"/>
      <c r="AJ1580" s="143"/>
      <c r="AK1580" s="143"/>
      <c r="AL1580" s="143"/>
      <c r="AM1580" s="143"/>
      <c r="AN1580" s="151"/>
    </row>
    <row r="1581" s="100" customFormat="1" spans="3:40">
      <c r="C1581" s="136"/>
      <c r="D1581" s="136"/>
      <c r="F1581" s="20"/>
      <c r="G1581" s="138"/>
      <c r="H1581" s="138"/>
      <c r="I1581" s="126"/>
      <c r="J1581" s="20"/>
      <c r="K1581" s="20"/>
      <c r="L1581" s="20"/>
      <c r="M1581" s="20"/>
      <c r="N1581" s="126"/>
      <c r="O1581" s="126"/>
      <c r="P1581" s="126"/>
      <c r="Q1581" s="202"/>
      <c r="R1581" s="173"/>
      <c r="S1581" s="20"/>
      <c r="AE1581" s="143"/>
      <c r="AF1581" s="143"/>
      <c r="AG1581" s="143"/>
      <c r="AH1581" s="143"/>
      <c r="AI1581" s="143"/>
      <c r="AJ1581" s="143"/>
      <c r="AK1581" s="143"/>
      <c r="AL1581" s="143"/>
      <c r="AM1581" s="145"/>
      <c r="AN1581" s="151"/>
    </row>
    <row r="1582" s="100" customFormat="1" spans="3:40">
      <c r="C1582" s="136"/>
      <c r="D1582" s="136"/>
      <c r="F1582" s="20"/>
      <c r="G1582" s="138"/>
      <c r="H1582" s="138"/>
      <c r="I1582" s="126"/>
      <c r="J1582" s="20"/>
      <c r="K1582" s="20"/>
      <c r="L1582" s="20"/>
      <c r="M1582" s="20"/>
      <c r="N1582" s="126"/>
      <c r="O1582" s="126"/>
      <c r="P1582" s="126"/>
      <c r="Q1582" s="202"/>
      <c r="R1582" s="173"/>
      <c r="S1582" s="20"/>
      <c r="AE1582" s="143"/>
      <c r="AF1582" s="143"/>
      <c r="AG1582" s="143"/>
      <c r="AH1582" s="143"/>
      <c r="AI1582" s="143"/>
      <c r="AJ1582" s="143"/>
      <c r="AK1582" s="143"/>
      <c r="AL1582" s="143"/>
      <c r="AM1582" s="143"/>
      <c r="AN1582" s="151"/>
    </row>
    <row r="1583" s="100" customFormat="1" spans="3:40">
      <c r="C1583" s="136"/>
      <c r="D1583" s="136"/>
      <c r="F1583" s="20"/>
      <c r="G1583" s="138"/>
      <c r="H1583" s="138"/>
      <c r="I1583" s="126"/>
      <c r="J1583" s="20"/>
      <c r="K1583" s="20"/>
      <c r="L1583" s="20"/>
      <c r="M1583" s="20"/>
      <c r="N1583" s="126"/>
      <c r="O1583" s="126"/>
      <c r="P1583" s="126"/>
      <c r="Q1583" s="202"/>
      <c r="R1583" s="173"/>
      <c r="S1583" s="20"/>
      <c r="AE1583" s="143"/>
      <c r="AF1583" s="143"/>
      <c r="AG1583" s="143"/>
      <c r="AH1583" s="143"/>
      <c r="AI1583" s="143"/>
      <c r="AJ1583" s="143"/>
      <c r="AK1583" s="143"/>
      <c r="AL1583" s="143"/>
      <c r="AM1583" s="151"/>
      <c r="AN1583" s="143"/>
    </row>
    <row r="1584" s="100" customFormat="1" spans="3:40">
      <c r="C1584" s="136"/>
      <c r="D1584" s="136"/>
      <c r="F1584" s="20"/>
      <c r="G1584" s="138"/>
      <c r="H1584" s="138"/>
      <c r="I1584" s="126"/>
      <c r="J1584" s="20"/>
      <c r="K1584" s="20"/>
      <c r="L1584" s="20"/>
      <c r="M1584" s="20"/>
      <c r="N1584" s="126"/>
      <c r="O1584" s="126"/>
      <c r="P1584" s="126"/>
      <c r="Q1584" s="202"/>
      <c r="R1584" s="172"/>
      <c r="S1584" s="20"/>
      <c r="AE1584" s="143"/>
      <c r="AF1584" s="143"/>
      <c r="AG1584" s="143"/>
      <c r="AH1584" s="143"/>
      <c r="AI1584" s="143"/>
      <c r="AJ1584" s="143"/>
      <c r="AK1584" s="143"/>
      <c r="AL1584" s="143"/>
      <c r="AM1584" s="143"/>
      <c r="AN1584" s="151"/>
    </row>
    <row r="1585" s="100" customFormat="1" spans="3:40">
      <c r="C1585" s="136"/>
      <c r="D1585" s="136"/>
      <c r="F1585" s="20"/>
      <c r="G1585" s="138"/>
      <c r="H1585" s="138"/>
      <c r="I1585" s="126"/>
      <c r="J1585" s="20"/>
      <c r="K1585" s="20"/>
      <c r="L1585" s="20"/>
      <c r="M1585" s="20"/>
      <c r="N1585" s="126"/>
      <c r="O1585" s="126"/>
      <c r="P1585" s="126"/>
      <c r="Q1585" s="202"/>
      <c r="R1585" s="173"/>
      <c r="S1585" s="20"/>
      <c r="AE1585" s="143"/>
      <c r="AF1585" s="143"/>
      <c r="AG1585" s="143"/>
      <c r="AH1585" s="143"/>
      <c r="AI1585" s="143"/>
      <c r="AJ1585" s="143"/>
      <c r="AK1585" s="143"/>
      <c r="AL1585" s="143"/>
      <c r="AM1585" s="143"/>
      <c r="AN1585" s="151"/>
    </row>
    <row r="1586" s="100" customFormat="1" spans="3:40">
      <c r="C1586" s="136"/>
      <c r="D1586" s="136"/>
      <c r="F1586" s="20"/>
      <c r="G1586" s="138"/>
      <c r="H1586" s="138"/>
      <c r="I1586" s="126"/>
      <c r="J1586" s="20"/>
      <c r="K1586" s="20"/>
      <c r="L1586" s="20"/>
      <c r="M1586" s="20"/>
      <c r="N1586" s="126"/>
      <c r="O1586" s="126"/>
      <c r="P1586" s="126"/>
      <c r="Q1586" s="202"/>
      <c r="R1586" s="173"/>
      <c r="S1586" s="20"/>
      <c r="AE1586" s="143"/>
      <c r="AF1586" s="143"/>
      <c r="AG1586" s="143"/>
      <c r="AH1586" s="143"/>
      <c r="AI1586" s="143"/>
      <c r="AJ1586" s="143"/>
      <c r="AK1586" s="143"/>
      <c r="AL1586" s="143"/>
      <c r="AM1586" s="151"/>
      <c r="AN1586" s="151"/>
    </row>
    <row r="1587" s="100" customFormat="1" spans="3:40">
      <c r="C1587" s="136"/>
      <c r="D1587" s="136"/>
      <c r="F1587" s="20"/>
      <c r="G1587" s="138"/>
      <c r="H1587" s="138"/>
      <c r="I1587" s="126"/>
      <c r="J1587" s="20"/>
      <c r="K1587" s="20"/>
      <c r="L1587" s="20"/>
      <c r="M1587" s="20"/>
      <c r="N1587" s="126"/>
      <c r="O1587" s="126"/>
      <c r="P1587" s="126"/>
      <c r="Q1587" s="202"/>
      <c r="R1587" s="173"/>
      <c r="S1587" s="20"/>
      <c r="AE1587" s="143"/>
      <c r="AF1587" s="143"/>
      <c r="AG1587" s="143"/>
      <c r="AH1587" s="143"/>
      <c r="AI1587" s="143"/>
      <c r="AJ1587" s="143"/>
      <c r="AK1587" s="143"/>
      <c r="AL1587" s="143"/>
      <c r="AM1587" s="145"/>
      <c r="AN1587" s="143"/>
    </row>
    <row r="1588" s="100" customFormat="1" spans="3:40">
      <c r="C1588" s="136"/>
      <c r="D1588" s="136"/>
      <c r="F1588" s="20"/>
      <c r="G1588" s="138"/>
      <c r="H1588" s="138"/>
      <c r="I1588" s="126"/>
      <c r="J1588" s="20"/>
      <c r="K1588" s="20"/>
      <c r="L1588" s="20"/>
      <c r="M1588" s="20"/>
      <c r="N1588" s="126"/>
      <c r="O1588" s="126"/>
      <c r="P1588" s="126"/>
      <c r="Q1588" s="202"/>
      <c r="R1588" s="173"/>
      <c r="S1588" s="20"/>
      <c r="AE1588" s="143"/>
      <c r="AF1588" s="143"/>
      <c r="AG1588" s="143"/>
      <c r="AH1588" s="143"/>
      <c r="AI1588" s="143"/>
      <c r="AJ1588" s="143"/>
      <c r="AK1588" s="143"/>
      <c r="AL1588" s="143"/>
      <c r="AM1588" s="145"/>
      <c r="AN1588" s="143"/>
    </row>
    <row r="1589" s="100" customFormat="1" spans="3:40">
      <c r="C1589" s="136"/>
      <c r="D1589" s="136"/>
      <c r="F1589" s="20"/>
      <c r="G1589" s="138"/>
      <c r="H1589" s="138"/>
      <c r="I1589" s="126"/>
      <c r="J1589" s="20"/>
      <c r="K1589" s="20"/>
      <c r="L1589" s="20"/>
      <c r="M1589" s="20"/>
      <c r="N1589" s="126"/>
      <c r="O1589" s="126"/>
      <c r="P1589" s="126"/>
      <c r="Q1589" s="202"/>
      <c r="R1589" s="173"/>
      <c r="S1589" s="20"/>
      <c r="AE1589" s="143"/>
      <c r="AF1589" s="143"/>
      <c r="AG1589" s="143"/>
      <c r="AH1589" s="143"/>
      <c r="AI1589" s="143"/>
      <c r="AJ1589" s="143"/>
      <c r="AK1589" s="143"/>
      <c r="AL1589" s="143"/>
      <c r="AM1589" s="143"/>
      <c r="AN1589" s="151"/>
    </row>
    <row r="1590" s="100" customFormat="1" spans="3:40">
      <c r="C1590" s="136"/>
      <c r="D1590" s="136"/>
      <c r="F1590" s="20"/>
      <c r="G1590" s="138"/>
      <c r="H1590" s="138"/>
      <c r="I1590" s="126"/>
      <c r="J1590" s="20"/>
      <c r="K1590" s="20"/>
      <c r="L1590" s="20"/>
      <c r="M1590" s="20"/>
      <c r="N1590" s="126"/>
      <c r="O1590" s="126"/>
      <c r="P1590" s="126"/>
      <c r="Q1590" s="202"/>
      <c r="R1590" s="173"/>
      <c r="S1590" s="20"/>
      <c r="AE1590" s="143"/>
      <c r="AF1590" s="143"/>
      <c r="AG1590" s="143"/>
      <c r="AH1590" s="143"/>
      <c r="AI1590" s="143"/>
      <c r="AJ1590" s="143"/>
      <c r="AK1590" s="143"/>
      <c r="AL1590" s="143"/>
      <c r="AM1590" s="145"/>
      <c r="AN1590" s="143"/>
    </row>
    <row r="1591" s="100" customFormat="1" spans="3:40">
      <c r="C1591" s="136"/>
      <c r="D1591" s="136"/>
      <c r="F1591" s="20"/>
      <c r="G1591" s="138"/>
      <c r="H1591" s="138"/>
      <c r="I1591" s="126"/>
      <c r="J1591" s="20"/>
      <c r="K1591" s="20"/>
      <c r="L1591" s="20"/>
      <c r="M1591" s="20"/>
      <c r="N1591" s="126"/>
      <c r="O1591" s="126"/>
      <c r="P1591" s="126"/>
      <c r="Q1591" s="202"/>
      <c r="R1591" s="172"/>
      <c r="S1591" s="20"/>
      <c r="AE1591" s="143"/>
      <c r="AF1591" s="143"/>
      <c r="AG1591" s="143"/>
      <c r="AH1591" s="143"/>
      <c r="AI1591" s="143"/>
      <c r="AJ1591" s="143"/>
      <c r="AK1591" s="143"/>
      <c r="AL1591" s="143"/>
      <c r="AM1591" s="145"/>
      <c r="AN1591" s="143"/>
    </row>
    <row r="1592" s="100" customFormat="1" spans="3:40">
      <c r="C1592" s="136"/>
      <c r="D1592" s="136"/>
      <c r="F1592" s="20"/>
      <c r="G1592" s="138"/>
      <c r="H1592" s="138"/>
      <c r="I1592" s="126"/>
      <c r="J1592" s="20"/>
      <c r="K1592" s="20"/>
      <c r="L1592" s="20"/>
      <c r="M1592" s="20"/>
      <c r="N1592" s="126"/>
      <c r="O1592" s="126"/>
      <c r="P1592" s="126"/>
      <c r="Q1592" s="202"/>
      <c r="R1592" s="173"/>
      <c r="S1592" s="20"/>
      <c r="AE1592" s="143"/>
      <c r="AF1592" s="143"/>
      <c r="AG1592" s="143"/>
      <c r="AH1592" s="143"/>
      <c r="AI1592" s="143"/>
      <c r="AJ1592" s="143"/>
      <c r="AK1592" s="143"/>
      <c r="AL1592" s="143"/>
      <c r="AM1592" s="143"/>
      <c r="AN1592" s="151"/>
    </row>
    <row r="1593" s="100" customFormat="1" spans="3:40">
      <c r="C1593" s="136"/>
      <c r="D1593" s="136"/>
      <c r="F1593" s="20"/>
      <c r="G1593" s="138"/>
      <c r="H1593" s="138"/>
      <c r="I1593" s="126"/>
      <c r="J1593" s="20"/>
      <c r="K1593" s="20"/>
      <c r="L1593" s="20"/>
      <c r="M1593" s="20"/>
      <c r="N1593" s="126"/>
      <c r="O1593" s="126"/>
      <c r="P1593" s="126"/>
      <c r="Q1593" s="202"/>
      <c r="R1593" s="173"/>
      <c r="S1593" s="20"/>
      <c r="AE1593" s="143"/>
      <c r="AF1593" s="143"/>
      <c r="AG1593" s="143"/>
      <c r="AH1593" s="143"/>
      <c r="AI1593" s="143"/>
      <c r="AJ1593" s="143"/>
      <c r="AK1593" s="143"/>
      <c r="AL1593" s="143"/>
      <c r="AM1593" s="151"/>
      <c r="AN1593" s="143"/>
    </row>
    <row r="1594" s="100" customFormat="1" spans="3:40">
      <c r="C1594" s="136"/>
      <c r="D1594" s="136"/>
      <c r="F1594" s="20"/>
      <c r="G1594" s="138"/>
      <c r="H1594" s="138"/>
      <c r="I1594" s="126"/>
      <c r="J1594" s="20"/>
      <c r="K1594" s="20"/>
      <c r="L1594" s="20"/>
      <c r="M1594" s="20"/>
      <c r="N1594" s="126"/>
      <c r="O1594" s="126"/>
      <c r="P1594" s="126"/>
      <c r="Q1594" s="202"/>
      <c r="R1594" s="173"/>
      <c r="S1594" s="20"/>
      <c r="AE1594" s="143"/>
      <c r="AF1594" s="143"/>
      <c r="AG1594" s="143"/>
      <c r="AH1594" s="143"/>
      <c r="AI1594" s="143"/>
      <c r="AJ1594" s="143"/>
      <c r="AK1594" s="143"/>
      <c r="AL1594" s="143"/>
      <c r="AM1594" s="145"/>
      <c r="AN1594" s="143"/>
    </row>
    <row r="1595" s="100" customFormat="1" spans="3:40">
      <c r="C1595" s="136"/>
      <c r="D1595" s="136"/>
      <c r="F1595" s="20"/>
      <c r="G1595" s="138"/>
      <c r="H1595" s="138"/>
      <c r="I1595" s="126"/>
      <c r="J1595" s="20"/>
      <c r="K1595" s="20"/>
      <c r="L1595" s="20"/>
      <c r="M1595" s="20"/>
      <c r="N1595" s="126"/>
      <c r="O1595" s="126"/>
      <c r="P1595" s="126"/>
      <c r="Q1595" s="202"/>
      <c r="R1595" s="173"/>
      <c r="S1595" s="20"/>
      <c r="AE1595" s="143"/>
      <c r="AF1595" s="143"/>
      <c r="AG1595" s="143"/>
      <c r="AH1595" s="143"/>
      <c r="AI1595" s="143"/>
      <c r="AJ1595" s="143"/>
      <c r="AK1595" s="143"/>
      <c r="AL1595" s="143"/>
      <c r="AM1595" s="145"/>
      <c r="AN1595" s="143"/>
    </row>
    <row r="1596" s="100" customFormat="1" spans="3:40">
      <c r="C1596" s="136"/>
      <c r="D1596" s="136"/>
      <c r="F1596" s="20"/>
      <c r="G1596" s="138"/>
      <c r="H1596" s="138"/>
      <c r="I1596" s="126"/>
      <c r="J1596" s="20"/>
      <c r="K1596" s="20"/>
      <c r="L1596" s="20"/>
      <c r="M1596" s="20"/>
      <c r="N1596" s="126"/>
      <c r="O1596" s="126"/>
      <c r="P1596" s="126"/>
      <c r="Q1596" s="202"/>
      <c r="R1596" s="172"/>
      <c r="S1596" s="172"/>
      <c r="AE1596" s="143"/>
      <c r="AF1596" s="143"/>
      <c r="AG1596" s="143"/>
      <c r="AH1596" s="143"/>
      <c r="AI1596" s="143"/>
      <c r="AJ1596" s="143"/>
      <c r="AK1596" s="143"/>
      <c r="AL1596" s="143"/>
      <c r="AM1596" s="151"/>
      <c r="AN1596" s="151"/>
    </row>
    <row r="1597" s="100" customFormat="1" spans="3:40">
      <c r="C1597" s="136"/>
      <c r="D1597" s="136"/>
      <c r="F1597" s="20"/>
      <c r="G1597" s="138"/>
      <c r="H1597" s="138"/>
      <c r="I1597" s="126"/>
      <c r="J1597" s="20"/>
      <c r="K1597" s="20"/>
      <c r="L1597" s="20"/>
      <c r="M1597" s="20"/>
      <c r="N1597" s="126"/>
      <c r="O1597" s="126"/>
      <c r="P1597" s="126"/>
      <c r="Q1597" s="202"/>
      <c r="R1597" s="173"/>
      <c r="S1597" s="20"/>
      <c r="AE1597" s="143"/>
      <c r="AF1597" s="143"/>
      <c r="AG1597" s="143"/>
      <c r="AH1597" s="143"/>
      <c r="AI1597" s="143"/>
      <c r="AJ1597" s="143"/>
      <c r="AK1597" s="143"/>
      <c r="AL1597" s="143"/>
      <c r="AM1597" s="145"/>
      <c r="AN1597" s="143"/>
    </row>
    <row r="1598" s="100" customFormat="1" spans="3:40">
      <c r="C1598" s="136"/>
      <c r="D1598" s="136"/>
      <c r="F1598" s="20"/>
      <c r="G1598" s="138"/>
      <c r="H1598" s="138"/>
      <c r="I1598" s="126"/>
      <c r="J1598" s="20"/>
      <c r="K1598" s="20"/>
      <c r="L1598" s="20"/>
      <c r="M1598" s="20"/>
      <c r="N1598" s="126"/>
      <c r="O1598" s="126"/>
      <c r="P1598" s="126"/>
      <c r="Q1598" s="202"/>
      <c r="R1598" s="173"/>
      <c r="S1598" s="20"/>
      <c r="AE1598" s="143"/>
      <c r="AF1598" s="143"/>
      <c r="AG1598" s="143"/>
      <c r="AH1598" s="143"/>
      <c r="AI1598" s="143"/>
      <c r="AJ1598" s="143"/>
      <c r="AK1598" s="143"/>
      <c r="AL1598" s="143"/>
      <c r="AM1598" s="143"/>
      <c r="AN1598" s="151"/>
    </row>
    <row r="1599" s="100" customFormat="1" spans="3:40">
      <c r="C1599" s="136"/>
      <c r="D1599" s="136"/>
      <c r="F1599" s="20"/>
      <c r="G1599" s="138"/>
      <c r="H1599" s="138"/>
      <c r="I1599" s="126"/>
      <c r="J1599" s="20"/>
      <c r="K1599" s="20"/>
      <c r="L1599" s="20"/>
      <c r="M1599" s="20"/>
      <c r="N1599" s="126"/>
      <c r="O1599" s="126"/>
      <c r="P1599" s="126"/>
      <c r="Q1599" s="202"/>
      <c r="R1599" s="172"/>
      <c r="S1599" s="20"/>
      <c r="AE1599" s="143"/>
      <c r="AF1599" s="143"/>
      <c r="AG1599" s="143"/>
      <c r="AH1599" s="143"/>
      <c r="AI1599" s="143"/>
      <c r="AJ1599" s="143"/>
      <c r="AK1599" s="143"/>
      <c r="AL1599" s="143"/>
      <c r="AM1599" s="151"/>
      <c r="AN1599" s="143"/>
    </row>
    <row r="1600" s="100" customFormat="1" spans="3:40">
      <c r="C1600" s="136"/>
      <c r="D1600" s="136"/>
      <c r="F1600" s="20"/>
      <c r="G1600" s="138"/>
      <c r="H1600" s="138"/>
      <c r="I1600" s="126"/>
      <c r="J1600" s="20"/>
      <c r="K1600" s="20"/>
      <c r="L1600" s="20"/>
      <c r="M1600" s="20"/>
      <c r="N1600" s="126"/>
      <c r="O1600" s="126"/>
      <c r="P1600" s="126"/>
      <c r="Q1600" s="202"/>
      <c r="R1600" s="173"/>
      <c r="S1600" s="20"/>
      <c r="AE1600" s="143"/>
      <c r="AF1600" s="143"/>
      <c r="AG1600" s="143"/>
      <c r="AH1600" s="143"/>
      <c r="AI1600" s="143"/>
      <c r="AJ1600" s="143"/>
      <c r="AK1600" s="143"/>
      <c r="AL1600" s="143"/>
      <c r="AM1600" s="151"/>
      <c r="AN1600" s="143"/>
    </row>
    <row r="1601" s="100" customFormat="1" spans="3:40">
      <c r="C1601" s="136"/>
      <c r="D1601" s="136"/>
      <c r="F1601" s="20"/>
      <c r="G1601" s="138"/>
      <c r="H1601" s="138"/>
      <c r="I1601" s="126"/>
      <c r="J1601" s="20"/>
      <c r="K1601" s="20"/>
      <c r="L1601" s="20"/>
      <c r="M1601" s="20"/>
      <c r="N1601" s="126"/>
      <c r="O1601" s="126"/>
      <c r="P1601" s="126"/>
      <c r="Q1601" s="202"/>
      <c r="R1601" s="173"/>
      <c r="S1601" s="20"/>
      <c r="AE1601" s="143"/>
      <c r="AF1601" s="143"/>
      <c r="AG1601" s="143"/>
      <c r="AH1601" s="143"/>
      <c r="AI1601" s="143"/>
      <c r="AJ1601" s="143"/>
      <c r="AK1601" s="143"/>
      <c r="AL1601" s="143"/>
      <c r="AM1601" s="151"/>
      <c r="AN1601" s="143"/>
    </row>
    <row r="1602" s="100" customFormat="1" spans="3:40">
      <c r="C1602" s="136"/>
      <c r="D1602" s="136"/>
      <c r="F1602" s="20"/>
      <c r="G1602" s="138"/>
      <c r="H1602" s="138"/>
      <c r="I1602" s="126"/>
      <c r="J1602" s="20"/>
      <c r="K1602" s="20"/>
      <c r="L1602" s="20"/>
      <c r="M1602" s="20"/>
      <c r="N1602" s="126"/>
      <c r="O1602" s="126"/>
      <c r="P1602" s="126"/>
      <c r="Q1602" s="202"/>
      <c r="R1602" s="173"/>
      <c r="S1602" s="20"/>
      <c r="AE1602" s="143"/>
      <c r="AF1602" s="143"/>
      <c r="AG1602" s="143"/>
      <c r="AH1602" s="143"/>
      <c r="AI1602" s="143"/>
      <c r="AJ1602" s="143"/>
      <c r="AK1602" s="143"/>
      <c r="AL1602" s="143"/>
      <c r="AM1602" s="145"/>
      <c r="AN1602" s="143"/>
    </row>
    <row r="1603" s="100" customFormat="1" spans="3:40">
      <c r="C1603" s="136"/>
      <c r="D1603" s="136"/>
      <c r="F1603" s="20"/>
      <c r="G1603" s="138"/>
      <c r="H1603" s="138"/>
      <c r="I1603" s="126"/>
      <c r="J1603" s="20"/>
      <c r="K1603" s="20"/>
      <c r="L1603" s="20"/>
      <c r="M1603" s="20"/>
      <c r="N1603" s="126"/>
      <c r="O1603" s="126"/>
      <c r="P1603" s="126"/>
      <c r="Q1603" s="202"/>
      <c r="R1603" s="172"/>
      <c r="S1603" s="20"/>
      <c r="AE1603" s="143"/>
      <c r="AF1603" s="143"/>
      <c r="AG1603" s="143"/>
      <c r="AH1603" s="143"/>
      <c r="AI1603" s="143"/>
      <c r="AJ1603" s="143"/>
      <c r="AK1603" s="143"/>
      <c r="AL1603" s="143"/>
      <c r="AM1603" s="145"/>
      <c r="AN1603" s="143"/>
    </row>
    <row r="1604" s="100" customFormat="1" spans="3:40">
      <c r="C1604" s="136"/>
      <c r="D1604" s="136"/>
      <c r="F1604" s="20"/>
      <c r="G1604" s="138"/>
      <c r="H1604" s="138"/>
      <c r="I1604" s="126"/>
      <c r="J1604" s="20"/>
      <c r="K1604" s="20"/>
      <c r="L1604" s="20"/>
      <c r="M1604" s="20"/>
      <c r="N1604" s="126"/>
      <c r="O1604" s="126"/>
      <c r="P1604" s="126"/>
      <c r="Q1604" s="202"/>
      <c r="R1604" s="172"/>
      <c r="S1604" s="20"/>
      <c r="AE1604" s="143"/>
      <c r="AF1604" s="143"/>
      <c r="AG1604" s="143"/>
      <c r="AH1604" s="143"/>
      <c r="AI1604" s="143"/>
      <c r="AJ1604" s="143"/>
      <c r="AK1604" s="143"/>
      <c r="AL1604" s="143"/>
      <c r="AM1604" s="143"/>
      <c r="AN1604" s="151"/>
    </row>
    <row r="1605" s="100" customFormat="1" spans="3:40">
      <c r="C1605" s="136"/>
      <c r="D1605" s="136"/>
      <c r="F1605" s="20"/>
      <c r="G1605" s="138"/>
      <c r="H1605" s="138"/>
      <c r="I1605" s="126"/>
      <c r="J1605" s="20"/>
      <c r="K1605" s="20"/>
      <c r="L1605" s="20"/>
      <c r="M1605" s="20"/>
      <c r="N1605" s="126"/>
      <c r="O1605" s="126"/>
      <c r="P1605" s="126"/>
      <c r="Q1605" s="202"/>
      <c r="R1605" s="172"/>
      <c r="S1605" s="20"/>
      <c r="AE1605" s="143"/>
      <c r="AF1605" s="143"/>
      <c r="AG1605" s="143"/>
      <c r="AH1605" s="143"/>
      <c r="AI1605" s="143"/>
      <c r="AJ1605" s="143"/>
      <c r="AK1605" s="143"/>
      <c r="AL1605" s="143"/>
      <c r="AM1605" s="145"/>
      <c r="AN1605" s="143"/>
    </row>
    <row r="1606" s="100" customFormat="1" spans="3:40">
      <c r="C1606" s="136"/>
      <c r="D1606" s="136"/>
      <c r="F1606" s="20"/>
      <c r="G1606" s="138"/>
      <c r="H1606" s="138"/>
      <c r="I1606" s="126"/>
      <c r="J1606" s="20"/>
      <c r="K1606" s="20"/>
      <c r="L1606" s="20"/>
      <c r="M1606" s="20"/>
      <c r="N1606" s="126"/>
      <c r="O1606" s="126"/>
      <c r="P1606" s="126"/>
      <c r="Q1606" s="202"/>
      <c r="R1606" s="173"/>
      <c r="S1606" s="20"/>
      <c r="AE1606" s="143"/>
      <c r="AF1606" s="143"/>
      <c r="AG1606" s="143"/>
      <c r="AH1606" s="143"/>
      <c r="AI1606" s="143"/>
      <c r="AJ1606" s="143"/>
      <c r="AK1606" s="143"/>
      <c r="AL1606" s="143"/>
      <c r="AM1606" s="145"/>
      <c r="AN1606" s="143"/>
    </row>
    <row r="1607" s="100" customFormat="1" spans="3:40">
      <c r="C1607" s="136"/>
      <c r="D1607" s="136"/>
      <c r="F1607" s="20"/>
      <c r="G1607" s="138"/>
      <c r="H1607" s="138"/>
      <c r="I1607" s="126"/>
      <c r="J1607" s="20"/>
      <c r="K1607" s="20"/>
      <c r="L1607" s="20"/>
      <c r="M1607" s="20"/>
      <c r="N1607" s="126"/>
      <c r="O1607" s="126"/>
      <c r="P1607" s="126"/>
      <c r="Q1607" s="202"/>
      <c r="R1607" s="173"/>
      <c r="S1607" s="20"/>
      <c r="AE1607" s="143"/>
      <c r="AF1607" s="143"/>
      <c r="AG1607" s="143"/>
      <c r="AH1607" s="143"/>
      <c r="AI1607" s="143"/>
      <c r="AJ1607" s="143"/>
      <c r="AK1607" s="143"/>
      <c r="AL1607" s="143"/>
      <c r="AM1607" s="143"/>
      <c r="AN1607" s="151"/>
    </row>
    <row r="1608" s="100" customFormat="1" spans="3:40">
      <c r="C1608" s="136"/>
      <c r="D1608" s="136"/>
      <c r="F1608" s="20"/>
      <c r="G1608" s="138"/>
      <c r="H1608" s="138"/>
      <c r="I1608" s="126"/>
      <c r="J1608" s="20"/>
      <c r="K1608" s="20"/>
      <c r="L1608" s="20"/>
      <c r="M1608" s="20"/>
      <c r="N1608" s="126"/>
      <c r="O1608" s="126"/>
      <c r="P1608" s="126"/>
      <c r="Q1608" s="202"/>
      <c r="R1608" s="172"/>
      <c r="S1608" s="172"/>
      <c r="AE1608" s="143"/>
      <c r="AF1608" s="143"/>
      <c r="AG1608" s="143"/>
      <c r="AH1608" s="143"/>
      <c r="AI1608" s="143"/>
      <c r="AJ1608" s="143"/>
      <c r="AK1608" s="143"/>
      <c r="AL1608" s="143"/>
      <c r="AM1608" s="145"/>
      <c r="AN1608" s="143"/>
    </row>
    <row r="1609" s="100" customFormat="1" spans="3:40">
      <c r="C1609" s="136"/>
      <c r="D1609" s="136"/>
      <c r="F1609" s="20"/>
      <c r="G1609" s="138"/>
      <c r="H1609" s="138"/>
      <c r="I1609" s="126"/>
      <c r="J1609" s="20"/>
      <c r="K1609" s="20"/>
      <c r="L1609" s="20"/>
      <c r="M1609" s="20"/>
      <c r="N1609" s="126"/>
      <c r="O1609" s="126"/>
      <c r="P1609" s="126"/>
      <c r="Q1609" s="202"/>
      <c r="R1609" s="173"/>
      <c r="S1609" s="20"/>
      <c r="AE1609" s="143"/>
      <c r="AF1609" s="143"/>
      <c r="AG1609" s="143"/>
      <c r="AH1609" s="143"/>
      <c r="AI1609" s="143"/>
      <c r="AJ1609" s="143"/>
      <c r="AK1609" s="143"/>
      <c r="AL1609" s="143"/>
      <c r="AM1609" s="143"/>
      <c r="AN1609" s="151"/>
    </row>
    <row r="1610" s="100" customFormat="1" spans="3:40">
      <c r="C1610" s="136"/>
      <c r="D1610" s="136"/>
      <c r="F1610" s="20"/>
      <c r="G1610" s="138"/>
      <c r="H1610" s="138"/>
      <c r="I1610" s="126"/>
      <c r="J1610" s="20"/>
      <c r="K1610" s="20"/>
      <c r="L1610" s="20"/>
      <c r="M1610" s="20"/>
      <c r="N1610" s="126"/>
      <c r="O1610" s="126"/>
      <c r="P1610" s="126"/>
      <c r="Q1610" s="202"/>
      <c r="R1610" s="173"/>
      <c r="S1610" s="20"/>
      <c r="AE1610" s="143"/>
      <c r="AF1610" s="143"/>
      <c r="AG1610" s="143"/>
      <c r="AH1610" s="143"/>
      <c r="AI1610" s="143"/>
      <c r="AJ1610" s="143"/>
      <c r="AK1610" s="143"/>
      <c r="AL1610" s="143"/>
      <c r="AM1610" s="143"/>
      <c r="AN1610" s="151"/>
    </row>
    <row r="1611" s="100" customFormat="1" spans="3:40">
      <c r="C1611" s="136"/>
      <c r="D1611" s="136"/>
      <c r="F1611" s="20"/>
      <c r="G1611" s="138"/>
      <c r="H1611" s="138"/>
      <c r="I1611" s="126"/>
      <c r="J1611" s="20"/>
      <c r="K1611" s="20"/>
      <c r="L1611" s="20"/>
      <c r="M1611" s="20"/>
      <c r="N1611" s="126"/>
      <c r="O1611" s="126"/>
      <c r="P1611" s="126"/>
      <c r="Q1611" s="202"/>
      <c r="R1611" s="172"/>
      <c r="S1611" s="20"/>
      <c r="AE1611" s="143"/>
      <c r="AF1611" s="143"/>
      <c r="AG1611" s="143"/>
      <c r="AH1611" s="143"/>
      <c r="AI1611" s="143"/>
      <c r="AJ1611" s="143"/>
      <c r="AK1611" s="143"/>
      <c r="AL1611" s="143"/>
      <c r="AM1611" s="145"/>
      <c r="AN1611" s="143"/>
    </row>
    <row r="1612" s="100" customFormat="1" spans="3:40">
      <c r="C1612" s="136"/>
      <c r="D1612" s="136"/>
      <c r="F1612" s="20"/>
      <c r="G1612" s="138"/>
      <c r="H1612" s="138"/>
      <c r="I1612" s="126"/>
      <c r="J1612" s="20"/>
      <c r="K1612" s="20"/>
      <c r="L1612" s="20"/>
      <c r="M1612" s="20"/>
      <c r="N1612" s="126"/>
      <c r="O1612" s="126"/>
      <c r="P1612" s="126"/>
      <c r="Q1612" s="202"/>
      <c r="R1612" s="172"/>
      <c r="S1612" s="20"/>
      <c r="AE1612" s="143"/>
      <c r="AF1612" s="143"/>
      <c r="AG1612" s="143"/>
      <c r="AH1612" s="143"/>
      <c r="AI1612" s="143"/>
      <c r="AJ1612" s="143"/>
      <c r="AK1612" s="143"/>
      <c r="AL1612" s="143"/>
      <c r="AM1612" s="145"/>
      <c r="AN1612" s="143"/>
    </row>
    <row r="1613" s="100" customFormat="1" spans="3:40">
      <c r="C1613" s="136"/>
      <c r="D1613" s="136"/>
      <c r="F1613" s="20"/>
      <c r="G1613" s="138"/>
      <c r="H1613" s="138"/>
      <c r="I1613" s="126"/>
      <c r="J1613" s="20"/>
      <c r="K1613" s="20"/>
      <c r="L1613" s="20"/>
      <c r="M1613" s="20"/>
      <c r="N1613" s="126"/>
      <c r="O1613" s="126"/>
      <c r="P1613" s="126"/>
      <c r="Q1613" s="202"/>
      <c r="R1613" s="172"/>
      <c r="S1613" s="20"/>
      <c r="AE1613" s="143"/>
      <c r="AF1613" s="143"/>
      <c r="AG1613" s="143"/>
      <c r="AH1613" s="143"/>
      <c r="AI1613" s="143"/>
      <c r="AJ1613" s="143"/>
      <c r="AK1613" s="143"/>
      <c r="AL1613" s="143"/>
      <c r="AM1613" s="151"/>
      <c r="AN1613" s="151"/>
    </row>
    <row r="1614" s="100" customFormat="1" spans="3:40">
      <c r="C1614" s="136"/>
      <c r="D1614" s="136"/>
      <c r="F1614" s="20"/>
      <c r="G1614" s="138"/>
      <c r="H1614" s="138"/>
      <c r="I1614" s="126"/>
      <c r="J1614" s="20"/>
      <c r="K1614" s="20"/>
      <c r="L1614" s="20"/>
      <c r="M1614" s="20"/>
      <c r="N1614" s="126"/>
      <c r="O1614" s="126"/>
      <c r="P1614" s="126"/>
      <c r="Q1614" s="202"/>
      <c r="R1614" s="172"/>
      <c r="S1614" s="20"/>
      <c r="AE1614" s="143"/>
      <c r="AF1614" s="143"/>
      <c r="AG1614" s="143"/>
      <c r="AH1614" s="143"/>
      <c r="AI1614" s="143"/>
      <c r="AJ1614" s="143"/>
      <c r="AK1614" s="143"/>
      <c r="AL1614" s="143"/>
      <c r="AM1614" s="151"/>
      <c r="AN1614" s="151"/>
    </row>
    <row r="1615" s="100" customFormat="1" spans="3:40">
      <c r="C1615" s="136"/>
      <c r="D1615" s="136"/>
      <c r="F1615" s="20"/>
      <c r="G1615" s="138"/>
      <c r="H1615" s="138"/>
      <c r="I1615" s="126"/>
      <c r="J1615" s="20"/>
      <c r="K1615" s="20"/>
      <c r="L1615" s="20"/>
      <c r="M1615" s="20"/>
      <c r="N1615" s="126"/>
      <c r="O1615" s="126"/>
      <c r="P1615" s="126"/>
      <c r="Q1615" s="202"/>
      <c r="R1615" s="172"/>
      <c r="S1615" s="172"/>
      <c r="AE1615" s="143"/>
      <c r="AF1615" s="143"/>
      <c r="AG1615" s="143"/>
      <c r="AH1615" s="143"/>
      <c r="AI1615" s="143"/>
      <c r="AJ1615" s="143"/>
      <c r="AK1615" s="143"/>
      <c r="AL1615" s="143"/>
      <c r="AM1615" s="151"/>
      <c r="AN1615" s="151"/>
    </row>
    <row r="1616" s="100" customFormat="1" spans="3:40">
      <c r="C1616" s="136"/>
      <c r="D1616" s="136"/>
      <c r="F1616" s="20"/>
      <c r="G1616" s="138"/>
      <c r="H1616" s="138"/>
      <c r="I1616" s="126"/>
      <c r="J1616" s="20"/>
      <c r="K1616" s="20"/>
      <c r="L1616" s="20"/>
      <c r="M1616" s="20"/>
      <c r="N1616" s="126"/>
      <c r="O1616" s="126"/>
      <c r="P1616" s="126"/>
      <c r="Q1616" s="202"/>
      <c r="R1616" s="172"/>
      <c r="S1616" s="172"/>
      <c r="AE1616" s="143"/>
      <c r="AF1616" s="143"/>
      <c r="AG1616" s="143"/>
      <c r="AH1616" s="143"/>
      <c r="AI1616" s="143"/>
      <c r="AJ1616" s="143"/>
      <c r="AK1616" s="143"/>
      <c r="AL1616" s="143"/>
      <c r="AM1616" s="151"/>
      <c r="AN1616" s="151"/>
    </row>
    <row r="1617" s="100" customFormat="1" spans="3:40">
      <c r="C1617" s="136"/>
      <c r="D1617" s="136"/>
      <c r="F1617" s="20"/>
      <c r="G1617" s="138"/>
      <c r="H1617" s="138"/>
      <c r="I1617" s="126"/>
      <c r="J1617" s="20"/>
      <c r="K1617" s="20"/>
      <c r="L1617" s="20"/>
      <c r="M1617" s="20"/>
      <c r="N1617" s="126"/>
      <c r="O1617" s="126"/>
      <c r="P1617" s="126"/>
      <c r="Q1617" s="202"/>
      <c r="R1617" s="173"/>
      <c r="S1617" s="20"/>
      <c r="AE1617" s="143"/>
      <c r="AF1617" s="143"/>
      <c r="AG1617" s="143"/>
      <c r="AH1617" s="143"/>
      <c r="AI1617" s="143"/>
      <c r="AJ1617" s="143"/>
      <c r="AK1617" s="143"/>
      <c r="AL1617" s="143"/>
      <c r="AM1617" s="145"/>
      <c r="AN1617" s="143"/>
    </row>
    <row r="1618" s="100" customFormat="1" spans="3:40">
      <c r="C1618" s="136"/>
      <c r="D1618" s="136"/>
      <c r="F1618" s="20"/>
      <c r="G1618" s="138"/>
      <c r="H1618" s="138"/>
      <c r="I1618" s="126"/>
      <c r="J1618" s="20"/>
      <c r="K1618" s="20"/>
      <c r="L1618" s="20"/>
      <c r="M1618" s="20"/>
      <c r="N1618" s="126"/>
      <c r="O1618" s="126"/>
      <c r="P1618" s="126"/>
      <c r="Q1618" s="202"/>
      <c r="R1618" s="173"/>
      <c r="S1618" s="20"/>
      <c r="AE1618" s="143"/>
      <c r="AF1618" s="143"/>
      <c r="AG1618" s="143"/>
      <c r="AH1618" s="143"/>
      <c r="AI1618" s="143"/>
      <c r="AJ1618" s="143"/>
      <c r="AK1618" s="143"/>
      <c r="AL1618" s="143"/>
      <c r="AM1618" s="145"/>
      <c r="AN1618" s="143"/>
    </row>
    <row r="1619" s="100" customFormat="1" spans="3:40">
      <c r="C1619" s="136"/>
      <c r="D1619" s="136"/>
      <c r="F1619" s="20"/>
      <c r="G1619" s="138"/>
      <c r="H1619" s="138"/>
      <c r="I1619" s="126"/>
      <c r="J1619" s="20"/>
      <c r="K1619" s="20"/>
      <c r="L1619" s="20"/>
      <c r="M1619" s="20"/>
      <c r="N1619" s="126"/>
      <c r="O1619" s="126"/>
      <c r="P1619" s="126"/>
      <c r="Q1619" s="202"/>
      <c r="R1619" s="173"/>
      <c r="S1619" s="20"/>
      <c r="AE1619" s="143"/>
      <c r="AF1619" s="143"/>
      <c r="AG1619" s="143"/>
      <c r="AH1619" s="143"/>
      <c r="AI1619" s="143"/>
      <c r="AJ1619" s="143"/>
      <c r="AK1619" s="143"/>
      <c r="AL1619" s="143"/>
      <c r="AM1619" s="145"/>
      <c r="AN1619" s="143"/>
    </row>
    <row r="1620" s="100" customFormat="1" spans="3:40">
      <c r="C1620" s="136"/>
      <c r="D1620" s="136"/>
      <c r="F1620" s="20"/>
      <c r="G1620" s="138"/>
      <c r="H1620" s="138"/>
      <c r="I1620" s="126"/>
      <c r="J1620" s="20"/>
      <c r="K1620" s="20"/>
      <c r="L1620" s="20"/>
      <c r="M1620" s="20"/>
      <c r="N1620" s="126"/>
      <c r="O1620" s="126"/>
      <c r="P1620" s="126"/>
      <c r="Q1620" s="202"/>
      <c r="R1620" s="173"/>
      <c r="S1620" s="20"/>
      <c r="AE1620" s="143"/>
      <c r="AF1620" s="143"/>
      <c r="AG1620" s="143"/>
      <c r="AH1620" s="143"/>
      <c r="AI1620" s="143"/>
      <c r="AJ1620" s="143"/>
      <c r="AK1620" s="143"/>
      <c r="AL1620" s="143"/>
      <c r="AM1620" s="145"/>
      <c r="AN1620" s="151"/>
    </row>
    <row r="1621" s="100" customFormat="1" spans="3:40">
      <c r="C1621" s="136"/>
      <c r="D1621" s="136"/>
      <c r="F1621" s="20"/>
      <c r="G1621" s="138"/>
      <c r="H1621" s="138"/>
      <c r="I1621" s="126"/>
      <c r="J1621" s="20"/>
      <c r="K1621" s="20"/>
      <c r="L1621" s="20"/>
      <c r="M1621" s="20"/>
      <c r="N1621" s="126"/>
      <c r="O1621" s="126"/>
      <c r="P1621" s="126"/>
      <c r="Q1621" s="202"/>
      <c r="R1621" s="173"/>
      <c r="S1621" s="20"/>
      <c r="AE1621" s="143"/>
      <c r="AF1621" s="143"/>
      <c r="AG1621" s="143"/>
      <c r="AH1621" s="143"/>
      <c r="AI1621" s="143"/>
      <c r="AJ1621" s="143"/>
      <c r="AK1621" s="143"/>
      <c r="AL1621" s="143"/>
      <c r="AM1621" s="145"/>
      <c r="AN1621" s="143"/>
    </row>
    <row r="1622" s="100" customFormat="1" spans="3:40">
      <c r="C1622" s="136"/>
      <c r="D1622" s="136"/>
      <c r="F1622" s="20"/>
      <c r="G1622" s="138"/>
      <c r="H1622" s="138"/>
      <c r="I1622" s="126"/>
      <c r="J1622" s="20"/>
      <c r="K1622" s="20"/>
      <c r="L1622" s="20"/>
      <c r="M1622" s="20"/>
      <c r="N1622" s="126"/>
      <c r="O1622" s="126"/>
      <c r="P1622" s="126"/>
      <c r="Q1622" s="202"/>
      <c r="R1622" s="173"/>
      <c r="S1622" s="20"/>
      <c r="AE1622" s="143"/>
      <c r="AF1622" s="143"/>
      <c r="AG1622" s="143"/>
      <c r="AH1622" s="143"/>
      <c r="AI1622" s="143"/>
      <c r="AJ1622" s="143"/>
      <c r="AK1622" s="143"/>
      <c r="AL1622" s="143"/>
      <c r="AM1622" s="145"/>
      <c r="AN1622" s="143"/>
    </row>
    <row r="1623" s="100" customFormat="1" spans="3:40">
      <c r="C1623" s="136"/>
      <c r="D1623" s="136"/>
      <c r="F1623" s="20"/>
      <c r="G1623" s="138"/>
      <c r="H1623" s="138"/>
      <c r="I1623" s="126"/>
      <c r="J1623" s="20"/>
      <c r="K1623" s="20"/>
      <c r="L1623" s="20"/>
      <c r="M1623" s="20"/>
      <c r="N1623" s="126"/>
      <c r="O1623" s="126"/>
      <c r="P1623" s="126"/>
      <c r="Q1623" s="202"/>
      <c r="R1623" s="173"/>
      <c r="S1623" s="20"/>
      <c r="AE1623" s="143"/>
      <c r="AF1623" s="143"/>
      <c r="AG1623" s="143"/>
      <c r="AH1623" s="143"/>
      <c r="AI1623" s="143"/>
      <c r="AJ1623" s="143"/>
      <c r="AK1623" s="143"/>
      <c r="AL1623" s="143"/>
      <c r="AM1623" s="145"/>
      <c r="AN1623" s="143"/>
    </row>
    <row r="1624" s="100" customFormat="1" spans="3:40">
      <c r="C1624" s="136"/>
      <c r="D1624" s="136"/>
      <c r="F1624" s="20"/>
      <c r="G1624" s="138"/>
      <c r="H1624" s="138"/>
      <c r="I1624" s="126"/>
      <c r="J1624" s="20"/>
      <c r="K1624" s="20"/>
      <c r="L1624" s="20"/>
      <c r="M1624" s="20"/>
      <c r="N1624" s="126"/>
      <c r="O1624" s="126"/>
      <c r="P1624" s="126"/>
      <c r="Q1624" s="202"/>
      <c r="R1624" s="173"/>
      <c r="S1624" s="20"/>
      <c r="AE1624" s="143"/>
      <c r="AF1624" s="143"/>
      <c r="AG1624" s="143"/>
      <c r="AH1624" s="143"/>
      <c r="AI1624" s="143"/>
      <c r="AJ1624" s="143"/>
      <c r="AK1624" s="143"/>
      <c r="AL1624" s="143"/>
      <c r="AM1624" s="143"/>
      <c r="AN1624" s="151"/>
    </row>
    <row r="1625" s="100" customFormat="1" spans="3:40">
      <c r="C1625" s="136"/>
      <c r="D1625" s="136"/>
      <c r="F1625" s="20"/>
      <c r="G1625" s="138"/>
      <c r="H1625" s="138"/>
      <c r="I1625" s="126"/>
      <c r="J1625" s="20"/>
      <c r="K1625" s="20"/>
      <c r="L1625" s="20"/>
      <c r="M1625" s="20"/>
      <c r="N1625" s="126"/>
      <c r="O1625" s="126"/>
      <c r="P1625" s="126"/>
      <c r="Q1625" s="202"/>
      <c r="R1625" s="173"/>
      <c r="S1625" s="20"/>
      <c r="AE1625" s="143"/>
      <c r="AF1625" s="143"/>
      <c r="AG1625" s="143"/>
      <c r="AH1625" s="143"/>
      <c r="AI1625" s="143"/>
      <c r="AJ1625" s="143"/>
      <c r="AK1625" s="143"/>
      <c r="AL1625" s="143"/>
      <c r="AM1625" s="143"/>
      <c r="AN1625" s="151"/>
    </row>
    <row r="1626" s="100" customFormat="1" spans="3:40">
      <c r="C1626" s="136"/>
      <c r="D1626" s="136"/>
      <c r="F1626" s="20"/>
      <c r="G1626" s="138"/>
      <c r="H1626" s="138"/>
      <c r="I1626" s="126"/>
      <c r="J1626" s="20"/>
      <c r="K1626" s="20"/>
      <c r="L1626" s="20"/>
      <c r="M1626" s="20"/>
      <c r="N1626" s="126"/>
      <c r="O1626" s="126"/>
      <c r="P1626" s="126"/>
      <c r="Q1626" s="202"/>
      <c r="R1626" s="173"/>
      <c r="S1626" s="20"/>
      <c r="AE1626" s="143"/>
      <c r="AF1626" s="143"/>
      <c r="AG1626" s="143"/>
      <c r="AH1626" s="143"/>
      <c r="AI1626" s="143"/>
      <c r="AJ1626" s="143"/>
      <c r="AK1626" s="143"/>
      <c r="AL1626" s="143"/>
      <c r="AM1626" s="143"/>
      <c r="AN1626" s="151"/>
    </row>
    <row r="1627" s="100" customFormat="1" spans="3:40">
      <c r="C1627" s="136"/>
      <c r="D1627" s="136"/>
      <c r="F1627" s="20"/>
      <c r="G1627" s="138"/>
      <c r="H1627" s="138"/>
      <c r="I1627" s="126"/>
      <c r="J1627" s="20"/>
      <c r="K1627" s="20"/>
      <c r="L1627" s="20"/>
      <c r="M1627" s="20"/>
      <c r="N1627" s="126"/>
      <c r="O1627" s="126"/>
      <c r="P1627" s="126"/>
      <c r="Q1627" s="202"/>
      <c r="R1627" s="173"/>
      <c r="S1627" s="172"/>
      <c r="AE1627" s="143"/>
      <c r="AF1627" s="143"/>
      <c r="AG1627" s="143"/>
      <c r="AH1627" s="143"/>
      <c r="AI1627" s="143"/>
      <c r="AJ1627" s="143"/>
      <c r="AK1627" s="143"/>
      <c r="AL1627" s="143"/>
      <c r="AM1627" s="145"/>
      <c r="AN1627" s="143"/>
    </row>
    <row r="1628" s="100" customFormat="1" spans="3:40">
      <c r="C1628" s="136"/>
      <c r="D1628" s="136"/>
      <c r="F1628" s="20"/>
      <c r="G1628" s="138"/>
      <c r="H1628" s="138"/>
      <c r="I1628" s="126"/>
      <c r="J1628" s="20"/>
      <c r="K1628" s="20"/>
      <c r="L1628" s="20"/>
      <c r="M1628" s="20"/>
      <c r="N1628" s="126"/>
      <c r="O1628" s="126"/>
      <c r="P1628" s="126"/>
      <c r="Q1628" s="202"/>
      <c r="R1628" s="172"/>
      <c r="S1628" s="20"/>
      <c r="AE1628" s="143"/>
      <c r="AF1628" s="143"/>
      <c r="AG1628" s="143"/>
      <c r="AH1628" s="143"/>
      <c r="AI1628" s="143"/>
      <c r="AJ1628" s="143"/>
      <c r="AK1628" s="143"/>
      <c r="AL1628" s="143"/>
      <c r="AM1628" s="143"/>
      <c r="AN1628" s="151"/>
    </row>
    <row r="1629" s="100" customFormat="1" spans="3:40">
      <c r="C1629" s="136"/>
      <c r="D1629" s="136"/>
      <c r="F1629" s="20"/>
      <c r="G1629" s="138"/>
      <c r="H1629" s="138"/>
      <c r="I1629" s="126"/>
      <c r="J1629" s="20"/>
      <c r="K1629" s="20"/>
      <c r="L1629" s="20"/>
      <c r="M1629" s="20"/>
      <c r="N1629" s="126"/>
      <c r="O1629" s="126"/>
      <c r="P1629" s="126"/>
      <c r="Q1629" s="202"/>
      <c r="R1629" s="172"/>
      <c r="S1629" s="172"/>
      <c r="AE1629" s="143"/>
      <c r="AF1629" s="143"/>
      <c r="AG1629" s="143"/>
      <c r="AH1629" s="143"/>
      <c r="AI1629" s="143"/>
      <c r="AJ1629" s="143"/>
      <c r="AK1629" s="143"/>
      <c r="AL1629" s="143"/>
      <c r="AM1629" s="145"/>
      <c r="AN1629" s="143"/>
    </row>
    <row r="1630" s="100" customFormat="1" spans="3:40">
      <c r="C1630" s="136"/>
      <c r="D1630" s="136"/>
      <c r="F1630" s="20"/>
      <c r="G1630" s="138"/>
      <c r="H1630" s="138"/>
      <c r="I1630" s="126"/>
      <c r="J1630" s="20"/>
      <c r="K1630" s="20"/>
      <c r="L1630" s="20"/>
      <c r="M1630" s="20"/>
      <c r="N1630" s="126"/>
      <c r="O1630" s="126"/>
      <c r="P1630" s="126"/>
      <c r="Q1630" s="202"/>
      <c r="R1630" s="172"/>
      <c r="S1630" s="172"/>
      <c r="AE1630" s="143"/>
      <c r="AF1630" s="143"/>
      <c r="AG1630" s="143"/>
      <c r="AH1630" s="143"/>
      <c r="AI1630" s="143"/>
      <c r="AJ1630" s="143"/>
      <c r="AK1630" s="143"/>
      <c r="AL1630" s="143"/>
      <c r="AM1630" s="151"/>
      <c r="AN1630" s="151"/>
    </row>
    <row r="1631" s="100" customFormat="1" spans="3:40">
      <c r="C1631" s="136"/>
      <c r="D1631" s="136"/>
      <c r="F1631" s="20"/>
      <c r="G1631" s="138"/>
      <c r="H1631" s="138"/>
      <c r="I1631" s="126"/>
      <c r="J1631" s="20"/>
      <c r="K1631" s="20"/>
      <c r="L1631" s="20"/>
      <c r="M1631" s="20"/>
      <c r="N1631" s="126"/>
      <c r="O1631" s="126"/>
      <c r="P1631" s="126"/>
      <c r="Q1631" s="202"/>
      <c r="R1631" s="172"/>
      <c r="S1631" s="20"/>
      <c r="AE1631" s="143"/>
      <c r="AF1631" s="143"/>
      <c r="AG1631" s="143"/>
      <c r="AH1631" s="143"/>
      <c r="AI1631" s="143"/>
      <c r="AJ1631" s="143"/>
      <c r="AK1631" s="143"/>
      <c r="AL1631" s="143"/>
      <c r="AM1631" s="145"/>
      <c r="AN1631" s="143"/>
    </row>
    <row r="1632" s="100" customFormat="1" spans="3:40">
      <c r="C1632" s="136"/>
      <c r="D1632" s="136"/>
      <c r="F1632" s="20"/>
      <c r="G1632" s="138"/>
      <c r="H1632" s="138"/>
      <c r="I1632" s="126"/>
      <c r="J1632" s="20"/>
      <c r="K1632" s="20"/>
      <c r="L1632" s="20"/>
      <c r="M1632" s="20"/>
      <c r="N1632" s="126"/>
      <c r="O1632" s="126"/>
      <c r="P1632" s="126"/>
      <c r="Q1632" s="202"/>
      <c r="R1632" s="172"/>
      <c r="S1632" s="20"/>
      <c r="AE1632" s="143"/>
      <c r="AF1632" s="143"/>
      <c r="AG1632" s="143"/>
      <c r="AH1632" s="143"/>
      <c r="AI1632" s="143"/>
      <c r="AJ1632" s="143"/>
      <c r="AK1632" s="143"/>
      <c r="AL1632" s="143"/>
      <c r="AM1632" s="145"/>
      <c r="AN1632" s="143"/>
    </row>
    <row r="1633" s="100" customFormat="1" spans="3:40">
      <c r="C1633" s="136"/>
      <c r="D1633" s="136"/>
      <c r="F1633" s="20"/>
      <c r="G1633" s="138"/>
      <c r="H1633" s="138"/>
      <c r="I1633" s="126"/>
      <c r="J1633" s="20"/>
      <c r="K1633" s="20"/>
      <c r="L1633" s="20"/>
      <c r="M1633" s="20"/>
      <c r="N1633" s="126"/>
      <c r="O1633" s="126"/>
      <c r="P1633" s="126"/>
      <c r="Q1633" s="202"/>
      <c r="R1633" s="172"/>
      <c r="S1633" s="20"/>
      <c r="AE1633" s="143"/>
      <c r="AF1633" s="143"/>
      <c r="AG1633" s="143"/>
      <c r="AH1633" s="143"/>
      <c r="AI1633" s="143"/>
      <c r="AJ1633" s="143"/>
      <c r="AK1633" s="143"/>
      <c r="AL1633" s="143"/>
      <c r="AM1633" s="145"/>
      <c r="AN1633" s="143"/>
    </row>
    <row r="1634" s="100" customFormat="1" spans="3:40">
      <c r="C1634" s="136"/>
      <c r="D1634" s="136"/>
      <c r="F1634" s="20"/>
      <c r="G1634" s="138"/>
      <c r="H1634" s="138"/>
      <c r="I1634" s="126"/>
      <c r="J1634" s="20"/>
      <c r="K1634" s="20"/>
      <c r="L1634" s="20"/>
      <c r="M1634" s="20"/>
      <c r="N1634" s="126"/>
      <c r="O1634" s="126"/>
      <c r="P1634" s="126"/>
      <c r="Q1634" s="202"/>
      <c r="R1634" s="172"/>
      <c r="S1634" s="20"/>
      <c r="AE1634" s="143"/>
      <c r="AF1634" s="143"/>
      <c r="AG1634" s="143"/>
      <c r="AH1634" s="143"/>
      <c r="AI1634" s="143"/>
      <c r="AJ1634" s="143"/>
      <c r="AK1634" s="143"/>
      <c r="AL1634" s="143"/>
      <c r="AM1634" s="145"/>
      <c r="AN1634" s="143"/>
    </row>
    <row r="1635" s="100" customFormat="1" spans="3:40">
      <c r="C1635" s="136"/>
      <c r="D1635" s="136"/>
      <c r="F1635" s="20"/>
      <c r="G1635" s="138"/>
      <c r="H1635" s="138"/>
      <c r="I1635" s="126"/>
      <c r="J1635" s="20"/>
      <c r="K1635" s="20"/>
      <c r="L1635" s="20"/>
      <c r="M1635" s="20"/>
      <c r="N1635" s="126"/>
      <c r="O1635" s="126"/>
      <c r="P1635" s="126"/>
      <c r="Q1635" s="202"/>
      <c r="R1635" s="172"/>
      <c r="S1635" s="20"/>
      <c r="AE1635" s="143"/>
      <c r="AF1635" s="143"/>
      <c r="AG1635" s="143"/>
      <c r="AH1635" s="143"/>
      <c r="AI1635" s="143"/>
      <c r="AJ1635" s="143"/>
      <c r="AK1635" s="143"/>
      <c r="AL1635" s="143"/>
      <c r="AM1635" s="143"/>
      <c r="AN1635" s="151"/>
    </row>
    <row r="1636" s="100" customFormat="1" spans="3:40">
      <c r="C1636" s="136"/>
      <c r="D1636" s="136"/>
      <c r="F1636" s="20"/>
      <c r="G1636" s="138"/>
      <c r="H1636" s="138"/>
      <c r="I1636" s="126"/>
      <c r="J1636" s="20"/>
      <c r="K1636" s="20"/>
      <c r="L1636" s="20"/>
      <c r="M1636" s="20"/>
      <c r="N1636" s="126"/>
      <c r="O1636" s="126"/>
      <c r="P1636" s="126"/>
      <c r="Q1636" s="202"/>
      <c r="R1636" s="172"/>
      <c r="S1636" s="20"/>
      <c r="AE1636" s="143"/>
      <c r="AF1636" s="143"/>
      <c r="AG1636" s="143"/>
      <c r="AH1636" s="143"/>
      <c r="AI1636" s="143"/>
      <c r="AJ1636" s="143"/>
      <c r="AK1636" s="143"/>
      <c r="AL1636" s="143"/>
      <c r="AM1636" s="143"/>
      <c r="AN1636" s="151"/>
    </row>
    <row r="1637" s="100" customFormat="1" spans="3:40">
      <c r="C1637" s="136"/>
      <c r="D1637" s="136"/>
      <c r="F1637" s="20"/>
      <c r="G1637" s="138"/>
      <c r="H1637" s="138"/>
      <c r="I1637" s="126"/>
      <c r="J1637" s="20"/>
      <c r="K1637" s="20"/>
      <c r="L1637" s="20"/>
      <c r="M1637" s="20"/>
      <c r="N1637" s="126"/>
      <c r="O1637" s="126"/>
      <c r="P1637" s="126"/>
      <c r="Q1637" s="202"/>
      <c r="R1637" s="172"/>
      <c r="S1637" s="20"/>
      <c r="AE1637" s="143"/>
      <c r="AF1637" s="143"/>
      <c r="AG1637" s="143"/>
      <c r="AH1637" s="143"/>
      <c r="AI1637" s="143"/>
      <c r="AJ1637" s="143"/>
      <c r="AK1637" s="143"/>
      <c r="AL1637" s="143"/>
      <c r="AM1637" s="145"/>
      <c r="AN1637" s="143"/>
    </row>
    <row r="1638" s="100" customFormat="1" spans="3:40">
      <c r="C1638" s="136"/>
      <c r="D1638" s="136"/>
      <c r="F1638" s="20"/>
      <c r="G1638" s="138"/>
      <c r="H1638" s="138"/>
      <c r="I1638" s="126"/>
      <c r="J1638" s="20"/>
      <c r="K1638" s="20"/>
      <c r="L1638" s="20"/>
      <c r="M1638" s="20"/>
      <c r="N1638" s="126"/>
      <c r="O1638" s="126"/>
      <c r="P1638" s="126"/>
      <c r="Q1638" s="202"/>
      <c r="R1638" s="172"/>
      <c r="S1638" s="20"/>
      <c r="AE1638" s="143"/>
      <c r="AF1638" s="143"/>
      <c r="AG1638" s="143"/>
      <c r="AH1638" s="143"/>
      <c r="AI1638" s="143"/>
      <c r="AJ1638" s="143"/>
      <c r="AK1638" s="143"/>
      <c r="AL1638" s="143"/>
      <c r="AM1638" s="145"/>
      <c r="AN1638" s="143"/>
    </row>
    <row r="1639" s="100" customFormat="1" spans="3:40">
      <c r="C1639" s="136"/>
      <c r="D1639" s="136"/>
      <c r="F1639" s="20"/>
      <c r="G1639" s="138"/>
      <c r="H1639" s="138"/>
      <c r="I1639" s="126"/>
      <c r="J1639" s="20"/>
      <c r="K1639" s="20"/>
      <c r="L1639" s="20"/>
      <c r="M1639" s="20"/>
      <c r="N1639" s="126"/>
      <c r="O1639" s="126"/>
      <c r="P1639" s="126"/>
      <c r="Q1639" s="202"/>
      <c r="R1639" s="172"/>
      <c r="S1639" s="20"/>
      <c r="AE1639" s="143"/>
      <c r="AF1639" s="143"/>
      <c r="AG1639" s="143"/>
      <c r="AH1639" s="143"/>
      <c r="AI1639" s="143"/>
      <c r="AJ1639" s="143"/>
      <c r="AK1639" s="143"/>
      <c r="AL1639" s="143"/>
      <c r="AM1639" s="145"/>
      <c r="AN1639" s="143"/>
    </row>
    <row r="1640" s="100" customFormat="1" spans="3:40">
      <c r="C1640" s="136"/>
      <c r="D1640" s="136"/>
      <c r="F1640" s="20"/>
      <c r="G1640" s="138"/>
      <c r="H1640" s="138"/>
      <c r="I1640" s="126"/>
      <c r="J1640" s="20"/>
      <c r="K1640" s="20"/>
      <c r="L1640" s="20"/>
      <c r="M1640" s="20"/>
      <c r="N1640" s="126"/>
      <c r="O1640" s="126"/>
      <c r="P1640" s="126"/>
      <c r="Q1640" s="202"/>
      <c r="R1640" s="172"/>
      <c r="S1640" s="20"/>
      <c r="AE1640" s="143"/>
      <c r="AF1640" s="143"/>
      <c r="AG1640" s="143"/>
      <c r="AH1640" s="143"/>
      <c r="AI1640" s="143"/>
      <c r="AJ1640" s="143"/>
      <c r="AK1640" s="143"/>
      <c r="AL1640" s="143"/>
      <c r="AM1640" s="145"/>
      <c r="AN1640" s="143"/>
    </row>
    <row r="1641" s="100" customFormat="1" spans="3:40">
      <c r="C1641" s="136"/>
      <c r="D1641" s="136"/>
      <c r="F1641" s="20"/>
      <c r="G1641" s="138"/>
      <c r="H1641" s="138"/>
      <c r="I1641" s="126"/>
      <c r="J1641" s="20"/>
      <c r="K1641" s="20"/>
      <c r="L1641" s="20"/>
      <c r="M1641" s="20"/>
      <c r="N1641" s="126"/>
      <c r="O1641" s="126"/>
      <c r="P1641" s="126"/>
      <c r="Q1641" s="202"/>
      <c r="R1641" s="172"/>
      <c r="S1641" s="20"/>
      <c r="AE1641" s="143"/>
      <c r="AF1641" s="143"/>
      <c r="AG1641" s="143"/>
      <c r="AH1641" s="143"/>
      <c r="AI1641" s="143"/>
      <c r="AJ1641" s="143"/>
      <c r="AK1641" s="143"/>
      <c r="AL1641" s="143"/>
      <c r="AM1641" s="145"/>
      <c r="AN1641" s="143"/>
    </row>
    <row r="1642" s="100" customFormat="1" spans="3:40">
      <c r="C1642" s="136"/>
      <c r="D1642" s="136"/>
      <c r="F1642" s="20"/>
      <c r="G1642" s="138"/>
      <c r="H1642" s="138"/>
      <c r="I1642" s="126"/>
      <c r="J1642" s="20"/>
      <c r="K1642" s="20"/>
      <c r="L1642" s="20"/>
      <c r="M1642" s="20"/>
      <c r="N1642" s="126"/>
      <c r="O1642" s="126"/>
      <c r="P1642" s="126"/>
      <c r="Q1642" s="202"/>
      <c r="R1642" s="172"/>
      <c r="S1642" s="20"/>
      <c r="AE1642" s="143"/>
      <c r="AF1642" s="143"/>
      <c r="AG1642" s="143"/>
      <c r="AH1642" s="143"/>
      <c r="AI1642" s="143"/>
      <c r="AJ1642" s="143"/>
      <c r="AK1642" s="143"/>
      <c r="AL1642" s="143"/>
      <c r="AM1642" s="145"/>
      <c r="AN1642" s="143"/>
    </row>
    <row r="1643" s="100" customFormat="1" spans="3:40">
      <c r="C1643" s="136"/>
      <c r="D1643" s="136"/>
      <c r="F1643" s="20"/>
      <c r="G1643" s="138"/>
      <c r="H1643" s="138"/>
      <c r="I1643" s="126"/>
      <c r="J1643" s="20"/>
      <c r="K1643" s="20"/>
      <c r="L1643" s="20"/>
      <c r="M1643" s="20"/>
      <c r="N1643" s="126"/>
      <c r="O1643" s="126"/>
      <c r="P1643" s="126"/>
      <c r="Q1643" s="202"/>
      <c r="R1643" s="172"/>
      <c r="S1643" s="20"/>
      <c r="AE1643" s="143"/>
      <c r="AF1643" s="143"/>
      <c r="AG1643" s="143"/>
      <c r="AH1643" s="143"/>
      <c r="AI1643" s="194"/>
      <c r="AJ1643" s="143"/>
      <c r="AK1643" s="143"/>
      <c r="AL1643" s="143"/>
      <c r="AM1643" s="145"/>
      <c r="AN1643" s="143"/>
    </row>
    <row r="1644" s="100" customFormat="1" spans="3:40">
      <c r="C1644" s="136"/>
      <c r="D1644" s="136"/>
      <c r="F1644" s="20"/>
      <c r="G1644" s="138"/>
      <c r="H1644" s="138"/>
      <c r="I1644" s="126"/>
      <c r="J1644" s="20"/>
      <c r="K1644" s="20"/>
      <c r="L1644" s="20"/>
      <c r="M1644" s="20"/>
      <c r="N1644" s="126"/>
      <c r="O1644" s="126"/>
      <c r="P1644" s="126"/>
      <c r="Q1644" s="202"/>
      <c r="R1644" s="172"/>
      <c r="S1644" s="20"/>
      <c r="AE1644" s="143"/>
      <c r="AF1644" s="143"/>
      <c r="AG1644" s="143"/>
      <c r="AH1644" s="143"/>
      <c r="AI1644" s="143"/>
      <c r="AJ1644" s="143"/>
      <c r="AK1644" s="143"/>
      <c r="AL1644" s="143"/>
      <c r="AM1644" s="151"/>
      <c r="AN1644" s="143"/>
    </row>
    <row r="1645" s="100" customFormat="1" spans="3:40">
      <c r="C1645" s="136"/>
      <c r="D1645" s="136"/>
      <c r="F1645" s="20"/>
      <c r="G1645" s="138"/>
      <c r="H1645" s="138"/>
      <c r="I1645" s="126"/>
      <c r="J1645" s="20"/>
      <c r="K1645" s="20"/>
      <c r="L1645" s="20"/>
      <c r="M1645" s="20"/>
      <c r="N1645" s="126"/>
      <c r="O1645" s="126"/>
      <c r="P1645" s="126"/>
      <c r="Q1645" s="202"/>
      <c r="R1645" s="172"/>
      <c r="S1645" s="172"/>
      <c r="AE1645" s="143"/>
      <c r="AF1645" s="143"/>
      <c r="AG1645" s="143"/>
      <c r="AH1645" s="143"/>
      <c r="AI1645" s="143"/>
      <c r="AJ1645" s="143"/>
      <c r="AK1645" s="143"/>
      <c r="AL1645" s="143"/>
      <c r="AM1645" s="145"/>
      <c r="AN1645" s="143"/>
    </row>
    <row r="1646" s="100" customFormat="1" spans="3:40">
      <c r="C1646" s="136"/>
      <c r="D1646" s="136"/>
      <c r="F1646" s="20"/>
      <c r="G1646" s="138"/>
      <c r="H1646" s="138"/>
      <c r="I1646" s="126"/>
      <c r="J1646" s="20"/>
      <c r="K1646" s="20"/>
      <c r="L1646" s="20"/>
      <c r="M1646" s="20"/>
      <c r="N1646" s="126"/>
      <c r="O1646" s="126"/>
      <c r="P1646" s="126"/>
      <c r="Q1646" s="202"/>
      <c r="R1646" s="172"/>
      <c r="S1646" s="20"/>
      <c r="AE1646" s="143"/>
      <c r="AF1646" s="143"/>
      <c r="AG1646" s="143"/>
      <c r="AH1646" s="143"/>
      <c r="AI1646" s="143"/>
      <c r="AJ1646" s="143"/>
      <c r="AK1646" s="143"/>
      <c r="AL1646" s="143"/>
      <c r="AM1646" s="145"/>
      <c r="AN1646" s="143"/>
    </row>
    <row r="1647" s="100" customFormat="1" spans="3:40">
      <c r="C1647" s="136"/>
      <c r="D1647" s="136"/>
      <c r="F1647" s="20"/>
      <c r="G1647" s="138"/>
      <c r="H1647" s="138"/>
      <c r="I1647" s="126"/>
      <c r="J1647" s="20"/>
      <c r="K1647" s="20"/>
      <c r="L1647" s="20"/>
      <c r="M1647" s="20"/>
      <c r="N1647" s="126"/>
      <c r="O1647" s="126"/>
      <c r="P1647" s="126"/>
      <c r="Q1647" s="202"/>
      <c r="R1647" s="172"/>
      <c r="S1647" s="172"/>
      <c r="AE1647" s="143"/>
      <c r="AF1647" s="143"/>
      <c r="AG1647" s="143"/>
      <c r="AH1647" s="143"/>
      <c r="AI1647" s="143"/>
      <c r="AJ1647" s="143"/>
      <c r="AK1647" s="143"/>
      <c r="AL1647" s="143"/>
      <c r="AM1647" s="143"/>
      <c r="AN1647" s="151"/>
    </row>
    <row r="1648" s="100" customFormat="1" spans="3:40">
      <c r="C1648" s="136"/>
      <c r="D1648" s="136"/>
      <c r="F1648" s="20"/>
      <c r="G1648" s="138"/>
      <c r="H1648" s="138"/>
      <c r="I1648" s="126"/>
      <c r="J1648" s="20"/>
      <c r="K1648" s="20"/>
      <c r="L1648" s="20"/>
      <c r="M1648" s="20"/>
      <c r="N1648" s="126"/>
      <c r="O1648" s="126"/>
      <c r="P1648" s="126"/>
      <c r="Q1648" s="202"/>
      <c r="R1648" s="172"/>
      <c r="S1648" s="20"/>
      <c r="AE1648" s="143"/>
      <c r="AF1648" s="143"/>
      <c r="AG1648" s="143"/>
      <c r="AH1648" s="143"/>
      <c r="AI1648" s="143"/>
      <c r="AJ1648" s="143"/>
      <c r="AK1648" s="143"/>
      <c r="AL1648" s="143"/>
      <c r="AM1648" s="145"/>
      <c r="AN1648" s="143"/>
    </row>
    <row r="1649" s="100" customFormat="1" spans="3:40">
      <c r="C1649" s="136"/>
      <c r="D1649" s="136"/>
      <c r="F1649" s="20"/>
      <c r="G1649" s="138"/>
      <c r="H1649" s="138"/>
      <c r="I1649" s="126"/>
      <c r="J1649" s="20"/>
      <c r="K1649" s="20"/>
      <c r="L1649" s="20"/>
      <c r="M1649" s="20"/>
      <c r="N1649" s="126"/>
      <c r="O1649" s="126"/>
      <c r="P1649" s="126"/>
      <c r="Q1649" s="202"/>
      <c r="R1649" s="172"/>
      <c r="S1649" s="20"/>
      <c r="AE1649" s="143"/>
      <c r="AF1649" s="143"/>
      <c r="AG1649" s="143"/>
      <c r="AH1649" s="143"/>
      <c r="AI1649" s="143"/>
      <c r="AJ1649" s="143"/>
      <c r="AK1649" s="143"/>
      <c r="AL1649" s="143"/>
      <c r="AM1649" s="145"/>
      <c r="AN1649" s="143"/>
    </row>
    <row r="1650" s="100" customFormat="1" spans="3:40">
      <c r="C1650" s="136"/>
      <c r="D1650" s="136"/>
      <c r="F1650" s="20"/>
      <c r="G1650" s="138"/>
      <c r="H1650" s="138"/>
      <c r="I1650" s="126"/>
      <c r="J1650" s="20"/>
      <c r="K1650" s="20"/>
      <c r="L1650" s="20"/>
      <c r="M1650" s="20"/>
      <c r="N1650" s="126"/>
      <c r="O1650" s="126"/>
      <c r="P1650" s="126"/>
      <c r="Q1650" s="202"/>
      <c r="R1650" s="172"/>
      <c r="S1650" s="20"/>
      <c r="AE1650" s="143"/>
      <c r="AF1650" s="143"/>
      <c r="AG1650" s="143"/>
      <c r="AH1650" s="143"/>
      <c r="AI1650" s="143"/>
      <c r="AJ1650" s="143"/>
      <c r="AK1650" s="143"/>
      <c r="AL1650" s="143"/>
      <c r="AM1650" s="145"/>
      <c r="AN1650" s="143"/>
    </row>
    <row r="1651" s="100" customFormat="1" spans="3:40">
      <c r="C1651" s="136"/>
      <c r="D1651" s="136"/>
      <c r="F1651" s="20"/>
      <c r="G1651" s="138"/>
      <c r="H1651" s="138"/>
      <c r="I1651" s="126"/>
      <c r="J1651" s="20"/>
      <c r="K1651" s="20"/>
      <c r="L1651" s="20"/>
      <c r="M1651" s="20"/>
      <c r="N1651" s="126"/>
      <c r="O1651" s="126"/>
      <c r="P1651" s="126"/>
      <c r="Q1651" s="202"/>
      <c r="R1651" s="172"/>
      <c r="S1651" s="20"/>
      <c r="AE1651" s="143"/>
      <c r="AF1651" s="143"/>
      <c r="AG1651" s="143"/>
      <c r="AH1651" s="143"/>
      <c r="AI1651" s="143"/>
      <c r="AJ1651" s="143"/>
      <c r="AK1651" s="143"/>
      <c r="AL1651" s="143"/>
      <c r="AM1651" s="151"/>
      <c r="AN1651" s="143"/>
    </row>
    <row r="1652" s="100" customFormat="1" spans="3:40">
      <c r="C1652" s="136"/>
      <c r="D1652" s="136"/>
      <c r="F1652" s="20"/>
      <c r="G1652" s="138"/>
      <c r="H1652" s="138"/>
      <c r="I1652" s="126"/>
      <c r="J1652" s="20"/>
      <c r="K1652" s="20"/>
      <c r="L1652" s="20"/>
      <c r="M1652" s="20"/>
      <c r="N1652" s="126"/>
      <c r="O1652" s="126"/>
      <c r="P1652" s="126"/>
      <c r="Q1652" s="202"/>
      <c r="R1652" s="172"/>
      <c r="S1652" s="20"/>
      <c r="AE1652" s="143"/>
      <c r="AF1652" s="143"/>
      <c r="AG1652" s="143"/>
      <c r="AH1652" s="143"/>
      <c r="AI1652" s="143"/>
      <c r="AJ1652" s="143"/>
      <c r="AK1652" s="143"/>
      <c r="AL1652" s="143"/>
      <c r="AM1652" s="145"/>
      <c r="AN1652" s="143"/>
    </row>
    <row r="1653" s="100" customFormat="1" spans="3:40">
      <c r="C1653" s="136"/>
      <c r="D1653" s="136"/>
      <c r="F1653" s="20"/>
      <c r="G1653" s="138"/>
      <c r="H1653" s="138"/>
      <c r="I1653" s="126"/>
      <c r="J1653" s="20"/>
      <c r="K1653" s="20"/>
      <c r="L1653" s="20"/>
      <c r="M1653" s="20"/>
      <c r="N1653" s="126"/>
      <c r="O1653" s="126"/>
      <c r="P1653" s="126"/>
      <c r="Q1653" s="202"/>
      <c r="R1653" s="172"/>
      <c r="S1653" s="20"/>
      <c r="AE1653" s="143"/>
      <c r="AF1653" s="143"/>
      <c r="AG1653" s="143"/>
      <c r="AH1653" s="143"/>
      <c r="AI1653" s="143"/>
      <c r="AJ1653" s="143"/>
      <c r="AK1653" s="143"/>
      <c r="AL1653" s="143"/>
      <c r="AM1653" s="143"/>
      <c r="AN1653" s="151"/>
    </row>
    <row r="1654" s="100" customFormat="1" spans="3:40">
      <c r="C1654" s="136"/>
      <c r="D1654" s="136"/>
      <c r="F1654" s="20"/>
      <c r="G1654" s="138"/>
      <c r="H1654" s="138"/>
      <c r="I1654" s="126"/>
      <c r="J1654" s="20"/>
      <c r="K1654" s="20"/>
      <c r="L1654" s="20"/>
      <c r="M1654" s="20"/>
      <c r="N1654" s="126"/>
      <c r="O1654" s="126"/>
      <c r="P1654" s="126"/>
      <c r="Q1654" s="202"/>
      <c r="R1654" s="172"/>
      <c r="S1654" s="20"/>
      <c r="AE1654" s="143"/>
      <c r="AF1654" s="143"/>
      <c r="AG1654" s="143"/>
      <c r="AH1654" s="143"/>
      <c r="AI1654" s="143"/>
      <c r="AJ1654" s="143"/>
      <c r="AK1654" s="143"/>
      <c r="AL1654" s="143"/>
      <c r="AM1654" s="145"/>
      <c r="AN1654" s="143"/>
    </row>
    <row r="1655" s="100" customFormat="1" spans="3:40">
      <c r="C1655" s="136"/>
      <c r="D1655" s="136"/>
      <c r="F1655" s="20"/>
      <c r="G1655" s="138"/>
      <c r="H1655" s="138"/>
      <c r="I1655" s="126"/>
      <c r="J1655" s="20"/>
      <c r="K1655" s="20"/>
      <c r="L1655" s="20"/>
      <c r="M1655" s="20"/>
      <c r="N1655" s="126"/>
      <c r="O1655" s="126"/>
      <c r="P1655" s="126"/>
      <c r="Q1655" s="202"/>
      <c r="R1655" s="172"/>
      <c r="S1655" s="20"/>
      <c r="AE1655" s="143"/>
      <c r="AF1655" s="143"/>
      <c r="AG1655" s="143"/>
      <c r="AH1655" s="143"/>
      <c r="AI1655" s="143"/>
      <c r="AJ1655" s="143"/>
      <c r="AK1655" s="143"/>
      <c r="AL1655" s="143"/>
      <c r="AM1655" s="145"/>
      <c r="AN1655" s="143"/>
    </row>
    <row r="1656" s="100" customFormat="1" spans="3:40">
      <c r="C1656" s="136"/>
      <c r="D1656" s="136"/>
      <c r="F1656" s="20"/>
      <c r="G1656" s="138"/>
      <c r="H1656" s="138"/>
      <c r="I1656" s="126"/>
      <c r="J1656" s="20"/>
      <c r="K1656" s="20"/>
      <c r="L1656" s="20"/>
      <c r="M1656" s="20"/>
      <c r="N1656" s="126"/>
      <c r="O1656" s="126"/>
      <c r="P1656" s="126"/>
      <c r="Q1656" s="202"/>
      <c r="R1656" s="172"/>
      <c r="S1656" s="172"/>
      <c r="AE1656" s="143"/>
      <c r="AF1656" s="143"/>
      <c r="AG1656" s="143"/>
      <c r="AH1656" s="143"/>
      <c r="AI1656" s="143"/>
      <c r="AJ1656" s="143"/>
      <c r="AK1656" s="143"/>
      <c r="AL1656" s="143"/>
      <c r="AM1656" s="145"/>
      <c r="AN1656" s="143"/>
    </row>
    <row r="1657" s="100" customFormat="1" spans="3:40">
      <c r="C1657" s="136"/>
      <c r="D1657" s="136"/>
      <c r="F1657" s="20"/>
      <c r="G1657" s="138"/>
      <c r="H1657" s="138"/>
      <c r="I1657" s="126"/>
      <c r="J1657" s="20"/>
      <c r="K1657" s="20"/>
      <c r="L1657" s="20"/>
      <c r="M1657" s="20"/>
      <c r="N1657" s="126"/>
      <c r="O1657" s="126"/>
      <c r="P1657" s="126"/>
      <c r="Q1657" s="202"/>
      <c r="R1657" s="172"/>
      <c r="S1657" s="203"/>
      <c r="AE1657" s="143"/>
      <c r="AF1657" s="143"/>
      <c r="AG1657" s="143"/>
      <c r="AH1657" s="143"/>
      <c r="AI1657" s="143"/>
      <c r="AJ1657" s="143"/>
      <c r="AK1657" s="143"/>
      <c r="AL1657" s="192"/>
      <c r="AM1657" s="145"/>
      <c r="AN1657" s="187"/>
    </row>
    <row r="1658" s="100" customFormat="1" spans="3:40">
      <c r="C1658" s="136"/>
      <c r="D1658" s="136"/>
      <c r="F1658" s="20"/>
      <c r="G1658" s="138"/>
      <c r="H1658" s="138"/>
      <c r="I1658" s="126"/>
      <c r="J1658" s="20"/>
      <c r="K1658" s="20"/>
      <c r="L1658" s="20"/>
      <c r="M1658" s="20"/>
      <c r="N1658" s="126"/>
      <c r="O1658" s="126"/>
      <c r="P1658" s="126"/>
      <c r="Q1658" s="202"/>
      <c r="R1658" s="172"/>
      <c r="S1658" s="203"/>
      <c r="AE1658" s="143"/>
      <c r="AF1658" s="143"/>
      <c r="AG1658" s="143"/>
      <c r="AH1658" s="143"/>
      <c r="AI1658" s="143"/>
      <c r="AJ1658" s="143"/>
      <c r="AK1658" s="143"/>
      <c r="AL1658" s="192"/>
      <c r="AM1658" s="195"/>
      <c r="AN1658" s="204"/>
    </row>
    <row r="1659" s="100" customFormat="1" spans="3:40">
      <c r="C1659" s="136"/>
      <c r="D1659" s="136"/>
      <c r="F1659" s="20"/>
      <c r="G1659" s="138"/>
      <c r="H1659" s="138"/>
      <c r="I1659" s="126"/>
      <c r="J1659" s="20"/>
      <c r="K1659" s="20"/>
      <c r="L1659" s="20"/>
      <c r="M1659" s="20"/>
      <c r="N1659" s="126"/>
      <c r="O1659" s="126"/>
      <c r="P1659" s="126"/>
      <c r="Q1659" s="202"/>
      <c r="R1659" s="172"/>
      <c r="S1659" s="203"/>
      <c r="AE1659" s="143"/>
      <c r="AF1659" s="143"/>
      <c r="AG1659" s="143"/>
      <c r="AH1659" s="143"/>
      <c r="AI1659" s="143"/>
      <c r="AJ1659" s="143"/>
      <c r="AK1659" s="143"/>
      <c r="AL1659" s="192"/>
      <c r="AM1659" s="195"/>
      <c r="AN1659" s="204"/>
    </row>
    <row r="1660" s="100" customFormat="1" spans="3:40">
      <c r="C1660" s="136"/>
      <c r="D1660" s="136"/>
      <c r="F1660" s="20"/>
      <c r="G1660" s="138"/>
      <c r="H1660" s="138"/>
      <c r="I1660" s="126"/>
      <c r="J1660" s="20"/>
      <c r="K1660" s="20"/>
      <c r="L1660" s="20"/>
      <c r="M1660" s="20"/>
      <c r="N1660" s="126"/>
      <c r="O1660" s="126"/>
      <c r="P1660" s="126"/>
      <c r="Q1660" s="202"/>
      <c r="R1660" s="172"/>
      <c r="S1660" s="203"/>
      <c r="AE1660" s="143"/>
      <c r="AF1660" s="143"/>
      <c r="AG1660" s="143"/>
      <c r="AH1660" s="143"/>
      <c r="AI1660" s="143"/>
      <c r="AJ1660" s="143"/>
      <c r="AK1660" s="143"/>
      <c r="AL1660" s="192"/>
      <c r="AM1660" s="145"/>
      <c r="AN1660" s="187"/>
    </row>
    <row r="1661" s="100" customFormat="1" spans="3:40">
      <c r="C1661" s="136"/>
      <c r="D1661" s="136"/>
      <c r="F1661" s="20"/>
      <c r="G1661" s="138"/>
      <c r="H1661" s="138"/>
      <c r="I1661" s="126"/>
      <c r="J1661" s="20"/>
      <c r="K1661" s="20"/>
      <c r="L1661" s="20"/>
      <c r="M1661" s="20"/>
      <c r="N1661" s="126"/>
      <c r="O1661" s="126"/>
      <c r="P1661" s="126"/>
      <c r="Q1661" s="202"/>
      <c r="R1661" s="172"/>
      <c r="S1661" s="172"/>
      <c r="AE1661" s="143"/>
      <c r="AF1661" s="143"/>
      <c r="AG1661" s="143"/>
      <c r="AH1661" s="143"/>
      <c r="AI1661" s="143"/>
      <c r="AJ1661" s="143"/>
      <c r="AK1661" s="143"/>
      <c r="AL1661" s="192"/>
      <c r="AM1661" s="192"/>
      <c r="AN1661" s="187"/>
    </row>
    <row r="1662" s="100" customFormat="1" spans="3:40">
      <c r="C1662" s="136"/>
      <c r="D1662" s="136"/>
      <c r="F1662" s="20"/>
      <c r="G1662" s="138"/>
      <c r="H1662" s="138"/>
      <c r="I1662" s="126"/>
      <c r="J1662" s="20"/>
      <c r="K1662" s="20"/>
      <c r="L1662" s="20"/>
      <c r="M1662" s="20"/>
      <c r="N1662" s="126"/>
      <c r="O1662" s="126"/>
      <c r="P1662" s="126"/>
      <c r="Q1662" s="202"/>
      <c r="R1662" s="172"/>
      <c r="S1662" s="205"/>
      <c r="AE1662" s="143"/>
      <c r="AF1662" s="143"/>
      <c r="AG1662" s="143"/>
      <c r="AH1662" s="143"/>
      <c r="AI1662" s="143"/>
      <c r="AJ1662" s="143"/>
      <c r="AK1662" s="143"/>
      <c r="AL1662" s="192"/>
      <c r="AM1662" s="145"/>
      <c r="AN1662" s="192"/>
    </row>
    <row r="1663" s="100" customFormat="1" spans="3:40">
      <c r="C1663" s="136"/>
      <c r="D1663" s="136"/>
      <c r="F1663" s="20"/>
      <c r="G1663" s="138"/>
      <c r="H1663" s="138"/>
      <c r="I1663" s="126"/>
      <c r="J1663" s="20"/>
      <c r="K1663" s="20"/>
      <c r="L1663" s="20"/>
      <c r="M1663" s="20"/>
      <c r="N1663" s="126"/>
      <c r="O1663" s="126"/>
      <c r="P1663" s="126"/>
      <c r="Q1663" s="202"/>
      <c r="R1663" s="173"/>
      <c r="S1663" s="172"/>
      <c r="AE1663" s="143"/>
      <c r="AF1663" s="143"/>
      <c r="AG1663" s="143"/>
      <c r="AH1663" s="143"/>
      <c r="AI1663" s="143"/>
      <c r="AJ1663" s="143"/>
      <c r="AK1663" s="143"/>
      <c r="AL1663" s="195"/>
      <c r="AM1663" s="145"/>
      <c r="AN1663" s="151"/>
    </row>
    <row r="1664" s="100" customFormat="1" spans="3:40">
      <c r="C1664" s="136"/>
      <c r="D1664" s="136"/>
      <c r="F1664" s="20"/>
      <c r="G1664" s="138"/>
      <c r="H1664" s="138"/>
      <c r="I1664" s="126"/>
      <c r="J1664" s="20"/>
      <c r="K1664" s="20"/>
      <c r="L1664" s="20"/>
      <c r="M1664" s="20"/>
      <c r="N1664" s="126"/>
      <c r="O1664" s="126"/>
      <c r="P1664" s="126"/>
      <c r="Q1664" s="202"/>
      <c r="R1664" s="173"/>
      <c r="S1664" s="172"/>
      <c r="AE1664" s="143"/>
      <c r="AF1664" s="143"/>
      <c r="AG1664" s="143"/>
      <c r="AH1664" s="143"/>
      <c r="AI1664" s="143"/>
      <c r="AJ1664" s="143"/>
      <c r="AK1664" s="143"/>
      <c r="AL1664" s="195"/>
      <c r="AM1664" s="145"/>
      <c r="AN1664" s="151"/>
    </row>
    <row r="1665" s="100" customFormat="1" spans="3:40">
      <c r="C1665" s="136"/>
      <c r="D1665" s="136"/>
      <c r="F1665" s="20"/>
      <c r="G1665" s="138"/>
      <c r="H1665" s="138"/>
      <c r="I1665" s="126"/>
      <c r="J1665" s="20"/>
      <c r="K1665" s="20"/>
      <c r="L1665" s="20"/>
      <c r="M1665" s="20"/>
      <c r="N1665" s="126"/>
      <c r="O1665" s="126"/>
      <c r="P1665" s="126"/>
      <c r="Q1665" s="202"/>
      <c r="R1665" s="173"/>
      <c r="S1665" s="172"/>
      <c r="AE1665" s="143"/>
      <c r="AF1665" s="143"/>
      <c r="AG1665" s="143"/>
      <c r="AH1665" s="143"/>
      <c r="AI1665" s="143"/>
      <c r="AJ1665" s="143"/>
      <c r="AK1665" s="143"/>
      <c r="AL1665" s="195"/>
      <c r="AM1665" s="145"/>
      <c r="AN1665" s="151"/>
    </row>
    <row r="1666" s="100" customFormat="1" spans="3:40">
      <c r="C1666" s="136"/>
      <c r="D1666" s="136"/>
      <c r="F1666" s="20"/>
      <c r="G1666" s="138"/>
      <c r="H1666" s="138"/>
      <c r="I1666" s="126"/>
      <c r="J1666" s="20"/>
      <c r="K1666" s="20"/>
      <c r="L1666" s="20"/>
      <c r="M1666" s="20"/>
      <c r="N1666" s="126"/>
      <c r="O1666" s="126"/>
      <c r="P1666" s="126"/>
      <c r="Q1666" s="202"/>
      <c r="R1666" s="173"/>
      <c r="S1666" s="172"/>
      <c r="AE1666" s="143"/>
      <c r="AF1666" s="143"/>
      <c r="AG1666" s="143"/>
      <c r="AH1666" s="143"/>
      <c r="AI1666" s="143"/>
      <c r="AJ1666" s="143"/>
      <c r="AK1666" s="143"/>
      <c r="AL1666" s="192"/>
      <c r="AM1666" s="192"/>
      <c r="AN1666" s="151"/>
    </row>
    <row r="1667" s="100" customFormat="1" spans="3:40">
      <c r="C1667" s="136"/>
      <c r="D1667" s="136"/>
      <c r="F1667" s="20"/>
      <c r="G1667" s="138"/>
      <c r="H1667" s="138"/>
      <c r="I1667" s="126"/>
      <c r="J1667" s="20"/>
      <c r="K1667" s="20"/>
      <c r="L1667" s="20"/>
      <c r="M1667" s="20"/>
      <c r="N1667" s="126"/>
      <c r="O1667" s="126"/>
      <c r="P1667" s="126"/>
      <c r="Q1667" s="202"/>
      <c r="R1667" s="173"/>
      <c r="S1667" s="172"/>
      <c r="AE1667" s="143"/>
      <c r="AF1667" s="143"/>
      <c r="AG1667" s="143"/>
      <c r="AH1667" s="143"/>
      <c r="AI1667" s="143"/>
      <c r="AJ1667" s="143"/>
      <c r="AK1667" s="143"/>
      <c r="AL1667" s="195"/>
      <c r="AM1667" s="145"/>
      <c r="AN1667" s="151"/>
    </row>
    <row r="1668" s="100" customFormat="1" spans="3:40">
      <c r="C1668" s="136"/>
      <c r="D1668" s="136"/>
      <c r="F1668" s="20"/>
      <c r="G1668" s="138"/>
      <c r="H1668" s="138"/>
      <c r="I1668" s="126"/>
      <c r="J1668" s="20"/>
      <c r="K1668" s="20"/>
      <c r="L1668" s="20"/>
      <c r="M1668" s="20"/>
      <c r="N1668" s="126"/>
      <c r="O1668" s="126"/>
      <c r="P1668" s="126"/>
      <c r="Q1668" s="202"/>
      <c r="R1668" s="173"/>
      <c r="S1668" s="172"/>
      <c r="AE1668" s="143"/>
      <c r="AF1668" s="143"/>
      <c r="AG1668" s="143"/>
      <c r="AH1668" s="143"/>
      <c r="AI1668" s="143"/>
      <c r="AJ1668" s="143"/>
      <c r="AK1668" s="143"/>
      <c r="AL1668" s="192"/>
      <c r="AM1668" s="192"/>
      <c r="AN1668" s="151"/>
    </row>
    <row r="1669" s="100" customFormat="1" spans="3:40">
      <c r="C1669" s="136"/>
      <c r="D1669" s="136"/>
      <c r="F1669" s="20"/>
      <c r="G1669" s="138"/>
      <c r="H1669" s="138"/>
      <c r="I1669" s="126"/>
      <c r="J1669" s="20"/>
      <c r="K1669" s="20"/>
      <c r="L1669" s="20"/>
      <c r="M1669" s="20"/>
      <c r="N1669" s="126"/>
      <c r="O1669" s="126"/>
      <c r="P1669" s="126"/>
      <c r="Q1669" s="202"/>
      <c r="R1669" s="172"/>
      <c r="S1669" s="203"/>
      <c r="AE1669" s="143"/>
      <c r="AF1669" s="143"/>
      <c r="AG1669" s="143"/>
      <c r="AH1669" s="143"/>
      <c r="AI1669" s="143"/>
      <c r="AJ1669" s="143"/>
      <c r="AK1669" s="143"/>
      <c r="AL1669" s="192"/>
      <c r="AM1669" s="192"/>
      <c r="AN1669" s="192"/>
    </row>
    <row r="1670" s="100" customFormat="1" spans="3:40">
      <c r="C1670" s="136"/>
      <c r="D1670" s="136"/>
      <c r="F1670" s="20"/>
      <c r="G1670" s="138"/>
      <c r="H1670" s="138"/>
      <c r="I1670" s="126"/>
      <c r="J1670" s="20"/>
      <c r="K1670" s="20"/>
      <c r="L1670" s="20"/>
      <c r="M1670" s="20"/>
      <c r="N1670" s="126"/>
      <c r="O1670" s="126"/>
      <c r="P1670" s="126"/>
      <c r="Q1670" s="202"/>
      <c r="R1670" s="172"/>
      <c r="S1670" s="203"/>
      <c r="AE1670" s="143"/>
      <c r="AF1670" s="143"/>
      <c r="AG1670" s="143"/>
      <c r="AH1670" s="143"/>
      <c r="AI1670" s="143"/>
      <c r="AJ1670" s="143"/>
      <c r="AK1670" s="143"/>
      <c r="AL1670" s="192"/>
      <c r="AM1670" s="192"/>
      <c r="AN1670" s="192"/>
    </row>
    <row r="1671" s="100" customFormat="1" spans="3:40">
      <c r="C1671" s="136"/>
      <c r="D1671" s="136"/>
      <c r="F1671" s="20"/>
      <c r="G1671" s="138"/>
      <c r="H1671" s="138"/>
      <c r="I1671" s="126"/>
      <c r="J1671" s="20"/>
      <c r="K1671" s="20"/>
      <c r="L1671" s="20"/>
      <c r="M1671" s="20"/>
      <c r="N1671" s="126"/>
      <c r="O1671" s="126"/>
      <c r="P1671" s="126"/>
      <c r="Q1671" s="202"/>
      <c r="R1671" s="172"/>
      <c r="S1671" s="203"/>
      <c r="AE1671" s="143"/>
      <c r="AF1671" s="143"/>
      <c r="AG1671" s="143"/>
      <c r="AH1671" s="143"/>
      <c r="AI1671" s="143"/>
      <c r="AJ1671" s="143"/>
      <c r="AK1671" s="143"/>
      <c r="AL1671" s="192"/>
      <c r="AM1671" s="192"/>
      <c r="AN1671" s="192"/>
    </row>
    <row r="1672" s="100" customFormat="1" spans="3:40">
      <c r="C1672" s="136"/>
      <c r="D1672" s="136"/>
      <c r="F1672" s="20"/>
      <c r="G1672" s="138"/>
      <c r="H1672" s="138"/>
      <c r="I1672" s="126"/>
      <c r="J1672" s="20"/>
      <c r="K1672" s="20"/>
      <c r="L1672" s="20"/>
      <c r="M1672" s="20"/>
      <c r="N1672" s="126"/>
      <c r="O1672" s="126"/>
      <c r="P1672" s="126"/>
      <c r="Q1672" s="202"/>
      <c r="R1672" s="172"/>
      <c r="S1672" s="172"/>
      <c r="AE1672" s="143"/>
      <c r="AF1672" s="143"/>
      <c r="AG1672" s="143"/>
      <c r="AH1672" s="143"/>
      <c r="AI1672" s="143"/>
      <c r="AJ1672" s="143"/>
      <c r="AK1672" s="143"/>
      <c r="AL1672" s="192"/>
      <c r="AM1672" s="145"/>
      <c r="AN1672" s="192"/>
    </row>
    <row r="1673" s="100" customFormat="1" spans="3:40">
      <c r="C1673" s="136"/>
      <c r="D1673" s="136"/>
      <c r="F1673" s="20"/>
      <c r="G1673" s="138"/>
      <c r="H1673" s="138"/>
      <c r="I1673" s="126"/>
      <c r="J1673" s="20"/>
      <c r="K1673" s="20"/>
      <c r="L1673" s="20"/>
      <c r="M1673" s="20"/>
      <c r="N1673" s="126"/>
      <c r="O1673" s="126"/>
      <c r="P1673" s="126"/>
      <c r="Q1673" s="202"/>
      <c r="R1673" s="172"/>
      <c r="S1673" s="172"/>
      <c r="AE1673" s="143"/>
      <c r="AF1673" s="143"/>
      <c r="AG1673" s="143"/>
      <c r="AH1673" s="143"/>
      <c r="AI1673" s="143"/>
      <c r="AJ1673" s="143"/>
      <c r="AK1673" s="143"/>
      <c r="AL1673" s="192"/>
      <c r="AM1673" s="145"/>
      <c r="AN1673" s="187"/>
    </row>
    <row r="1674" s="100" customFormat="1" spans="3:40">
      <c r="C1674" s="136"/>
      <c r="D1674" s="136"/>
      <c r="F1674" s="20"/>
      <c r="G1674" s="138"/>
      <c r="H1674" s="138"/>
      <c r="I1674" s="126"/>
      <c r="J1674" s="20"/>
      <c r="K1674" s="20"/>
      <c r="L1674" s="20"/>
      <c r="M1674" s="20"/>
      <c r="N1674" s="126"/>
      <c r="O1674" s="126"/>
      <c r="P1674" s="126"/>
      <c r="Q1674" s="202"/>
      <c r="R1674" s="172"/>
      <c r="S1674" s="172"/>
      <c r="AE1674" s="143"/>
      <c r="AF1674" s="143"/>
      <c r="AG1674" s="143"/>
      <c r="AH1674" s="143"/>
      <c r="AI1674" s="143"/>
      <c r="AJ1674" s="143"/>
      <c r="AK1674" s="143"/>
      <c r="AL1674" s="145"/>
      <c r="AM1674" s="145"/>
      <c r="AN1674" s="192"/>
    </row>
    <row r="1675" s="100" customFormat="1" spans="3:40">
      <c r="C1675" s="136"/>
      <c r="D1675" s="136"/>
      <c r="F1675" s="20"/>
      <c r="G1675" s="138"/>
      <c r="H1675" s="138"/>
      <c r="I1675" s="126"/>
      <c r="J1675" s="20"/>
      <c r="K1675" s="20"/>
      <c r="L1675" s="20"/>
      <c r="M1675" s="20"/>
      <c r="N1675" s="126"/>
      <c r="O1675" s="126"/>
      <c r="P1675" s="126"/>
      <c r="Q1675" s="202"/>
      <c r="R1675" s="172"/>
      <c r="S1675" s="203"/>
      <c r="AE1675" s="143"/>
      <c r="AF1675" s="143"/>
      <c r="AG1675" s="143"/>
      <c r="AH1675" s="143"/>
      <c r="AI1675" s="143"/>
      <c r="AJ1675" s="143"/>
      <c r="AK1675" s="143"/>
      <c r="AL1675" s="145"/>
      <c r="AM1675" s="145"/>
      <c r="AN1675" s="151"/>
    </row>
    <row r="1676" s="100" customFormat="1" spans="3:40">
      <c r="C1676" s="136"/>
      <c r="D1676" s="136"/>
      <c r="F1676" s="20"/>
      <c r="G1676" s="138"/>
      <c r="H1676" s="138"/>
      <c r="I1676" s="126"/>
      <c r="J1676" s="20"/>
      <c r="K1676" s="20"/>
      <c r="L1676" s="20"/>
      <c r="M1676" s="20"/>
      <c r="N1676" s="126"/>
      <c r="O1676" s="126"/>
      <c r="P1676" s="126"/>
      <c r="Q1676" s="202"/>
      <c r="R1676" s="172"/>
      <c r="S1676" s="203"/>
      <c r="AE1676" s="143"/>
      <c r="AF1676" s="143"/>
      <c r="AG1676" s="143"/>
      <c r="AH1676" s="143"/>
      <c r="AI1676" s="143"/>
      <c r="AJ1676" s="143"/>
      <c r="AK1676" s="143"/>
      <c r="AL1676" s="192"/>
      <c r="AM1676" s="145"/>
      <c r="AN1676" s="206"/>
    </row>
    <row r="1677" s="100" customFormat="1" spans="3:40">
      <c r="C1677" s="136"/>
      <c r="D1677" s="136"/>
      <c r="F1677" s="20"/>
      <c r="G1677" s="138"/>
      <c r="H1677" s="138"/>
      <c r="I1677" s="126"/>
      <c r="J1677" s="20"/>
      <c r="K1677" s="20"/>
      <c r="L1677" s="20"/>
      <c r="M1677" s="20"/>
      <c r="N1677" s="126"/>
      <c r="O1677" s="126"/>
      <c r="P1677" s="126"/>
      <c r="Q1677" s="202"/>
      <c r="R1677" s="172"/>
      <c r="S1677" s="203"/>
      <c r="AE1677" s="143"/>
      <c r="AF1677" s="143"/>
      <c r="AG1677" s="143"/>
      <c r="AH1677" s="143"/>
      <c r="AI1677" s="143"/>
      <c r="AJ1677" s="143"/>
      <c r="AK1677" s="143"/>
      <c r="AL1677" s="192"/>
      <c r="AM1677" s="145"/>
      <c r="AN1677" s="187"/>
    </row>
    <row r="1678" s="100" customFormat="1" spans="3:40">
      <c r="C1678" s="136"/>
      <c r="D1678" s="136"/>
      <c r="F1678" s="20"/>
      <c r="G1678" s="138"/>
      <c r="H1678" s="138"/>
      <c r="I1678" s="126"/>
      <c r="J1678" s="20"/>
      <c r="K1678" s="20"/>
      <c r="L1678" s="20"/>
      <c r="M1678" s="20"/>
      <c r="N1678" s="126"/>
      <c r="O1678" s="126"/>
      <c r="P1678" s="126"/>
      <c r="Q1678" s="202"/>
      <c r="R1678" s="172"/>
      <c r="S1678" s="172"/>
      <c r="AE1678" s="143"/>
      <c r="AF1678" s="143"/>
      <c r="AG1678" s="143"/>
      <c r="AH1678" s="143"/>
      <c r="AI1678" s="143"/>
      <c r="AJ1678" s="143"/>
      <c r="AK1678" s="143"/>
      <c r="AL1678" s="192"/>
      <c r="AM1678" s="192"/>
      <c r="AN1678" s="151"/>
    </row>
    <row r="1679" s="100" customFormat="1" spans="3:40">
      <c r="C1679" s="136"/>
      <c r="D1679" s="136"/>
      <c r="F1679" s="20"/>
      <c r="G1679" s="138"/>
      <c r="H1679" s="138"/>
      <c r="I1679" s="126"/>
      <c r="J1679" s="20"/>
      <c r="K1679" s="20"/>
      <c r="L1679" s="20"/>
      <c r="M1679" s="20"/>
      <c r="N1679" s="126"/>
      <c r="O1679" s="126"/>
      <c r="P1679" s="126"/>
      <c r="Q1679" s="202"/>
      <c r="R1679" s="172"/>
      <c r="S1679" s="203"/>
      <c r="AE1679" s="143"/>
      <c r="AF1679" s="143"/>
      <c r="AG1679" s="143"/>
      <c r="AH1679" s="143"/>
      <c r="AI1679" s="143"/>
      <c r="AJ1679" s="143"/>
      <c r="AK1679" s="143"/>
      <c r="AL1679" s="192"/>
      <c r="AM1679" s="145"/>
      <c r="AN1679" s="187"/>
    </row>
    <row r="1680" s="100" customFormat="1" spans="3:40">
      <c r="C1680" s="136"/>
      <c r="D1680" s="136"/>
      <c r="F1680" s="20"/>
      <c r="G1680" s="138"/>
      <c r="H1680" s="138"/>
      <c r="I1680" s="126"/>
      <c r="J1680" s="20"/>
      <c r="K1680" s="20"/>
      <c r="L1680" s="20"/>
      <c r="M1680" s="20"/>
      <c r="N1680" s="126"/>
      <c r="O1680" s="126"/>
      <c r="P1680" s="126"/>
      <c r="Q1680" s="202"/>
      <c r="R1680" s="172"/>
      <c r="S1680" s="203"/>
      <c r="AE1680" s="143"/>
      <c r="AF1680" s="143"/>
      <c r="AG1680" s="143"/>
      <c r="AH1680" s="143"/>
      <c r="AI1680" s="143"/>
      <c r="AJ1680" s="143"/>
      <c r="AK1680" s="143"/>
      <c r="AL1680" s="195"/>
      <c r="AM1680" s="145"/>
      <c r="AN1680" s="187"/>
    </row>
    <row r="1681" s="100" customFormat="1" spans="3:40">
      <c r="C1681" s="136"/>
      <c r="D1681" s="136"/>
      <c r="F1681" s="20"/>
      <c r="G1681" s="138"/>
      <c r="H1681" s="138"/>
      <c r="I1681" s="126"/>
      <c r="J1681" s="20"/>
      <c r="K1681" s="20"/>
      <c r="L1681" s="20"/>
      <c r="M1681" s="20"/>
      <c r="N1681" s="126"/>
      <c r="O1681" s="126"/>
      <c r="P1681" s="126"/>
      <c r="Q1681" s="202"/>
      <c r="R1681" s="172"/>
      <c r="S1681" s="203"/>
      <c r="AE1681" s="143"/>
      <c r="AF1681" s="143"/>
      <c r="AG1681" s="143"/>
      <c r="AH1681" s="143"/>
      <c r="AI1681" s="143"/>
      <c r="AJ1681" s="143"/>
      <c r="AK1681" s="143"/>
      <c r="AL1681" s="192"/>
      <c r="AM1681" s="145"/>
      <c r="AN1681" s="151"/>
    </row>
    <row r="1682" s="100" customFormat="1" spans="3:40">
      <c r="C1682" s="136"/>
      <c r="D1682" s="136"/>
      <c r="F1682" s="20"/>
      <c r="G1682" s="138"/>
      <c r="H1682" s="138"/>
      <c r="I1682" s="126"/>
      <c r="J1682" s="20"/>
      <c r="K1682" s="20"/>
      <c r="L1682" s="20"/>
      <c r="M1682" s="20"/>
      <c r="N1682" s="126"/>
      <c r="O1682" s="126"/>
      <c r="P1682" s="126"/>
      <c r="Q1682" s="202"/>
      <c r="R1682" s="172"/>
      <c r="S1682" s="205"/>
      <c r="AE1682" s="143"/>
      <c r="AF1682" s="143"/>
      <c r="AG1682" s="143"/>
      <c r="AH1682" s="143"/>
      <c r="AI1682" s="143"/>
      <c r="AJ1682" s="143"/>
      <c r="AK1682" s="143"/>
      <c r="AL1682" s="192"/>
      <c r="AM1682" s="192"/>
      <c r="AN1682" s="151"/>
    </row>
    <row r="1683" s="100" customFormat="1" spans="3:40">
      <c r="C1683" s="136"/>
      <c r="D1683" s="136"/>
      <c r="F1683" s="20"/>
      <c r="G1683" s="138"/>
      <c r="H1683" s="138"/>
      <c r="I1683" s="126"/>
      <c r="J1683" s="20"/>
      <c r="K1683" s="20"/>
      <c r="L1683" s="20"/>
      <c r="M1683" s="20"/>
      <c r="N1683" s="126"/>
      <c r="O1683" s="126"/>
      <c r="P1683" s="126"/>
      <c r="Q1683" s="202"/>
      <c r="R1683" s="172"/>
      <c r="S1683" s="205"/>
      <c r="AE1683" s="143"/>
      <c r="AF1683" s="143"/>
      <c r="AG1683" s="143"/>
      <c r="AH1683" s="143"/>
      <c r="AI1683" s="143"/>
      <c r="AJ1683" s="143"/>
      <c r="AK1683" s="143"/>
      <c r="AL1683" s="192"/>
      <c r="AM1683" s="145"/>
      <c r="AN1683" s="192"/>
    </row>
    <row r="1684" s="100" customFormat="1" spans="3:40">
      <c r="C1684" s="136"/>
      <c r="D1684" s="136"/>
      <c r="F1684" s="20"/>
      <c r="G1684" s="138"/>
      <c r="H1684" s="138"/>
      <c r="I1684" s="126"/>
      <c r="J1684" s="20"/>
      <c r="K1684" s="20"/>
      <c r="L1684" s="20"/>
      <c r="M1684" s="20"/>
      <c r="N1684" s="126"/>
      <c r="O1684" s="126"/>
      <c r="P1684" s="126"/>
      <c r="Q1684" s="202"/>
      <c r="R1684" s="172"/>
      <c r="S1684" s="207"/>
      <c r="AE1684" s="143"/>
      <c r="AF1684" s="143"/>
      <c r="AG1684" s="143"/>
      <c r="AH1684" s="143"/>
      <c r="AI1684" s="143"/>
      <c r="AJ1684" s="143"/>
      <c r="AK1684" s="143"/>
      <c r="AL1684" s="192"/>
      <c r="AM1684" s="192"/>
      <c r="AN1684" s="151"/>
    </row>
    <row r="1685" s="100" customFormat="1" spans="3:40">
      <c r="C1685" s="136"/>
      <c r="D1685" s="136"/>
      <c r="F1685" s="20"/>
      <c r="G1685" s="138"/>
      <c r="H1685" s="138"/>
      <c r="I1685" s="126"/>
      <c r="J1685" s="20"/>
      <c r="K1685" s="20"/>
      <c r="L1685" s="20"/>
      <c r="M1685" s="20"/>
      <c r="N1685" s="126"/>
      <c r="O1685" s="126"/>
      <c r="P1685" s="126"/>
      <c r="Q1685" s="202"/>
      <c r="R1685" s="172"/>
      <c r="S1685" s="172"/>
      <c r="AE1685" s="143"/>
      <c r="AF1685" s="143"/>
      <c r="AG1685" s="143"/>
      <c r="AH1685" s="143"/>
      <c r="AI1685" s="143"/>
      <c r="AJ1685" s="143"/>
      <c r="AK1685" s="143"/>
      <c r="AL1685" s="192"/>
      <c r="AM1685" s="145"/>
      <c r="AN1685" s="192"/>
    </row>
    <row r="1686" s="100" customFormat="1" spans="3:40">
      <c r="C1686" s="136"/>
      <c r="D1686" s="136"/>
      <c r="F1686" s="20"/>
      <c r="G1686" s="138"/>
      <c r="H1686" s="138"/>
      <c r="I1686" s="126"/>
      <c r="J1686" s="20"/>
      <c r="K1686" s="20"/>
      <c r="L1686" s="20"/>
      <c r="M1686" s="20"/>
      <c r="N1686" s="126"/>
      <c r="O1686" s="126"/>
      <c r="P1686" s="126"/>
      <c r="Q1686" s="202"/>
      <c r="R1686" s="172"/>
      <c r="S1686" s="172"/>
      <c r="AE1686" s="143"/>
      <c r="AF1686" s="143"/>
      <c r="AG1686" s="143"/>
      <c r="AH1686" s="143"/>
      <c r="AI1686" s="143"/>
      <c r="AJ1686" s="143"/>
      <c r="AK1686" s="143"/>
      <c r="AL1686" s="192"/>
      <c r="AM1686" s="192"/>
      <c r="AN1686" s="192"/>
    </row>
    <row r="1687" s="100" customFormat="1" spans="3:40">
      <c r="C1687" s="136"/>
      <c r="D1687" s="136"/>
      <c r="F1687" s="20"/>
      <c r="G1687" s="138"/>
      <c r="H1687" s="138"/>
      <c r="I1687" s="126"/>
      <c r="J1687" s="20"/>
      <c r="K1687" s="20"/>
      <c r="L1687" s="20"/>
      <c r="M1687" s="20"/>
      <c r="N1687" s="126"/>
      <c r="O1687" s="126"/>
      <c r="P1687" s="126"/>
      <c r="Q1687" s="202"/>
      <c r="R1687" s="172"/>
      <c r="S1687" s="203"/>
      <c r="AE1687" s="143"/>
      <c r="AF1687" s="143"/>
      <c r="AG1687" s="143"/>
      <c r="AH1687" s="143"/>
      <c r="AI1687" s="143"/>
      <c r="AJ1687" s="143"/>
      <c r="AK1687" s="143"/>
      <c r="AL1687" s="192"/>
      <c r="AM1687" s="192"/>
      <c r="AN1687" s="151"/>
    </row>
    <row r="1688" s="100" customFormat="1" spans="3:40">
      <c r="C1688" s="136"/>
      <c r="D1688" s="136"/>
      <c r="F1688" s="20"/>
      <c r="G1688" s="138"/>
      <c r="H1688" s="138"/>
      <c r="I1688" s="126"/>
      <c r="J1688" s="20"/>
      <c r="K1688" s="20"/>
      <c r="L1688" s="20"/>
      <c r="M1688" s="20"/>
      <c r="N1688" s="126"/>
      <c r="O1688" s="126"/>
      <c r="P1688" s="126"/>
      <c r="Q1688" s="202"/>
      <c r="R1688" s="172"/>
      <c r="S1688" s="172"/>
      <c r="AE1688" s="143"/>
      <c r="AF1688" s="143"/>
      <c r="AG1688" s="143"/>
      <c r="AH1688" s="143"/>
      <c r="AI1688" s="143"/>
      <c r="AJ1688" s="143"/>
      <c r="AK1688" s="143"/>
      <c r="AL1688" s="192"/>
      <c r="AM1688" s="145"/>
      <c r="AN1688" s="143"/>
    </row>
    <row r="1689" s="100" customFormat="1" spans="3:40">
      <c r="C1689" s="136"/>
      <c r="D1689" s="136"/>
      <c r="F1689" s="20"/>
      <c r="G1689" s="138"/>
      <c r="H1689" s="138"/>
      <c r="I1689" s="126"/>
      <c r="J1689" s="20"/>
      <c r="K1689" s="20"/>
      <c r="L1689" s="20"/>
      <c r="M1689" s="20"/>
      <c r="N1689" s="126"/>
      <c r="O1689" s="126"/>
      <c r="P1689" s="126"/>
      <c r="Q1689" s="202"/>
      <c r="R1689" s="172"/>
      <c r="S1689" s="172"/>
      <c r="AE1689" s="143"/>
      <c r="AF1689" s="143"/>
      <c r="AG1689" s="143"/>
      <c r="AH1689" s="143"/>
      <c r="AI1689" s="143"/>
      <c r="AJ1689" s="143"/>
      <c r="AK1689" s="143"/>
      <c r="AL1689" s="192"/>
      <c r="AM1689" s="145"/>
      <c r="AN1689" s="192"/>
    </row>
    <row r="1690" s="100" customFormat="1" spans="3:40">
      <c r="C1690" s="136"/>
      <c r="D1690" s="136"/>
      <c r="F1690" s="20"/>
      <c r="G1690" s="138"/>
      <c r="H1690" s="138"/>
      <c r="I1690" s="126"/>
      <c r="J1690" s="20"/>
      <c r="K1690" s="20"/>
      <c r="L1690" s="20"/>
      <c r="M1690" s="20"/>
      <c r="N1690" s="126"/>
      <c r="O1690" s="126"/>
      <c r="P1690" s="126"/>
      <c r="Q1690" s="202"/>
      <c r="R1690" s="172"/>
      <c r="S1690" s="203"/>
      <c r="AE1690" s="143"/>
      <c r="AF1690" s="143"/>
      <c r="AG1690" s="143"/>
      <c r="AH1690" s="143"/>
      <c r="AI1690" s="143"/>
      <c r="AJ1690" s="143"/>
      <c r="AK1690" s="143"/>
      <c r="AL1690" s="192"/>
      <c r="AM1690" s="192"/>
      <c r="AN1690" s="151"/>
    </row>
    <row r="1691" s="100" customFormat="1" spans="3:40">
      <c r="C1691" s="136"/>
      <c r="D1691" s="136"/>
      <c r="F1691" s="20"/>
      <c r="G1691" s="138"/>
      <c r="H1691" s="138"/>
      <c r="I1691" s="126"/>
      <c r="J1691" s="20"/>
      <c r="K1691" s="20"/>
      <c r="L1691" s="20"/>
      <c r="M1691" s="20"/>
      <c r="N1691" s="126"/>
      <c r="O1691" s="126"/>
      <c r="P1691" s="126"/>
      <c r="Q1691" s="202"/>
      <c r="R1691" s="172"/>
      <c r="S1691" s="203"/>
      <c r="AE1691" s="143"/>
      <c r="AF1691" s="143"/>
      <c r="AG1691" s="143"/>
      <c r="AH1691" s="143"/>
      <c r="AI1691" s="143"/>
      <c r="AJ1691" s="143"/>
      <c r="AK1691" s="143"/>
      <c r="AL1691" s="192"/>
      <c r="AM1691" s="192"/>
      <c r="AN1691" s="151"/>
    </row>
    <row r="1692" s="100" customFormat="1" spans="3:40">
      <c r="C1692" s="136"/>
      <c r="D1692" s="136"/>
      <c r="F1692" s="20"/>
      <c r="G1692" s="138"/>
      <c r="H1692" s="138"/>
      <c r="I1692" s="126"/>
      <c r="J1692" s="20"/>
      <c r="K1692" s="20"/>
      <c r="L1692" s="20"/>
      <c r="M1692" s="20"/>
      <c r="N1692" s="126"/>
      <c r="O1692" s="126"/>
      <c r="P1692" s="126"/>
      <c r="Q1692" s="202"/>
      <c r="R1692" s="172"/>
      <c r="S1692" s="203"/>
      <c r="AE1692" s="143"/>
      <c r="AF1692" s="143"/>
      <c r="AG1692" s="143"/>
      <c r="AH1692" s="143"/>
      <c r="AI1692" s="143"/>
      <c r="AJ1692" s="143"/>
      <c r="AK1692" s="143"/>
      <c r="AL1692" s="192"/>
      <c r="AM1692" s="145"/>
      <c r="AN1692" s="192"/>
    </row>
    <row r="1693" s="100" customFormat="1" spans="3:40">
      <c r="C1693" s="136"/>
      <c r="D1693" s="136"/>
      <c r="F1693" s="20"/>
      <c r="G1693" s="138"/>
      <c r="H1693" s="138"/>
      <c r="I1693" s="126"/>
      <c r="J1693" s="20"/>
      <c r="K1693" s="20"/>
      <c r="L1693" s="20"/>
      <c r="M1693" s="20"/>
      <c r="N1693" s="126"/>
      <c r="O1693" s="126"/>
      <c r="P1693" s="126"/>
      <c r="Q1693" s="202"/>
      <c r="R1693" s="172"/>
      <c r="S1693" s="203"/>
      <c r="AE1693" s="143"/>
      <c r="AF1693" s="143"/>
      <c r="AG1693" s="143"/>
      <c r="AH1693" s="143"/>
      <c r="AI1693" s="143"/>
      <c r="AJ1693" s="143"/>
      <c r="AK1693" s="143"/>
      <c r="AL1693" s="192"/>
      <c r="AM1693" s="145"/>
      <c r="AN1693" s="192"/>
    </row>
    <row r="1694" s="100" customFormat="1" spans="3:40">
      <c r="C1694" s="136"/>
      <c r="D1694" s="136"/>
      <c r="F1694" s="20"/>
      <c r="G1694" s="138"/>
      <c r="H1694" s="138"/>
      <c r="I1694" s="126"/>
      <c r="J1694" s="20"/>
      <c r="K1694" s="20"/>
      <c r="L1694" s="20"/>
      <c r="M1694" s="20"/>
      <c r="N1694" s="126"/>
      <c r="O1694" s="126"/>
      <c r="P1694" s="126"/>
      <c r="Q1694" s="202"/>
      <c r="R1694" s="172"/>
      <c r="S1694" s="203"/>
      <c r="AE1694" s="143"/>
      <c r="AF1694" s="143"/>
      <c r="AG1694" s="143"/>
      <c r="AH1694" s="143"/>
      <c r="AI1694" s="143"/>
      <c r="AJ1694" s="143"/>
      <c r="AK1694" s="143"/>
      <c r="AL1694" s="192"/>
      <c r="AM1694" s="145"/>
      <c r="AN1694" s="192"/>
    </row>
    <row r="1695" s="100" customFormat="1" spans="3:40">
      <c r="C1695" s="136"/>
      <c r="D1695" s="136"/>
      <c r="F1695" s="20"/>
      <c r="G1695" s="138"/>
      <c r="H1695" s="138"/>
      <c r="I1695" s="126"/>
      <c r="J1695" s="20"/>
      <c r="K1695" s="20"/>
      <c r="L1695" s="20"/>
      <c r="M1695" s="20"/>
      <c r="N1695" s="126"/>
      <c r="O1695" s="126"/>
      <c r="P1695" s="126"/>
      <c r="Q1695" s="202"/>
      <c r="R1695" s="172"/>
      <c r="S1695" s="203"/>
      <c r="AE1695" s="143"/>
      <c r="AF1695" s="143"/>
      <c r="AG1695" s="143"/>
      <c r="AH1695" s="143"/>
      <c r="AI1695" s="143"/>
      <c r="AJ1695" s="143"/>
      <c r="AK1695" s="143"/>
      <c r="AL1695" s="192"/>
      <c r="AM1695" s="192"/>
      <c r="AN1695" s="151"/>
    </row>
    <row r="1696" s="100" customFormat="1" spans="3:40">
      <c r="C1696" s="136"/>
      <c r="D1696" s="136"/>
      <c r="F1696" s="20"/>
      <c r="G1696" s="138"/>
      <c r="H1696" s="138"/>
      <c r="I1696" s="126"/>
      <c r="J1696" s="20"/>
      <c r="K1696" s="20"/>
      <c r="L1696" s="20"/>
      <c r="M1696" s="20"/>
      <c r="N1696" s="126"/>
      <c r="O1696" s="126"/>
      <c r="P1696" s="126"/>
      <c r="Q1696" s="202"/>
      <c r="R1696" s="172"/>
      <c r="S1696" s="203"/>
      <c r="AE1696" s="143"/>
      <c r="AF1696" s="143"/>
      <c r="AG1696" s="143"/>
      <c r="AH1696" s="143"/>
      <c r="AI1696" s="143"/>
      <c r="AJ1696" s="143"/>
      <c r="AK1696" s="143"/>
      <c r="AL1696" s="192"/>
      <c r="AM1696" s="145"/>
      <c r="AN1696" s="192"/>
    </row>
    <row r="1697" s="100" customFormat="1" spans="3:40">
      <c r="C1697" s="136"/>
      <c r="D1697" s="136"/>
      <c r="F1697" s="20"/>
      <c r="G1697" s="138"/>
      <c r="H1697" s="138"/>
      <c r="I1697" s="126"/>
      <c r="J1697" s="20"/>
      <c r="K1697" s="20"/>
      <c r="L1697" s="20"/>
      <c r="M1697" s="20"/>
      <c r="N1697" s="126"/>
      <c r="O1697" s="126"/>
      <c r="P1697" s="126"/>
      <c r="Q1697" s="202"/>
      <c r="R1697" s="172"/>
      <c r="S1697" s="203"/>
      <c r="AE1697" s="143"/>
      <c r="AF1697" s="143"/>
      <c r="AG1697" s="143"/>
      <c r="AH1697" s="143"/>
      <c r="AI1697" s="143"/>
      <c r="AJ1697" s="143"/>
      <c r="AK1697" s="143"/>
      <c r="AL1697" s="192"/>
      <c r="AM1697" s="192"/>
      <c r="AN1697" s="151"/>
    </row>
    <row r="1698" s="100" customFormat="1" spans="3:40">
      <c r="C1698" s="136"/>
      <c r="D1698" s="136"/>
      <c r="F1698" s="20"/>
      <c r="G1698" s="138"/>
      <c r="H1698" s="138"/>
      <c r="I1698" s="126"/>
      <c r="J1698" s="20"/>
      <c r="K1698" s="20"/>
      <c r="L1698" s="20"/>
      <c r="M1698" s="20"/>
      <c r="N1698" s="126"/>
      <c r="O1698" s="126"/>
      <c r="P1698" s="126"/>
      <c r="Q1698" s="202"/>
      <c r="R1698" s="172"/>
      <c r="S1698" s="203"/>
      <c r="AE1698" s="143"/>
      <c r="AF1698" s="143"/>
      <c r="AG1698" s="143"/>
      <c r="AH1698" s="143"/>
      <c r="AI1698" s="143"/>
      <c r="AJ1698" s="143"/>
      <c r="AK1698" s="143"/>
      <c r="AL1698" s="192"/>
      <c r="AM1698" s="145"/>
      <c r="AN1698" s="192"/>
    </row>
    <row r="1699" s="100" customFormat="1" spans="3:40">
      <c r="C1699" s="136"/>
      <c r="D1699" s="136"/>
      <c r="F1699" s="20"/>
      <c r="G1699" s="138"/>
      <c r="H1699" s="138"/>
      <c r="I1699" s="126"/>
      <c r="J1699" s="20"/>
      <c r="K1699" s="20"/>
      <c r="L1699" s="20"/>
      <c r="M1699" s="20"/>
      <c r="N1699" s="126"/>
      <c r="O1699" s="126"/>
      <c r="P1699" s="126"/>
      <c r="Q1699" s="202"/>
      <c r="R1699" s="172"/>
      <c r="S1699" s="203"/>
      <c r="AE1699" s="143"/>
      <c r="AF1699" s="143"/>
      <c r="AG1699" s="143"/>
      <c r="AH1699" s="143"/>
      <c r="AI1699" s="143"/>
      <c r="AJ1699" s="143"/>
      <c r="AK1699" s="143"/>
      <c r="AL1699" s="192"/>
      <c r="AM1699" s="145"/>
      <c r="AN1699" s="192"/>
    </row>
    <row r="1700" s="100" customFormat="1" spans="3:40">
      <c r="C1700" s="136"/>
      <c r="D1700" s="136"/>
      <c r="F1700" s="20"/>
      <c r="G1700" s="138"/>
      <c r="H1700" s="138"/>
      <c r="I1700" s="126"/>
      <c r="J1700" s="20"/>
      <c r="K1700" s="20"/>
      <c r="L1700" s="20"/>
      <c r="M1700" s="20"/>
      <c r="N1700" s="126"/>
      <c r="O1700" s="126"/>
      <c r="P1700" s="126"/>
      <c r="Q1700" s="202"/>
      <c r="R1700" s="172"/>
      <c r="S1700" s="203"/>
      <c r="AE1700" s="143"/>
      <c r="AF1700" s="143"/>
      <c r="AG1700" s="143"/>
      <c r="AH1700" s="143"/>
      <c r="AI1700" s="143"/>
      <c r="AJ1700" s="143"/>
      <c r="AK1700" s="143"/>
      <c r="AL1700" s="192"/>
      <c r="AM1700" s="192"/>
      <c r="AN1700" s="151"/>
    </row>
    <row r="1701" s="100" customFormat="1" spans="3:40">
      <c r="C1701" s="136"/>
      <c r="D1701" s="136"/>
      <c r="F1701" s="20"/>
      <c r="G1701" s="138"/>
      <c r="H1701" s="138"/>
      <c r="I1701" s="126"/>
      <c r="J1701" s="20"/>
      <c r="K1701" s="20"/>
      <c r="L1701" s="20"/>
      <c r="M1701" s="20"/>
      <c r="N1701" s="126"/>
      <c r="O1701" s="126"/>
      <c r="P1701" s="126"/>
      <c r="Q1701" s="202"/>
      <c r="R1701" s="172"/>
      <c r="S1701" s="203"/>
      <c r="AE1701" s="143"/>
      <c r="AF1701" s="143"/>
      <c r="AG1701" s="143"/>
      <c r="AH1701" s="143"/>
      <c r="AI1701" s="143"/>
      <c r="AJ1701" s="143"/>
      <c r="AK1701" s="143"/>
      <c r="AL1701" s="192"/>
      <c r="AM1701" s="192"/>
      <c r="AN1701" s="151"/>
    </row>
    <row r="1702" s="100" customFormat="1" spans="3:40">
      <c r="C1702" s="136"/>
      <c r="D1702" s="136"/>
      <c r="F1702" s="20"/>
      <c r="G1702" s="138"/>
      <c r="H1702" s="138"/>
      <c r="I1702" s="126"/>
      <c r="J1702" s="20"/>
      <c r="K1702" s="20"/>
      <c r="L1702" s="20"/>
      <c r="M1702" s="20"/>
      <c r="N1702" s="126"/>
      <c r="O1702" s="126"/>
      <c r="P1702" s="126"/>
      <c r="Q1702" s="202"/>
      <c r="R1702" s="172"/>
      <c r="S1702" s="203"/>
      <c r="AE1702" s="143"/>
      <c r="AF1702" s="143"/>
      <c r="AG1702" s="143"/>
      <c r="AH1702" s="143"/>
      <c r="AI1702" s="143"/>
      <c r="AJ1702" s="143"/>
      <c r="AK1702" s="143"/>
      <c r="AL1702" s="192"/>
      <c r="AM1702" s="192"/>
      <c r="AN1702" s="151"/>
    </row>
    <row r="1703" s="100" customFormat="1" spans="3:40">
      <c r="C1703" s="136"/>
      <c r="D1703" s="136"/>
      <c r="F1703" s="20"/>
      <c r="G1703" s="138"/>
      <c r="H1703" s="138"/>
      <c r="I1703" s="126"/>
      <c r="J1703" s="20"/>
      <c r="K1703" s="20"/>
      <c r="L1703" s="20"/>
      <c r="M1703" s="20"/>
      <c r="N1703" s="126"/>
      <c r="O1703" s="126"/>
      <c r="P1703" s="126"/>
      <c r="Q1703" s="202"/>
      <c r="R1703" s="172"/>
      <c r="S1703" s="203"/>
      <c r="AE1703" s="143"/>
      <c r="AF1703" s="143"/>
      <c r="AG1703" s="143"/>
      <c r="AH1703" s="143"/>
      <c r="AI1703" s="143"/>
      <c r="AJ1703" s="143"/>
      <c r="AK1703" s="143"/>
      <c r="AL1703" s="192"/>
      <c r="AM1703" s="145"/>
      <c r="AN1703" s="192"/>
    </row>
    <row r="1704" s="100" customFormat="1" spans="3:40">
      <c r="C1704" s="136"/>
      <c r="D1704" s="136"/>
      <c r="F1704" s="20"/>
      <c r="G1704" s="138"/>
      <c r="H1704" s="138"/>
      <c r="I1704" s="126"/>
      <c r="J1704" s="20"/>
      <c r="K1704" s="20"/>
      <c r="L1704" s="20"/>
      <c r="M1704" s="20"/>
      <c r="N1704" s="126"/>
      <c r="O1704" s="126"/>
      <c r="P1704" s="126"/>
      <c r="Q1704" s="202"/>
      <c r="R1704" s="172"/>
      <c r="S1704" s="203"/>
      <c r="AE1704" s="143"/>
      <c r="AF1704" s="143"/>
      <c r="AG1704" s="143"/>
      <c r="AH1704" s="143"/>
      <c r="AI1704" s="143"/>
      <c r="AJ1704" s="143"/>
      <c r="AK1704" s="143"/>
      <c r="AL1704" s="192"/>
      <c r="AM1704" s="145"/>
      <c r="AN1704" s="192"/>
    </row>
    <row r="1705" s="100" customFormat="1" spans="3:40">
      <c r="C1705" s="136"/>
      <c r="D1705" s="136"/>
      <c r="F1705" s="20"/>
      <c r="G1705" s="138"/>
      <c r="H1705" s="138"/>
      <c r="I1705" s="126"/>
      <c r="J1705" s="20"/>
      <c r="K1705" s="20"/>
      <c r="L1705" s="20"/>
      <c r="M1705" s="20"/>
      <c r="N1705" s="126"/>
      <c r="O1705" s="126"/>
      <c r="P1705" s="126"/>
      <c r="Q1705" s="202"/>
      <c r="R1705" s="172"/>
      <c r="S1705" s="203"/>
      <c r="AE1705" s="143"/>
      <c r="AF1705" s="143"/>
      <c r="AG1705" s="143"/>
      <c r="AH1705" s="143"/>
      <c r="AI1705" s="143"/>
      <c r="AJ1705" s="143"/>
      <c r="AK1705" s="143"/>
      <c r="AL1705" s="192"/>
      <c r="AM1705" s="192"/>
      <c r="AN1705" s="151"/>
    </row>
    <row r="1706" s="100" customFormat="1" spans="3:40">
      <c r="C1706" s="136"/>
      <c r="D1706" s="136"/>
      <c r="F1706" s="20"/>
      <c r="G1706" s="138"/>
      <c r="H1706" s="138"/>
      <c r="I1706" s="126"/>
      <c r="J1706" s="20"/>
      <c r="K1706" s="20"/>
      <c r="L1706" s="20"/>
      <c r="M1706" s="20"/>
      <c r="N1706" s="126"/>
      <c r="O1706" s="126"/>
      <c r="P1706" s="126"/>
      <c r="Q1706" s="202"/>
      <c r="R1706" s="172"/>
      <c r="S1706" s="203"/>
      <c r="AE1706" s="143"/>
      <c r="AF1706" s="143"/>
      <c r="AG1706" s="143"/>
      <c r="AH1706" s="143"/>
      <c r="AI1706" s="143"/>
      <c r="AJ1706" s="143"/>
      <c r="AK1706" s="143"/>
      <c r="AL1706" s="192"/>
      <c r="AM1706" s="145"/>
      <c r="AN1706" s="192"/>
    </row>
    <row r="1707" s="100" customFormat="1" spans="3:40">
      <c r="C1707" s="136"/>
      <c r="D1707" s="136"/>
      <c r="F1707" s="20"/>
      <c r="G1707" s="138"/>
      <c r="H1707" s="138"/>
      <c r="I1707" s="126"/>
      <c r="J1707" s="20"/>
      <c r="K1707" s="20"/>
      <c r="L1707" s="20"/>
      <c r="M1707" s="20"/>
      <c r="N1707" s="126"/>
      <c r="O1707" s="126"/>
      <c r="P1707" s="126"/>
      <c r="Q1707" s="202"/>
      <c r="R1707" s="172"/>
      <c r="S1707" s="203"/>
      <c r="AE1707" s="143"/>
      <c r="AF1707" s="143"/>
      <c r="AG1707" s="143"/>
      <c r="AH1707" s="143"/>
      <c r="AI1707" s="143"/>
      <c r="AJ1707" s="143"/>
      <c r="AK1707" s="143"/>
      <c r="AL1707" s="192"/>
      <c r="AM1707" s="145"/>
      <c r="AN1707" s="192"/>
    </row>
    <row r="1708" s="100" customFormat="1" spans="3:40">
      <c r="C1708" s="136"/>
      <c r="D1708" s="136"/>
      <c r="F1708" s="20"/>
      <c r="G1708" s="138"/>
      <c r="H1708" s="138"/>
      <c r="I1708" s="126"/>
      <c r="J1708" s="20"/>
      <c r="K1708" s="20"/>
      <c r="L1708" s="20"/>
      <c r="M1708" s="20"/>
      <c r="N1708" s="126"/>
      <c r="O1708" s="126"/>
      <c r="P1708" s="126"/>
      <c r="Q1708" s="202"/>
      <c r="R1708" s="172"/>
      <c r="S1708" s="207"/>
      <c r="AE1708" s="143"/>
      <c r="AF1708" s="143"/>
      <c r="AG1708" s="143"/>
      <c r="AH1708" s="143"/>
      <c r="AI1708" s="143"/>
      <c r="AJ1708" s="143"/>
      <c r="AK1708" s="143"/>
      <c r="AL1708" s="192"/>
      <c r="AM1708" s="192"/>
      <c r="AN1708" s="192"/>
    </row>
    <row r="1709" s="100" customFormat="1" spans="3:40">
      <c r="C1709" s="136"/>
      <c r="D1709" s="136"/>
      <c r="F1709" s="20"/>
      <c r="G1709" s="138"/>
      <c r="H1709" s="138"/>
      <c r="I1709" s="126"/>
      <c r="J1709" s="20"/>
      <c r="K1709" s="20"/>
      <c r="L1709" s="20"/>
      <c r="M1709" s="20"/>
      <c r="N1709" s="126"/>
      <c r="O1709" s="126"/>
      <c r="P1709" s="126"/>
      <c r="Q1709" s="202"/>
      <c r="R1709" s="172"/>
      <c r="S1709" s="203"/>
      <c r="AE1709" s="143"/>
      <c r="AF1709" s="143"/>
      <c r="AG1709" s="143"/>
      <c r="AH1709" s="143"/>
      <c r="AI1709" s="143"/>
      <c r="AJ1709" s="143"/>
      <c r="AK1709" s="143"/>
      <c r="AL1709" s="192"/>
      <c r="AM1709" s="145"/>
      <c r="AN1709" s="143"/>
    </row>
    <row r="1710" s="100" customFormat="1" spans="3:40">
      <c r="C1710" s="136"/>
      <c r="D1710" s="136"/>
      <c r="F1710" s="20"/>
      <c r="G1710" s="138"/>
      <c r="H1710" s="138"/>
      <c r="I1710" s="126"/>
      <c r="J1710" s="20"/>
      <c r="K1710" s="20"/>
      <c r="L1710" s="20"/>
      <c r="M1710" s="20"/>
      <c r="N1710" s="126"/>
      <c r="O1710" s="126"/>
      <c r="P1710" s="126"/>
      <c r="Q1710" s="202"/>
      <c r="R1710" s="172"/>
      <c r="S1710" s="203"/>
      <c r="AE1710" s="143"/>
      <c r="AF1710" s="143"/>
      <c r="AG1710" s="143"/>
      <c r="AH1710" s="143"/>
      <c r="AI1710" s="143"/>
      <c r="AJ1710" s="143"/>
      <c r="AK1710" s="143"/>
      <c r="AL1710" s="192"/>
      <c r="AM1710" s="145"/>
      <c r="AN1710" s="192"/>
    </row>
    <row r="1711" s="100" customFormat="1" spans="3:40">
      <c r="C1711" s="136"/>
      <c r="D1711" s="136"/>
      <c r="F1711" s="20"/>
      <c r="G1711" s="138"/>
      <c r="H1711" s="138"/>
      <c r="I1711" s="126"/>
      <c r="J1711" s="20"/>
      <c r="K1711" s="20"/>
      <c r="L1711" s="20"/>
      <c r="M1711" s="20"/>
      <c r="N1711" s="126"/>
      <c r="O1711" s="126"/>
      <c r="P1711" s="126"/>
      <c r="Q1711" s="202"/>
      <c r="R1711" s="172"/>
      <c r="S1711" s="203"/>
      <c r="AE1711" s="143"/>
      <c r="AF1711" s="143"/>
      <c r="AG1711" s="143"/>
      <c r="AH1711" s="143"/>
      <c r="AI1711" s="143"/>
      <c r="AJ1711" s="143"/>
      <c r="AK1711" s="143"/>
      <c r="AL1711" s="192"/>
      <c r="AM1711" s="192"/>
      <c r="AN1711" s="151"/>
    </row>
    <row r="1712" s="100" customFormat="1" spans="3:40">
      <c r="C1712" s="136"/>
      <c r="D1712" s="136"/>
      <c r="F1712" s="20"/>
      <c r="G1712" s="138"/>
      <c r="H1712" s="138"/>
      <c r="I1712" s="126"/>
      <c r="J1712" s="20"/>
      <c r="K1712" s="20"/>
      <c r="L1712" s="20"/>
      <c r="M1712" s="20"/>
      <c r="N1712" s="126"/>
      <c r="O1712" s="126"/>
      <c r="P1712" s="126"/>
      <c r="Q1712" s="202"/>
      <c r="R1712" s="172"/>
      <c r="S1712" s="203"/>
      <c r="AE1712" s="143"/>
      <c r="AF1712" s="143"/>
      <c r="AG1712" s="143"/>
      <c r="AH1712" s="143"/>
      <c r="AI1712" s="143"/>
      <c r="AJ1712" s="143"/>
      <c r="AK1712" s="143"/>
      <c r="AL1712" s="192"/>
      <c r="AM1712" s="145"/>
      <c r="AN1712" s="192"/>
    </row>
    <row r="1713" s="100" customFormat="1" spans="3:40">
      <c r="C1713" s="136"/>
      <c r="D1713" s="136"/>
      <c r="F1713" s="20"/>
      <c r="G1713" s="138"/>
      <c r="H1713" s="138"/>
      <c r="I1713" s="126"/>
      <c r="J1713" s="20"/>
      <c r="K1713" s="20"/>
      <c r="L1713" s="20"/>
      <c r="M1713" s="20"/>
      <c r="N1713" s="126"/>
      <c r="O1713" s="126"/>
      <c r="P1713" s="126"/>
      <c r="Q1713" s="202"/>
      <c r="R1713" s="172"/>
      <c r="S1713" s="203"/>
      <c r="AE1713" s="143"/>
      <c r="AF1713" s="143"/>
      <c r="AG1713" s="143"/>
      <c r="AH1713" s="143"/>
      <c r="AI1713" s="143"/>
      <c r="AJ1713" s="143"/>
      <c r="AK1713" s="143"/>
      <c r="AL1713" s="192"/>
      <c r="AM1713" s="145"/>
      <c r="AN1713" s="192"/>
    </row>
    <row r="1714" s="100" customFormat="1" spans="3:40">
      <c r="C1714" s="136"/>
      <c r="D1714" s="136"/>
      <c r="F1714" s="20"/>
      <c r="G1714" s="138"/>
      <c r="H1714" s="138"/>
      <c r="I1714" s="126"/>
      <c r="J1714" s="20"/>
      <c r="K1714" s="20"/>
      <c r="L1714" s="20"/>
      <c r="M1714" s="20"/>
      <c r="N1714" s="126"/>
      <c r="O1714" s="126"/>
      <c r="P1714" s="126"/>
      <c r="Q1714" s="202"/>
      <c r="R1714" s="172"/>
      <c r="S1714" s="203"/>
      <c r="AE1714" s="143"/>
      <c r="AF1714" s="143"/>
      <c r="AG1714" s="143"/>
      <c r="AH1714" s="143"/>
      <c r="AI1714" s="143"/>
      <c r="AJ1714" s="143"/>
      <c r="AK1714" s="143"/>
      <c r="AL1714" s="192"/>
      <c r="AM1714" s="192"/>
      <c r="AN1714" s="151"/>
    </row>
    <row r="1715" s="100" customFormat="1" spans="3:40">
      <c r="C1715" s="136"/>
      <c r="D1715" s="136"/>
      <c r="F1715" s="20"/>
      <c r="G1715" s="138"/>
      <c r="H1715" s="138"/>
      <c r="I1715" s="126"/>
      <c r="J1715" s="20"/>
      <c r="K1715" s="20"/>
      <c r="L1715" s="20"/>
      <c r="M1715" s="20"/>
      <c r="N1715" s="126"/>
      <c r="O1715" s="126"/>
      <c r="P1715" s="126"/>
      <c r="Q1715" s="202"/>
      <c r="R1715" s="172"/>
      <c r="S1715" s="203"/>
      <c r="AE1715" s="143"/>
      <c r="AF1715" s="143"/>
      <c r="AG1715" s="143"/>
      <c r="AH1715" s="143"/>
      <c r="AI1715" s="143"/>
      <c r="AJ1715" s="143"/>
      <c r="AK1715" s="143"/>
      <c r="AL1715" s="192"/>
      <c r="AM1715" s="192"/>
      <c r="AN1715" s="151"/>
    </row>
    <row r="1716" s="100" customFormat="1" spans="3:40">
      <c r="C1716" s="136"/>
      <c r="D1716" s="136"/>
      <c r="F1716" s="20"/>
      <c r="G1716" s="138"/>
      <c r="H1716" s="138"/>
      <c r="I1716" s="126"/>
      <c r="J1716" s="20"/>
      <c r="K1716" s="20"/>
      <c r="L1716" s="20"/>
      <c r="M1716" s="20"/>
      <c r="N1716" s="126"/>
      <c r="O1716" s="126"/>
      <c r="P1716" s="126"/>
      <c r="Q1716" s="202"/>
      <c r="R1716" s="172"/>
      <c r="S1716" s="172"/>
      <c r="AE1716" s="143"/>
      <c r="AF1716" s="143"/>
      <c r="AG1716" s="143"/>
      <c r="AH1716" s="143"/>
      <c r="AI1716" s="143"/>
      <c r="AJ1716" s="143"/>
      <c r="AK1716" s="143"/>
      <c r="AL1716" s="192"/>
      <c r="AM1716" s="192"/>
      <c r="AN1716" s="151"/>
    </row>
    <row r="1717" s="100" customFormat="1" spans="3:40">
      <c r="C1717" s="136"/>
      <c r="D1717" s="136"/>
      <c r="F1717" s="20"/>
      <c r="G1717" s="138"/>
      <c r="H1717" s="138"/>
      <c r="I1717" s="126"/>
      <c r="J1717" s="20"/>
      <c r="K1717" s="20"/>
      <c r="L1717" s="20"/>
      <c r="M1717" s="20"/>
      <c r="N1717" s="126"/>
      <c r="O1717" s="126"/>
      <c r="P1717" s="126"/>
      <c r="Q1717" s="202"/>
      <c r="R1717" s="172"/>
      <c r="S1717" s="203"/>
      <c r="AE1717" s="143"/>
      <c r="AF1717" s="143"/>
      <c r="AG1717" s="143"/>
      <c r="AH1717" s="143"/>
      <c r="AI1717" s="143"/>
      <c r="AJ1717" s="143"/>
      <c r="AK1717" s="143"/>
      <c r="AL1717" s="192"/>
      <c r="AM1717" s="145"/>
      <c r="AN1717" s="192"/>
    </row>
    <row r="1718" s="100" customFormat="1" spans="3:40">
      <c r="C1718" s="136"/>
      <c r="D1718" s="136"/>
      <c r="F1718" s="20"/>
      <c r="G1718" s="138"/>
      <c r="H1718" s="138"/>
      <c r="I1718" s="126"/>
      <c r="J1718" s="20"/>
      <c r="K1718" s="20"/>
      <c r="L1718" s="20"/>
      <c r="M1718" s="20"/>
      <c r="N1718" s="126"/>
      <c r="O1718" s="126"/>
      <c r="P1718" s="126"/>
      <c r="Q1718" s="202"/>
      <c r="R1718" s="172"/>
      <c r="S1718" s="203"/>
      <c r="AE1718" s="143"/>
      <c r="AF1718" s="143"/>
      <c r="AG1718" s="143"/>
      <c r="AH1718" s="143"/>
      <c r="AI1718" s="143"/>
      <c r="AJ1718" s="143"/>
      <c r="AK1718" s="143"/>
      <c r="AL1718" s="192"/>
      <c r="AM1718" s="145"/>
      <c r="AN1718" s="192"/>
    </row>
    <row r="1719" s="100" customFormat="1" spans="3:40">
      <c r="C1719" s="136"/>
      <c r="D1719" s="136"/>
      <c r="F1719" s="20"/>
      <c r="G1719" s="138"/>
      <c r="H1719" s="138"/>
      <c r="I1719" s="126"/>
      <c r="J1719" s="20"/>
      <c r="K1719" s="20"/>
      <c r="L1719" s="20"/>
      <c r="M1719" s="20"/>
      <c r="N1719" s="126"/>
      <c r="O1719" s="126"/>
      <c r="P1719" s="126"/>
      <c r="Q1719" s="202"/>
      <c r="R1719" s="172"/>
      <c r="S1719" s="203"/>
      <c r="AE1719" s="143"/>
      <c r="AF1719" s="143"/>
      <c r="AG1719" s="143"/>
      <c r="AH1719" s="143"/>
      <c r="AI1719" s="143"/>
      <c r="AJ1719" s="143"/>
      <c r="AK1719" s="143"/>
      <c r="AL1719" s="192"/>
      <c r="AM1719" s="145"/>
      <c r="AN1719" s="192"/>
    </row>
    <row r="1720" s="100" customFormat="1" spans="3:40">
      <c r="C1720" s="136"/>
      <c r="D1720" s="136"/>
      <c r="F1720" s="20"/>
      <c r="G1720" s="138"/>
      <c r="H1720" s="138"/>
      <c r="I1720" s="126"/>
      <c r="J1720" s="20"/>
      <c r="K1720" s="20"/>
      <c r="L1720" s="20"/>
      <c r="M1720" s="20"/>
      <c r="N1720" s="126"/>
      <c r="O1720" s="126"/>
      <c r="P1720" s="126"/>
      <c r="Q1720" s="202"/>
      <c r="R1720" s="172"/>
      <c r="S1720" s="203"/>
      <c r="AE1720" s="143"/>
      <c r="AF1720" s="143"/>
      <c r="AG1720" s="143"/>
      <c r="AH1720" s="143"/>
      <c r="AI1720" s="143"/>
      <c r="AJ1720" s="143"/>
      <c r="AK1720" s="143"/>
      <c r="AL1720" s="192"/>
      <c r="AM1720" s="192"/>
      <c r="AN1720" s="151"/>
    </row>
    <row r="1721" s="100" customFormat="1" spans="3:40">
      <c r="C1721" s="136"/>
      <c r="D1721" s="136"/>
      <c r="F1721" s="20"/>
      <c r="G1721" s="138"/>
      <c r="H1721" s="138"/>
      <c r="I1721" s="126"/>
      <c r="J1721" s="20"/>
      <c r="K1721" s="20"/>
      <c r="L1721" s="20"/>
      <c r="M1721" s="20"/>
      <c r="N1721" s="126"/>
      <c r="O1721" s="126"/>
      <c r="P1721" s="126"/>
      <c r="Q1721" s="202"/>
      <c r="R1721" s="172"/>
      <c r="S1721" s="203"/>
      <c r="AE1721" s="143"/>
      <c r="AF1721" s="143"/>
      <c r="AG1721" s="143"/>
      <c r="AH1721" s="143"/>
      <c r="AI1721" s="143"/>
      <c r="AJ1721" s="143"/>
      <c r="AK1721" s="143"/>
      <c r="AL1721" s="192"/>
      <c r="AM1721" s="192"/>
      <c r="AN1721" s="151"/>
    </row>
    <row r="1722" s="100" customFormat="1" spans="3:40">
      <c r="C1722" s="136"/>
      <c r="D1722" s="136"/>
      <c r="F1722" s="20"/>
      <c r="G1722" s="138"/>
      <c r="H1722" s="138"/>
      <c r="I1722" s="126"/>
      <c r="J1722" s="20"/>
      <c r="K1722" s="20"/>
      <c r="L1722" s="20"/>
      <c r="M1722" s="20"/>
      <c r="N1722" s="126"/>
      <c r="O1722" s="126"/>
      <c r="P1722" s="126"/>
      <c r="Q1722" s="202"/>
      <c r="R1722" s="172"/>
      <c r="S1722" s="172"/>
      <c r="AE1722" s="143"/>
      <c r="AF1722" s="143"/>
      <c r="AG1722" s="143"/>
      <c r="AH1722" s="143"/>
      <c r="AI1722" s="143"/>
      <c r="AJ1722" s="143"/>
      <c r="AK1722" s="143"/>
      <c r="AL1722" s="192"/>
      <c r="AM1722" s="145"/>
      <c r="AN1722" s="192"/>
    </row>
    <row r="1723" s="100" customFormat="1" spans="3:40">
      <c r="C1723" s="136"/>
      <c r="D1723" s="136"/>
      <c r="F1723" s="20"/>
      <c r="G1723" s="138"/>
      <c r="H1723" s="138"/>
      <c r="I1723" s="126"/>
      <c r="J1723" s="20"/>
      <c r="K1723" s="20"/>
      <c r="L1723" s="20"/>
      <c r="M1723" s="20"/>
      <c r="N1723" s="126"/>
      <c r="O1723" s="126"/>
      <c r="P1723" s="126"/>
      <c r="Q1723" s="202"/>
      <c r="R1723" s="172"/>
      <c r="S1723" s="203"/>
      <c r="AE1723" s="143"/>
      <c r="AF1723" s="143"/>
      <c r="AG1723" s="143"/>
      <c r="AH1723" s="143"/>
      <c r="AI1723" s="143"/>
      <c r="AJ1723" s="143"/>
      <c r="AK1723" s="143"/>
      <c r="AL1723" s="143"/>
      <c r="AM1723" s="143"/>
      <c r="AN1723" s="151"/>
    </row>
    <row r="1724" s="100" customFormat="1" spans="3:40">
      <c r="C1724" s="136"/>
      <c r="D1724" s="136"/>
      <c r="F1724" s="20"/>
      <c r="G1724" s="138"/>
      <c r="H1724" s="138"/>
      <c r="I1724" s="126"/>
      <c r="J1724" s="20"/>
      <c r="K1724" s="20"/>
      <c r="L1724" s="20"/>
      <c r="M1724" s="20"/>
      <c r="N1724" s="126"/>
      <c r="O1724" s="126"/>
      <c r="P1724" s="126"/>
      <c r="Q1724" s="202"/>
      <c r="R1724" s="172"/>
      <c r="S1724" s="203"/>
      <c r="AE1724" s="143"/>
      <c r="AF1724" s="143"/>
      <c r="AG1724" s="143"/>
      <c r="AH1724" s="143"/>
      <c r="AI1724" s="143"/>
      <c r="AJ1724" s="143"/>
      <c r="AK1724" s="143"/>
      <c r="AL1724" s="143"/>
      <c r="AM1724" s="145"/>
      <c r="AN1724" s="143"/>
    </row>
    <row r="1725" s="100" customFormat="1" spans="3:40">
      <c r="C1725" s="136"/>
      <c r="D1725" s="136"/>
      <c r="F1725" s="20"/>
      <c r="G1725" s="138"/>
      <c r="H1725" s="138"/>
      <c r="I1725" s="126"/>
      <c r="J1725" s="20"/>
      <c r="K1725" s="20"/>
      <c r="L1725" s="20"/>
      <c r="M1725" s="20"/>
      <c r="N1725" s="126"/>
      <c r="O1725" s="126"/>
      <c r="P1725" s="126"/>
      <c r="Q1725" s="202"/>
      <c r="R1725" s="172"/>
      <c r="S1725" s="203"/>
      <c r="AE1725" s="143"/>
      <c r="AF1725" s="143"/>
      <c r="AG1725" s="143"/>
      <c r="AH1725" s="143"/>
      <c r="AI1725" s="143"/>
      <c r="AJ1725" s="143"/>
      <c r="AK1725" s="143"/>
      <c r="AL1725" s="143"/>
      <c r="AM1725" s="145"/>
      <c r="AN1725" s="143"/>
    </row>
    <row r="1726" s="100" customFormat="1" spans="3:40">
      <c r="C1726" s="136"/>
      <c r="D1726" s="136"/>
      <c r="F1726" s="20"/>
      <c r="G1726" s="138"/>
      <c r="H1726" s="138"/>
      <c r="I1726" s="126"/>
      <c r="J1726" s="20"/>
      <c r="K1726" s="20"/>
      <c r="L1726" s="20"/>
      <c r="M1726" s="20"/>
      <c r="N1726" s="126"/>
      <c r="O1726" s="126"/>
      <c r="P1726" s="126"/>
      <c r="Q1726" s="202"/>
      <c r="R1726" s="172"/>
      <c r="S1726" s="203"/>
      <c r="AE1726" s="143"/>
      <c r="AF1726" s="143"/>
      <c r="AG1726" s="143"/>
      <c r="AH1726" s="143"/>
      <c r="AI1726" s="143"/>
      <c r="AJ1726" s="143"/>
      <c r="AK1726" s="143"/>
      <c r="AL1726" s="192"/>
      <c r="AM1726" s="192"/>
      <c r="AN1726" s="151"/>
    </row>
    <row r="1727" s="100" customFormat="1" spans="3:40">
      <c r="C1727" s="136"/>
      <c r="D1727" s="136"/>
      <c r="F1727" s="20"/>
      <c r="G1727" s="138"/>
      <c r="H1727" s="138"/>
      <c r="I1727" s="126"/>
      <c r="J1727" s="20"/>
      <c r="K1727" s="20"/>
      <c r="L1727" s="20"/>
      <c r="M1727" s="20"/>
      <c r="N1727" s="126"/>
      <c r="O1727" s="126"/>
      <c r="P1727" s="126"/>
      <c r="Q1727" s="202"/>
      <c r="R1727" s="172"/>
      <c r="S1727" s="172"/>
      <c r="AE1727" s="143"/>
      <c r="AF1727" s="143"/>
      <c r="AG1727" s="143"/>
      <c r="AH1727" s="143"/>
      <c r="AI1727" s="143"/>
      <c r="AJ1727" s="143"/>
      <c r="AK1727" s="143"/>
      <c r="AL1727" s="143"/>
      <c r="AM1727" s="143"/>
      <c r="AN1727" s="151"/>
    </row>
    <row r="1728" s="100" customFormat="1" spans="3:40">
      <c r="C1728" s="136"/>
      <c r="D1728" s="136"/>
      <c r="F1728" s="20"/>
      <c r="G1728" s="138"/>
      <c r="H1728" s="138"/>
      <c r="I1728" s="126"/>
      <c r="J1728" s="20"/>
      <c r="K1728" s="20"/>
      <c r="L1728" s="20"/>
      <c r="M1728" s="20"/>
      <c r="N1728" s="126"/>
      <c r="O1728" s="126"/>
      <c r="P1728" s="126"/>
      <c r="Q1728" s="202"/>
      <c r="R1728" s="172"/>
      <c r="S1728" s="203"/>
      <c r="AE1728" s="143"/>
      <c r="AF1728" s="143"/>
      <c r="AG1728" s="143"/>
      <c r="AH1728" s="143"/>
      <c r="AI1728" s="143"/>
      <c r="AJ1728" s="143"/>
      <c r="AK1728" s="143"/>
      <c r="AL1728" s="143"/>
      <c r="AM1728" s="145"/>
      <c r="AN1728" s="143"/>
    </row>
    <row r="1729" s="100" customFormat="1" spans="3:40">
      <c r="C1729" s="136"/>
      <c r="D1729" s="136"/>
      <c r="F1729" s="20"/>
      <c r="G1729" s="138"/>
      <c r="H1729" s="138"/>
      <c r="I1729" s="126"/>
      <c r="J1729" s="20"/>
      <c r="K1729" s="20"/>
      <c r="L1729" s="20"/>
      <c r="M1729" s="20"/>
      <c r="N1729" s="126"/>
      <c r="O1729" s="126"/>
      <c r="P1729" s="126"/>
      <c r="Q1729" s="202"/>
      <c r="R1729" s="172"/>
      <c r="S1729" s="203"/>
      <c r="AE1729" s="143"/>
      <c r="AF1729" s="143"/>
      <c r="AG1729" s="143"/>
      <c r="AH1729" s="143"/>
      <c r="AI1729" s="143"/>
      <c r="AJ1729" s="143"/>
      <c r="AK1729" s="143"/>
      <c r="AL1729" s="143"/>
      <c r="AM1729" s="143"/>
      <c r="AN1729" s="151"/>
    </row>
    <row r="1730" s="100" customFormat="1" spans="3:40">
      <c r="C1730" s="136"/>
      <c r="D1730" s="136"/>
      <c r="F1730" s="20"/>
      <c r="G1730" s="138"/>
      <c r="H1730" s="138"/>
      <c r="I1730" s="126"/>
      <c r="J1730" s="20"/>
      <c r="K1730" s="20"/>
      <c r="L1730" s="20"/>
      <c r="M1730" s="20"/>
      <c r="N1730" s="126"/>
      <c r="O1730" s="126"/>
      <c r="P1730" s="126"/>
      <c r="Q1730" s="202"/>
      <c r="R1730" s="172"/>
      <c r="S1730" s="203"/>
      <c r="AE1730" s="143"/>
      <c r="AF1730" s="143"/>
      <c r="AG1730" s="143"/>
      <c r="AH1730" s="143"/>
      <c r="AI1730" s="143"/>
      <c r="AJ1730" s="143"/>
      <c r="AK1730" s="143"/>
      <c r="AL1730" s="143"/>
      <c r="AM1730" s="145"/>
      <c r="AN1730" s="143"/>
    </row>
    <row r="1731" s="100" customFormat="1" spans="3:40">
      <c r="C1731" s="136"/>
      <c r="D1731" s="136"/>
      <c r="F1731" s="20"/>
      <c r="G1731" s="138"/>
      <c r="H1731" s="138"/>
      <c r="I1731" s="126"/>
      <c r="J1731" s="20"/>
      <c r="K1731" s="20"/>
      <c r="L1731" s="20"/>
      <c r="M1731" s="20"/>
      <c r="N1731" s="126"/>
      <c r="O1731" s="126"/>
      <c r="P1731" s="126"/>
      <c r="Q1731" s="202"/>
      <c r="R1731" s="172"/>
      <c r="S1731" s="203"/>
      <c r="AE1731" s="143"/>
      <c r="AF1731" s="143"/>
      <c r="AG1731" s="143"/>
      <c r="AH1731" s="143"/>
      <c r="AI1731" s="143"/>
      <c r="AJ1731" s="143"/>
      <c r="AK1731" s="143"/>
      <c r="AL1731" s="143"/>
      <c r="AM1731" s="145"/>
      <c r="AN1731" s="143"/>
    </row>
    <row r="1732" s="100" customFormat="1" spans="3:40">
      <c r="C1732" s="136"/>
      <c r="D1732" s="136"/>
      <c r="F1732" s="20"/>
      <c r="G1732" s="138"/>
      <c r="H1732" s="138"/>
      <c r="I1732" s="126"/>
      <c r="J1732" s="20"/>
      <c r="K1732" s="20"/>
      <c r="L1732" s="20"/>
      <c r="M1732" s="20"/>
      <c r="N1732" s="126"/>
      <c r="O1732" s="126"/>
      <c r="P1732" s="126"/>
      <c r="Q1732" s="202"/>
      <c r="R1732" s="172"/>
      <c r="S1732" s="203"/>
      <c r="AE1732" s="143"/>
      <c r="AF1732" s="143"/>
      <c r="AG1732" s="143"/>
      <c r="AH1732" s="143"/>
      <c r="AI1732" s="143"/>
      <c r="AJ1732" s="143"/>
      <c r="AK1732" s="143"/>
      <c r="AL1732" s="143"/>
      <c r="AM1732" s="145"/>
      <c r="AN1732" s="143"/>
    </row>
    <row r="1733" s="100" customFormat="1" spans="3:40">
      <c r="C1733" s="136"/>
      <c r="D1733" s="136"/>
      <c r="F1733" s="20"/>
      <c r="G1733" s="138"/>
      <c r="H1733" s="138"/>
      <c r="I1733" s="126"/>
      <c r="J1733" s="20"/>
      <c r="K1733" s="20"/>
      <c r="L1733" s="20"/>
      <c r="M1733" s="20"/>
      <c r="N1733" s="126"/>
      <c r="O1733" s="126"/>
      <c r="P1733" s="126"/>
      <c r="Q1733" s="202"/>
      <c r="R1733" s="172"/>
      <c r="S1733" s="203"/>
      <c r="AE1733" s="143"/>
      <c r="AF1733" s="143"/>
      <c r="AG1733" s="143"/>
      <c r="AH1733" s="143"/>
      <c r="AI1733" s="143"/>
      <c r="AJ1733" s="143"/>
      <c r="AK1733" s="143"/>
      <c r="AL1733" s="143"/>
      <c r="AM1733" s="145"/>
      <c r="AN1733" s="143"/>
    </row>
    <row r="1734" s="100" customFormat="1" spans="3:40">
      <c r="C1734" s="136"/>
      <c r="D1734" s="136"/>
      <c r="F1734" s="20"/>
      <c r="G1734" s="138"/>
      <c r="H1734" s="138"/>
      <c r="I1734" s="126"/>
      <c r="J1734" s="20"/>
      <c r="K1734" s="20"/>
      <c r="L1734" s="20"/>
      <c r="M1734" s="20"/>
      <c r="N1734" s="126"/>
      <c r="O1734" s="126"/>
      <c r="P1734" s="126"/>
      <c r="Q1734" s="202"/>
      <c r="R1734" s="172"/>
      <c r="S1734" s="20"/>
      <c r="AE1734" s="143"/>
      <c r="AF1734" s="143"/>
      <c r="AG1734" s="143"/>
      <c r="AH1734" s="143"/>
      <c r="AI1734" s="143"/>
      <c r="AJ1734" s="143"/>
      <c r="AK1734" s="143"/>
      <c r="AL1734" s="143"/>
      <c r="AM1734" s="145"/>
      <c r="AN1734" s="143"/>
    </row>
    <row r="1735" s="100" customFormat="1" spans="3:40">
      <c r="C1735" s="136"/>
      <c r="D1735" s="136"/>
      <c r="F1735" s="20"/>
      <c r="G1735" s="138"/>
      <c r="H1735" s="138"/>
      <c r="I1735" s="126"/>
      <c r="J1735" s="20"/>
      <c r="K1735" s="20"/>
      <c r="L1735" s="20"/>
      <c r="M1735" s="20"/>
      <c r="N1735" s="126"/>
      <c r="O1735" s="126"/>
      <c r="P1735" s="126"/>
      <c r="Q1735" s="202"/>
      <c r="R1735" s="172"/>
      <c r="S1735" s="20"/>
      <c r="AE1735" s="143"/>
      <c r="AF1735" s="143"/>
      <c r="AG1735" s="143"/>
      <c r="AH1735" s="143"/>
      <c r="AI1735" s="143"/>
      <c r="AJ1735" s="143"/>
      <c r="AK1735" s="143"/>
      <c r="AL1735" s="143"/>
      <c r="AM1735" s="145"/>
      <c r="AN1735" s="143"/>
    </row>
    <row r="1736" s="100" customFormat="1" spans="3:40">
      <c r="C1736" s="136"/>
      <c r="D1736" s="136"/>
      <c r="F1736" s="20"/>
      <c r="G1736" s="138"/>
      <c r="H1736" s="138"/>
      <c r="I1736" s="126"/>
      <c r="J1736" s="20"/>
      <c r="K1736" s="20"/>
      <c r="L1736" s="20"/>
      <c r="M1736" s="20"/>
      <c r="N1736" s="126"/>
      <c r="O1736" s="126"/>
      <c r="P1736" s="126"/>
      <c r="Q1736" s="202"/>
      <c r="R1736" s="172"/>
      <c r="S1736" s="20"/>
      <c r="AE1736" s="143"/>
      <c r="AF1736" s="143"/>
      <c r="AG1736" s="143"/>
      <c r="AH1736" s="143"/>
      <c r="AI1736" s="143"/>
      <c r="AJ1736" s="143"/>
      <c r="AK1736" s="143"/>
      <c r="AL1736" s="143"/>
      <c r="AM1736" s="143"/>
      <c r="AN1736" s="143"/>
    </row>
    <row r="1737" s="100" customFormat="1" spans="3:40">
      <c r="C1737" s="136"/>
      <c r="D1737" s="136"/>
      <c r="F1737" s="20"/>
      <c r="G1737" s="138"/>
      <c r="H1737" s="138"/>
      <c r="I1737" s="126"/>
      <c r="J1737" s="20"/>
      <c r="K1737" s="20"/>
      <c r="L1737" s="20"/>
      <c r="M1737" s="20"/>
      <c r="N1737" s="126"/>
      <c r="O1737" s="126"/>
      <c r="P1737" s="126"/>
      <c r="Q1737" s="202"/>
      <c r="R1737" s="172"/>
      <c r="S1737" s="20"/>
      <c r="AE1737" s="143"/>
      <c r="AF1737" s="143"/>
      <c r="AG1737" s="143"/>
      <c r="AH1737" s="143"/>
      <c r="AI1737" s="143"/>
      <c r="AJ1737" s="143"/>
      <c r="AK1737" s="143"/>
      <c r="AL1737" s="143"/>
      <c r="AM1737" s="145"/>
      <c r="AN1737" s="143"/>
    </row>
    <row r="1738" s="100" customFormat="1" spans="3:40">
      <c r="C1738" s="136"/>
      <c r="D1738" s="136"/>
      <c r="F1738" s="20"/>
      <c r="G1738" s="138"/>
      <c r="H1738" s="138"/>
      <c r="I1738" s="126"/>
      <c r="J1738" s="20"/>
      <c r="K1738" s="20"/>
      <c r="L1738" s="20"/>
      <c r="M1738" s="20"/>
      <c r="N1738" s="126"/>
      <c r="O1738" s="126"/>
      <c r="P1738" s="126"/>
      <c r="Q1738" s="202"/>
      <c r="R1738" s="172"/>
      <c r="S1738" s="20"/>
      <c r="AE1738" s="143"/>
      <c r="AF1738" s="143"/>
      <c r="AG1738" s="143"/>
      <c r="AH1738" s="143"/>
      <c r="AI1738" s="143"/>
      <c r="AJ1738" s="143"/>
      <c r="AK1738" s="143"/>
      <c r="AL1738" s="143"/>
      <c r="AM1738" s="151"/>
      <c r="AN1738" s="143"/>
    </row>
    <row r="1739" s="100" customFormat="1" spans="3:40">
      <c r="C1739" s="136"/>
      <c r="D1739" s="136"/>
      <c r="F1739" s="20"/>
      <c r="G1739" s="138"/>
      <c r="H1739" s="138"/>
      <c r="I1739" s="126"/>
      <c r="J1739" s="20"/>
      <c r="K1739" s="20"/>
      <c r="L1739" s="20"/>
      <c r="M1739" s="20"/>
      <c r="N1739" s="126"/>
      <c r="O1739" s="126"/>
      <c r="P1739" s="126"/>
      <c r="Q1739" s="202"/>
      <c r="R1739" s="172"/>
      <c r="S1739" s="20"/>
      <c r="AE1739" s="143"/>
      <c r="AF1739" s="143"/>
      <c r="AG1739" s="143"/>
      <c r="AH1739" s="143"/>
      <c r="AI1739" s="143"/>
      <c r="AJ1739" s="143"/>
      <c r="AK1739" s="143"/>
      <c r="AL1739" s="143"/>
      <c r="AM1739" s="145"/>
      <c r="AN1739" s="143"/>
    </row>
    <row r="1740" s="100" customFormat="1" spans="3:40">
      <c r="C1740" s="136"/>
      <c r="D1740" s="136"/>
      <c r="F1740" s="20"/>
      <c r="G1740" s="138"/>
      <c r="H1740" s="138"/>
      <c r="I1740" s="126"/>
      <c r="J1740" s="20"/>
      <c r="K1740" s="20"/>
      <c r="L1740" s="20"/>
      <c r="M1740" s="20"/>
      <c r="N1740" s="126"/>
      <c r="O1740" s="126"/>
      <c r="P1740" s="126"/>
      <c r="Q1740" s="202"/>
      <c r="R1740" s="172"/>
      <c r="S1740" s="20"/>
      <c r="AE1740" s="143"/>
      <c r="AF1740" s="143"/>
      <c r="AG1740" s="143"/>
      <c r="AH1740" s="143"/>
      <c r="AI1740" s="143"/>
      <c r="AJ1740" s="143"/>
      <c r="AK1740" s="143"/>
      <c r="AL1740" s="143"/>
      <c r="AM1740" s="145"/>
      <c r="AN1740" s="143"/>
    </row>
    <row r="1741" s="100" customFormat="1" spans="3:40">
      <c r="C1741" s="136"/>
      <c r="D1741" s="136"/>
      <c r="F1741" s="20"/>
      <c r="G1741" s="138"/>
      <c r="H1741" s="138"/>
      <c r="I1741" s="126"/>
      <c r="J1741" s="20"/>
      <c r="K1741" s="20"/>
      <c r="L1741" s="20"/>
      <c r="M1741" s="20"/>
      <c r="N1741" s="126"/>
      <c r="O1741" s="126"/>
      <c r="P1741" s="126"/>
      <c r="Q1741" s="202"/>
      <c r="R1741" s="172"/>
      <c r="S1741" s="20"/>
      <c r="AE1741" s="143"/>
      <c r="AF1741" s="143"/>
      <c r="AG1741" s="143"/>
      <c r="AH1741" s="143"/>
      <c r="AI1741" s="143"/>
      <c r="AJ1741" s="143"/>
      <c r="AK1741" s="143"/>
      <c r="AL1741" s="143"/>
      <c r="AM1741" s="145"/>
      <c r="AN1741" s="143"/>
    </row>
    <row r="1742" s="100" customFormat="1" spans="3:40">
      <c r="C1742" s="136"/>
      <c r="D1742" s="136"/>
      <c r="F1742" s="20"/>
      <c r="G1742" s="138"/>
      <c r="H1742" s="138"/>
      <c r="I1742" s="126"/>
      <c r="J1742" s="20"/>
      <c r="K1742" s="20"/>
      <c r="L1742" s="20"/>
      <c r="M1742" s="20"/>
      <c r="N1742" s="126"/>
      <c r="O1742" s="126"/>
      <c r="P1742" s="126"/>
      <c r="Q1742" s="202"/>
      <c r="R1742" s="172"/>
      <c r="S1742" s="20"/>
      <c r="AE1742" s="143"/>
      <c r="AF1742" s="143"/>
      <c r="AG1742" s="143"/>
      <c r="AH1742" s="143"/>
      <c r="AI1742" s="143"/>
      <c r="AJ1742" s="143"/>
      <c r="AK1742" s="143"/>
      <c r="AL1742" s="143"/>
      <c r="AM1742" s="145"/>
      <c r="AN1742" s="143"/>
    </row>
    <row r="1743" s="100" customFormat="1" spans="3:40">
      <c r="C1743" s="136"/>
      <c r="D1743" s="136"/>
      <c r="F1743" s="20"/>
      <c r="G1743" s="138"/>
      <c r="H1743" s="138"/>
      <c r="I1743" s="126"/>
      <c r="J1743" s="20"/>
      <c r="K1743" s="20"/>
      <c r="L1743" s="20"/>
      <c r="M1743" s="20"/>
      <c r="N1743" s="126"/>
      <c r="O1743" s="126"/>
      <c r="P1743" s="126"/>
      <c r="Q1743" s="202"/>
      <c r="R1743" s="172"/>
      <c r="S1743" s="20"/>
      <c r="AE1743" s="143"/>
      <c r="AF1743" s="143"/>
      <c r="AG1743" s="143"/>
      <c r="AH1743" s="143"/>
      <c r="AI1743" s="143"/>
      <c r="AJ1743" s="143"/>
      <c r="AK1743" s="143"/>
      <c r="AL1743" s="143"/>
      <c r="AM1743" s="143"/>
      <c r="AN1743" s="143"/>
    </row>
    <row r="1744" s="100" customFormat="1" spans="3:40">
      <c r="C1744" s="136"/>
      <c r="D1744" s="136"/>
      <c r="F1744" s="20"/>
      <c r="G1744" s="138"/>
      <c r="H1744" s="138"/>
      <c r="I1744" s="126"/>
      <c r="J1744" s="20"/>
      <c r="K1744" s="20"/>
      <c r="L1744" s="20"/>
      <c r="M1744" s="20"/>
      <c r="N1744" s="126"/>
      <c r="O1744" s="126"/>
      <c r="P1744" s="126"/>
      <c r="Q1744" s="202"/>
      <c r="R1744" s="172"/>
      <c r="S1744" s="20"/>
      <c r="AE1744" s="143"/>
      <c r="AF1744" s="143"/>
      <c r="AG1744" s="143"/>
      <c r="AH1744" s="143"/>
      <c r="AI1744" s="143"/>
      <c r="AJ1744" s="143"/>
      <c r="AK1744" s="143"/>
      <c r="AL1744" s="143"/>
      <c r="AM1744" s="143"/>
      <c r="AN1744" s="143"/>
    </row>
    <row r="1745" s="100" customFormat="1" spans="3:40">
      <c r="C1745" s="136"/>
      <c r="D1745" s="136"/>
      <c r="F1745" s="20"/>
      <c r="G1745" s="138"/>
      <c r="H1745" s="138"/>
      <c r="I1745" s="126"/>
      <c r="J1745" s="20"/>
      <c r="K1745" s="20"/>
      <c r="L1745" s="20"/>
      <c r="M1745" s="20"/>
      <c r="N1745" s="126"/>
      <c r="O1745" s="126"/>
      <c r="P1745" s="126"/>
      <c r="Q1745" s="202"/>
      <c r="R1745" s="172"/>
      <c r="S1745" s="20"/>
      <c r="AE1745" s="143"/>
      <c r="AF1745" s="143"/>
      <c r="AG1745" s="143"/>
      <c r="AH1745" s="143"/>
      <c r="AI1745" s="143"/>
      <c r="AJ1745" s="143"/>
      <c r="AK1745" s="143"/>
      <c r="AL1745" s="143"/>
      <c r="AM1745" s="145"/>
      <c r="AN1745" s="143"/>
    </row>
    <row r="1746" s="100" customFormat="1" spans="3:40">
      <c r="C1746" s="136"/>
      <c r="D1746" s="136"/>
      <c r="F1746" s="20"/>
      <c r="G1746" s="138"/>
      <c r="H1746" s="138"/>
      <c r="I1746" s="126"/>
      <c r="J1746" s="20"/>
      <c r="K1746" s="20"/>
      <c r="L1746" s="20"/>
      <c r="M1746" s="20"/>
      <c r="N1746" s="126"/>
      <c r="O1746" s="126"/>
      <c r="P1746" s="126"/>
      <c r="Q1746" s="202"/>
      <c r="R1746" s="172"/>
      <c r="S1746" s="20"/>
      <c r="AE1746" s="143"/>
      <c r="AF1746" s="143"/>
      <c r="AG1746" s="143"/>
      <c r="AH1746" s="143"/>
      <c r="AI1746" s="143"/>
      <c r="AJ1746" s="143"/>
      <c r="AK1746" s="143"/>
      <c r="AL1746" s="143"/>
      <c r="AM1746" s="143"/>
      <c r="AN1746" s="143"/>
    </row>
    <row r="1747" s="100" customFormat="1" spans="3:40">
      <c r="C1747" s="136"/>
      <c r="D1747" s="136"/>
      <c r="F1747" s="20"/>
      <c r="G1747" s="138"/>
      <c r="H1747" s="138"/>
      <c r="I1747" s="126"/>
      <c r="J1747" s="20"/>
      <c r="K1747" s="20"/>
      <c r="L1747" s="20"/>
      <c r="M1747" s="20"/>
      <c r="N1747" s="126"/>
      <c r="O1747" s="126"/>
      <c r="P1747" s="126"/>
      <c r="Q1747" s="202"/>
      <c r="R1747" s="172"/>
      <c r="S1747" s="20"/>
      <c r="AE1747" s="143"/>
      <c r="AF1747" s="143"/>
      <c r="AG1747" s="143"/>
      <c r="AH1747" s="143"/>
      <c r="AI1747" s="143"/>
      <c r="AJ1747" s="143"/>
      <c r="AK1747" s="143"/>
      <c r="AL1747" s="143"/>
      <c r="AM1747" s="143"/>
      <c r="AN1747" s="143"/>
    </row>
    <row r="1748" s="100" customFormat="1" spans="3:40">
      <c r="C1748" s="136"/>
      <c r="D1748" s="136"/>
      <c r="F1748" s="20"/>
      <c r="G1748" s="138"/>
      <c r="H1748" s="138"/>
      <c r="I1748" s="126"/>
      <c r="J1748" s="20"/>
      <c r="K1748" s="20"/>
      <c r="L1748" s="20"/>
      <c r="M1748" s="20"/>
      <c r="N1748" s="126"/>
      <c r="O1748" s="126"/>
      <c r="P1748" s="126"/>
      <c r="Q1748" s="202"/>
      <c r="R1748" s="172"/>
      <c r="S1748" s="20"/>
      <c r="AE1748" s="143"/>
      <c r="AF1748" s="143"/>
      <c r="AG1748" s="143"/>
      <c r="AH1748" s="143"/>
      <c r="AI1748" s="143"/>
      <c r="AJ1748" s="143"/>
      <c r="AK1748" s="143"/>
      <c r="AL1748" s="143"/>
      <c r="AM1748" s="143"/>
      <c r="AN1748" s="143"/>
    </row>
    <row r="1749" s="100" customFormat="1" spans="3:40">
      <c r="C1749" s="136"/>
      <c r="D1749" s="136"/>
      <c r="F1749" s="20"/>
      <c r="G1749" s="138"/>
      <c r="H1749" s="138"/>
      <c r="I1749" s="126"/>
      <c r="J1749" s="20"/>
      <c r="K1749" s="20"/>
      <c r="L1749" s="20"/>
      <c r="M1749" s="20"/>
      <c r="N1749" s="126"/>
      <c r="O1749" s="126"/>
      <c r="P1749" s="126"/>
      <c r="Q1749" s="202"/>
      <c r="R1749" s="172"/>
      <c r="S1749" s="20"/>
      <c r="AE1749" s="143"/>
      <c r="AF1749" s="143"/>
      <c r="AG1749" s="143"/>
      <c r="AH1749" s="143"/>
      <c r="AI1749" s="143"/>
      <c r="AJ1749" s="143"/>
      <c r="AK1749" s="143"/>
      <c r="AL1749" s="143"/>
      <c r="AM1749" s="143"/>
      <c r="AN1749" s="143"/>
    </row>
    <row r="1750" s="100" customFormat="1" spans="3:40">
      <c r="C1750" s="136"/>
      <c r="D1750" s="136"/>
      <c r="F1750" s="20"/>
      <c r="G1750" s="138"/>
      <c r="H1750" s="138"/>
      <c r="I1750" s="126"/>
      <c r="J1750" s="20"/>
      <c r="K1750" s="20"/>
      <c r="L1750" s="20"/>
      <c r="M1750" s="20"/>
      <c r="N1750" s="126"/>
      <c r="O1750" s="126"/>
      <c r="P1750" s="126"/>
      <c r="Q1750" s="202"/>
      <c r="R1750" s="172"/>
      <c r="S1750" s="172"/>
      <c r="AE1750" s="143"/>
      <c r="AF1750" s="143"/>
      <c r="AG1750" s="143"/>
      <c r="AH1750" s="143"/>
      <c r="AI1750" s="143"/>
      <c r="AJ1750" s="143"/>
      <c r="AK1750" s="143"/>
      <c r="AL1750" s="143"/>
      <c r="AM1750" s="143"/>
      <c r="AN1750" s="143"/>
    </row>
    <row r="1751" s="100" customFormat="1" spans="3:40">
      <c r="C1751" s="136"/>
      <c r="D1751" s="136"/>
      <c r="F1751" s="20"/>
      <c r="G1751" s="138"/>
      <c r="H1751" s="138"/>
      <c r="I1751" s="126"/>
      <c r="J1751" s="20"/>
      <c r="K1751" s="20"/>
      <c r="L1751" s="20"/>
      <c r="M1751" s="20"/>
      <c r="N1751" s="126"/>
      <c r="O1751" s="126"/>
      <c r="P1751" s="126"/>
      <c r="Q1751" s="202"/>
      <c r="R1751" s="172"/>
      <c r="S1751" s="172"/>
      <c r="AE1751" s="143"/>
      <c r="AF1751" s="143"/>
      <c r="AG1751" s="143"/>
      <c r="AH1751" s="143"/>
      <c r="AI1751" s="143"/>
      <c r="AJ1751" s="143"/>
      <c r="AK1751" s="143"/>
      <c r="AL1751" s="143"/>
      <c r="AM1751" s="143"/>
      <c r="AN1751" s="143"/>
    </row>
    <row r="1752" s="100" customFormat="1" spans="3:40">
      <c r="C1752" s="136"/>
      <c r="D1752" s="136"/>
      <c r="F1752" s="20"/>
      <c r="G1752" s="138"/>
      <c r="H1752" s="138"/>
      <c r="I1752" s="126"/>
      <c r="J1752" s="20"/>
      <c r="K1752" s="20"/>
      <c r="L1752" s="20"/>
      <c r="M1752" s="20"/>
      <c r="N1752" s="126"/>
      <c r="O1752" s="126"/>
      <c r="P1752" s="126"/>
      <c r="Q1752" s="202"/>
      <c r="R1752" s="172"/>
      <c r="S1752" s="172"/>
      <c r="AE1752" s="143"/>
      <c r="AF1752" s="143"/>
      <c r="AG1752" s="143"/>
      <c r="AH1752" s="143"/>
      <c r="AI1752" s="143"/>
      <c r="AJ1752" s="143"/>
      <c r="AK1752" s="143"/>
      <c r="AL1752" s="143"/>
      <c r="AM1752" s="143"/>
      <c r="AN1752" s="143"/>
    </row>
    <row r="1753" s="100" customFormat="1" spans="3:40">
      <c r="C1753" s="136"/>
      <c r="D1753" s="136"/>
      <c r="F1753" s="20"/>
      <c r="G1753" s="138"/>
      <c r="H1753" s="138"/>
      <c r="I1753" s="126"/>
      <c r="J1753" s="20"/>
      <c r="K1753" s="20"/>
      <c r="L1753" s="20"/>
      <c r="M1753" s="20"/>
      <c r="N1753" s="126"/>
      <c r="O1753" s="126"/>
      <c r="P1753" s="126"/>
      <c r="Q1753" s="202"/>
      <c r="R1753" s="172"/>
      <c r="S1753" s="172"/>
      <c r="AE1753" s="143"/>
      <c r="AF1753" s="143"/>
      <c r="AG1753" s="143"/>
      <c r="AH1753" s="143"/>
      <c r="AI1753" s="143"/>
      <c r="AJ1753" s="143"/>
      <c r="AK1753" s="143"/>
      <c r="AL1753" s="143"/>
      <c r="AM1753" s="143"/>
      <c r="AN1753" s="143"/>
    </row>
    <row r="1754" s="100" customFormat="1" spans="3:40">
      <c r="C1754" s="136"/>
      <c r="D1754" s="136"/>
      <c r="F1754" s="20"/>
      <c r="G1754" s="138"/>
      <c r="H1754" s="138"/>
      <c r="I1754" s="126"/>
      <c r="J1754" s="20"/>
      <c r="K1754" s="20"/>
      <c r="L1754" s="20"/>
      <c r="M1754" s="20"/>
      <c r="N1754" s="126"/>
      <c r="O1754" s="126"/>
      <c r="P1754" s="126"/>
      <c r="Q1754" s="202"/>
      <c r="R1754" s="172"/>
      <c r="S1754" s="172"/>
      <c r="AE1754" s="143"/>
      <c r="AF1754" s="143"/>
      <c r="AG1754" s="143"/>
      <c r="AH1754" s="143"/>
      <c r="AI1754" s="143"/>
      <c r="AJ1754" s="143"/>
      <c r="AK1754" s="143"/>
      <c r="AL1754" s="143"/>
      <c r="AM1754" s="143"/>
      <c r="AN1754" s="143"/>
    </row>
    <row r="1755" s="100" customFormat="1" spans="3:40">
      <c r="C1755" s="136"/>
      <c r="D1755" s="136"/>
      <c r="F1755" s="20"/>
      <c r="G1755" s="138"/>
      <c r="H1755" s="138"/>
      <c r="I1755" s="126"/>
      <c r="J1755" s="20"/>
      <c r="K1755" s="20"/>
      <c r="L1755" s="20"/>
      <c r="M1755" s="20"/>
      <c r="N1755" s="126"/>
      <c r="O1755" s="126"/>
      <c r="P1755" s="126"/>
      <c r="Q1755" s="202"/>
      <c r="R1755" s="172"/>
      <c r="S1755" s="172"/>
      <c r="AE1755" s="143"/>
      <c r="AF1755" s="143"/>
      <c r="AG1755" s="143"/>
      <c r="AH1755" s="143"/>
      <c r="AI1755" s="143"/>
      <c r="AJ1755" s="143"/>
      <c r="AK1755" s="143"/>
      <c r="AL1755" s="143"/>
      <c r="AM1755" s="145"/>
      <c r="AN1755" s="143"/>
    </row>
    <row r="1756" s="100" customFormat="1" spans="3:40">
      <c r="C1756" s="136"/>
      <c r="D1756" s="136"/>
      <c r="F1756" s="20"/>
      <c r="G1756" s="138"/>
      <c r="H1756" s="138"/>
      <c r="I1756" s="126"/>
      <c r="J1756" s="20"/>
      <c r="K1756" s="20"/>
      <c r="L1756" s="20"/>
      <c r="M1756" s="20"/>
      <c r="N1756" s="126"/>
      <c r="O1756" s="126"/>
      <c r="P1756" s="126"/>
      <c r="Q1756" s="202"/>
      <c r="R1756" s="172"/>
      <c r="S1756" s="172"/>
      <c r="AE1756" s="143"/>
      <c r="AF1756" s="143"/>
      <c r="AG1756" s="143"/>
      <c r="AH1756" s="143"/>
      <c r="AI1756" s="143"/>
      <c r="AJ1756" s="143"/>
      <c r="AK1756" s="143"/>
      <c r="AL1756" s="143"/>
      <c r="AM1756" s="145"/>
      <c r="AN1756" s="143"/>
    </row>
    <row r="1757" s="100" customFormat="1" spans="3:40">
      <c r="C1757" s="136"/>
      <c r="D1757" s="136"/>
      <c r="F1757" s="20"/>
      <c r="G1757" s="138"/>
      <c r="H1757" s="138"/>
      <c r="I1757" s="126"/>
      <c r="J1757" s="20"/>
      <c r="K1757" s="20"/>
      <c r="L1757" s="20"/>
      <c r="M1757" s="20"/>
      <c r="N1757" s="126"/>
      <c r="O1757" s="126"/>
      <c r="P1757" s="126"/>
      <c r="Q1757" s="202"/>
      <c r="R1757" s="172"/>
      <c r="S1757" s="172"/>
      <c r="AE1757" s="143"/>
      <c r="AF1757" s="143"/>
      <c r="AG1757" s="143"/>
      <c r="AH1757" s="143"/>
      <c r="AI1757" s="143"/>
      <c r="AJ1757" s="143"/>
      <c r="AK1757" s="143"/>
      <c r="AL1757" s="143"/>
      <c r="AM1757" s="143"/>
      <c r="AN1757" s="143"/>
    </row>
    <row r="1758" s="100" customFormat="1" spans="3:40">
      <c r="C1758" s="136"/>
      <c r="D1758" s="136"/>
      <c r="F1758" s="20"/>
      <c r="G1758" s="138"/>
      <c r="H1758" s="138"/>
      <c r="I1758" s="126"/>
      <c r="J1758" s="20"/>
      <c r="K1758" s="20"/>
      <c r="L1758" s="20"/>
      <c r="M1758" s="20"/>
      <c r="N1758" s="126"/>
      <c r="O1758" s="126"/>
      <c r="P1758" s="126"/>
      <c r="Q1758" s="202"/>
      <c r="R1758" s="172"/>
      <c r="S1758" s="172"/>
      <c r="AE1758" s="143"/>
      <c r="AF1758" s="143"/>
      <c r="AG1758" s="143"/>
      <c r="AH1758" s="143"/>
      <c r="AI1758" s="143"/>
      <c r="AJ1758" s="143"/>
      <c r="AK1758" s="143"/>
      <c r="AL1758" s="143"/>
      <c r="AM1758" s="143"/>
      <c r="AN1758" s="143"/>
    </row>
    <row r="1759" s="100" customFormat="1" spans="3:40">
      <c r="C1759" s="136"/>
      <c r="D1759" s="136"/>
      <c r="F1759" s="20"/>
      <c r="G1759" s="138"/>
      <c r="H1759" s="138"/>
      <c r="I1759" s="126"/>
      <c r="J1759" s="20"/>
      <c r="K1759" s="20"/>
      <c r="L1759" s="20"/>
      <c r="M1759" s="20"/>
      <c r="N1759" s="126"/>
      <c r="O1759" s="126"/>
      <c r="P1759" s="126"/>
      <c r="Q1759" s="202"/>
      <c r="R1759" s="172"/>
      <c r="S1759" s="172"/>
      <c r="AE1759" s="143"/>
      <c r="AF1759" s="143"/>
      <c r="AG1759" s="143"/>
      <c r="AH1759" s="143"/>
      <c r="AI1759" s="143"/>
      <c r="AJ1759" s="143"/>
      <c r="AK1759" s="143"/>
      <c r="AL1759" s="143"/>
      <c r="AM1759" s="143"/>
      <c r="AN1759" s="143"/>
    </row>
    <row r="1760" s="100" customFormat="1" spans="3:40">
      <c r="C1760" s="136"/>
      <c r="D1760" s="136"/>
      <c r="F1760" s="20"/>
      <c r="G1760" s="138"/>
      <c r="H1760" s="138"/>
      <c r="I1760" s="126"/>
      <c r="J1760" s="20"/>
      <c r="K1760" s="20"/>
      <c r="L1760" s="20"/>
      <c r="M1760" s="20"/>
      <c r="N1760" s="126"/>
      <c r="O1760" s="126"/>
      <c r="P1760" s="126"/>
      <c r="Q1760" s="202"/>
      <c r="R1760" s="172"/>
      <c r="S1760" s="20"/>
      <c r="AE1760" s="143"/>
      <c r="AF1760" s="143"/>
      <c r="AG1760" s="143"/>
      <c r="AH1760" s="143"/>
      <c r="AI1760" s="143"/>
      <c r="AJ1760" s="143"/>
      <c r="AK1760" s="143"/>
      <c r="AL1760" s="143"/>
      <c r="AM1760" s="143"/>
      <c r="AN1760" s="143"/>
    </row>
    <row r="1761" s="100" customFormat="1" spans="3:40">
      <c r="C1761" s="136"/>
      <c r="D1761" s="136"/>
      <c r="F1761" s="20"/>
      <c r="G1761" s="138"/>
      <c r="H1761" s="138"/>
      <c r="I1761" s="126"/>
      <c r="J1761" s="20"/>
      <c r="K1761" s="20"/>
      <c r="L1761" s="20"/>
      <c r="M1761" s="20"/>
      <c r="N1761" s="126"/>
      <c r="O1761" s="126"/>
      <c r="P1761" s="126"/>
      <c r="Q1761" s="202"/>
      <c r="R1761" s="172"/>
      <c r="S1761" s="20"/>
      <c r="AE1761" s="143"/>
      <c r="AF1761" s="143"/>
      <c r="AG1761" s="143"/>
      <c r="AH1761" s="143"/>
      <c r="AI1761" s="143"/>
      <c r="AJ1761" s="143"/>
      <c r="AK1761" s="143"/>
      <c r="AL1761" s="143"/>
      <c r="AM1761" s="145"/>
      <c r="AN1761" s="143"/>
    </row>
    <row r="1762" s="100" customFormat="1" spans="3:40">
      <c r="C1762" s="136"/>
      <c r="D1762" s="136"/>
      <c r="F1762" s="20"/>
      <c r="G1762" s="138"/>
      <c r="H1762" s="138"/>
      <c r="I1762" s="126"/>
      <c r="J1762" s="20"/>
      <c r="K1762" s="20"/>
      <c r="L1762" s="20"/>
      <c r="M1762" s="20"/>
      <c r="N1762" s="126"/>
      <c r="O1762" s="126"/>
      <c r="P1762" s="126"/>
      <c r="Q1762" s="202"/>
      <c r="R1762" s="172"/>
      <c r="S1762" s="172"/>
      <c r="AE1762" s="143"/>
      <c r="AF1762" s="143"/>
      <c r="AG1762" s="143"/>
      <c r="AH1762" s="143"/>
      <c r="AI1762" s="143"/>
      <c r="AJ1762" s="143"/>
      <c r="AK1762" s="143"/>
      <c r="AL1762" s="143"/>
      <c r="AM1762" s="145"/>
      <c r="AN1762" s="143"/>
    </row>
    <row r="1763" s="100" customFormat="1" spans="3:40">
      <c r="C1763" s="136"/>
      <c r="D1763" s="136"/>
      <c r="F1763" s="20"/>
      <c r="G1763" s="138"/>
      <c r="H1763" s="138"/>
      <c r="I1763" s="126"/>
      <c r="J1763" s="20"/>
      <c r="K1763" s="20"/>
      <c r="L1763" s="20"/>
      <c r="M1763" s="20"/>
      <c r="N1763" s="126"/>
      <c r="O1763" s="126"/>
      <c r="P1763" s="126"/>
      <c r="Q1763" s="202"/>
      <c r="R1763" s="172"/>
      <c r="S1763" s="20"/>
      <c r="AE1763" s="143"/>
      <c r="AF1763" s="143"/>
      <c r="AG1763" s="143"/>
      <c r="AH1763" s="143"/>
      <c r="AI1763" s="143"/>
      <c r="AJ1763" s="143"/>
      <c r="AK1763" s="143"/>
      <c r="AL1763" s="143"/>
      <c r="AM1763" s="145"/>
      <c r="AN1763" s="143"/>
    </row>
    <row r="1764" s="100" customFormat="1" spans="3:40">
      <c r="C1764" s="136"/>
      <c r="D1764" s="136"/>
      <c r="F1764" s="20"/>
      <c r="G1764" s="138"/>
      <c r="H1764" s="138"/>
      <c r="I1764" s="126"/>
      <c r="J1764" s="20"/>
      <c r="K1764" s="20"/>
      <c r="L1764" s="20"/>
      <c r="M1764" s="20"/>
      <c r="N1764" s="126"/>
      <c r="O1764" s="126"/>
      <c r="P1764" s="126"/>
      <c r="Q1764" s="202"/>
      <c r="R1764" s="172"/>
      <c r="S1764" s="20"/>
      <c r="AE1764" s="143"/>
      <c r="AF1764" s="143"/>
      <c r="AG1764" s="143"/>
      <c r="AH1764" s="143"/>
      <c r="AI1764" s="143"/>
      <c r="AJ1764" s="143"/>
      <c r="AK1764" s="143"/>
      <c r="AL1764" s="143"/>
      <c r="AM1764" s="143"/>
      <c r="AN1764" s="143"/>
    </row>
    <row r="1765" s="100" customFormat="1" spans="3:40">
      <c r="C1765" s="136"/>
      <c r="D1765" s="136"/>
      <c r="F1765" s="20"/>
      <c r="G1765" s="138"/>
      <c r="H1765" s="138"/>
      <c r="I1765" s="126"/>
      <c r="J1765" s="20"/>
      <c r="K1765" s="20"/>
      <c r="L1765" s="20"/>
      <c r="M1765" s="20"/>
      <c r="N1765" s="126"/>
      <c r="O1765" s="126"/>
      <c r="P1765" s="126"/>
      <c r="Q1765" s="202"/>
      <c r="R1765" s="172"/>
      <c r="S1765" s="20"/>
      <c r="AE1765" s="143"/>
      <c r="AF1765" s="143"/>
      <c r="AG1765" s="143"/>
      <c r="AH1765" s="143"/>
      <c r="AI1765" s="143"/>
      <c r="AJ1765" s="143"/>
      <c r="AK1765" s="143"/>
      <c r="AL1765" s="143"/>
      <c r="AM1765" s="143"/>
      <c r="AN1765" s="143"/>
    </row>
    <row r="1766" s="100" customFormat="1" spans="3:40">
      <c r="C1766" s="136"/>
      <c r="D1766" s="136"/>
      <c r="F1766" s="20"/>
      <c r="G1766" s="138"/>
      <c r="H1766" s="138"/>
      <c r="I1766" s="126"/>
      <c r="J1766" s="20"/>
      <c r="K1766" s="20"/>
      <c r="L1766" s="20"/>
      <c r="M1766" s="20"/>
      <c r="N1766" s="126"/>
      <c r="O1766" s="126"/>
      <c r="P1766" s="126"/>
      <c r="Q1766" s="202"/>
      <c r="R1766" s="172"/>
      <c r="S1766" s="172"/>
      <c r="AE1766" s="143"/>
      <c r="AF1766" s="143"/>
      <c r="AG1766" s="143"/>
      <c r="AH1766" s="143"/>
      <c r="AI1766" s="143"/>
      <c r="AJ1766" s="143"/>
      <c r="AK1766" s="143"/>
      <c r="AL1766" s="143"/>
      <c r="AM1766" s="145"/>
      <c r="AN1766" s="143"/>
    </row>
    <row r="1767" s="100" customFormat="1" spans="3:40">
      <c r="C1767" s="136"/>
      <c r="D1767" s="136"/>
      <c r="F1767" s="20"/>
      <c r="G1767" s="138"/>
      <c r="H1767" s="138"/>
      <c r="I1767" s="126"/>
      <c r="J1767" s="20"/>
      <c r="K1767" s="20"/>
      <c r="L1767" s="20"/>
      <c r="M1767" s="20"/>
      <c r="N1767" s="126"/>
      <c r="O1767" s="126"/>
      <c r="P1767" s="126"/>
      <c r="Q1767" s="202"/>
      <c r="R1767" s="172"/>
      <c r="S1767" s="20"/>
      <c r="AE1767" s="143"/>
      <c r="AF1767" s="143"/>
      <c r="AG1767" s="143"/>
      <c r="AH1767" s="143"/>
      <c r="AI1767" s="143"/>
      <c r="AJ1767" s="143"/>
      <c r="AK1767" s="143"/>
      <c r="AL1767" s="143"/>
      <c r="AM1767" s="145"/>
      <c r="AN1767" s="143"/>
    </row>
    <row r="1768" s="100" customFormat="1" spans="3:40">
      <c r="C1768" s="136"/>
      <c r="D1768" s="136"/>
      <c r="F1768" s="20"/>
      <c r="G1768" s="138"/>
      <c r="H1768" s="138"/>
      <c r="I1768" s="126"/>
      <c r="J1768" s="20"/>
      <c r="K1768" s="20"/>
      <c r="L1768" s="20"/>
      <c r="M1768" s="20"/>
      <c r="N1768" s="126"/>
      <c r="O1768" s="126"/>
      <c r="P1768" s="126"/>
      <c r="Q1768" s="202"/>
      <c r="R1768" s="172"/>
      <c r="S1768" s="20"/>
      <c r="AE1768" s="143"/>
      <c r="AF1768" s="143"/>
      <c r="AG1768" s="143"/>
      <c r="AH1768" s="143"/>
      <c r="AI1768" s="143"/>
      <c r="AJ1768" s="143"/>
      <c r="AK1768" s="143"/>
      <c r="AL1768" s="143"/>
      <c r="AM1768" s="145"/>
      <c r="AN1768" s="143"/>
    </row>
    <row r="1769" s="100" customFormat="1" spans="3:40">
      <c r="C1769" s="136"/>
      <c r="D1769" s="136"/>
      <c r="F1769" s="20"/>
      <c r="G1769" s="138"/>
      <c r="H1769" s="138"/>
      <c r="I1769" s="126"/>
      <c r="J1769" s="20"/>
      <c r="K1769" s="20"/>
      <c r="L1769" s="20"/>
      <c r="M1769" s="20"/>
      <c r="N1769" s="126"/>
      <c r="O1769" s="126"/>
      <c r="P1769" s="126"/>
      <c r="Q1769" s="202"/>
      <c r="R1769" s="172"/>
      <c r="S1769" s="172"/>
      <c r="AE1769" s="143"/>
      <c r="AF1769" s="143"/>
      <c r="AG1769" s="143"/>
      <c r="AH1769" s="143"/>
      <c r="AI1769" s="143"/>
      <c r="AJ1769" s="143"/>
      <c r="AK1769" s="143"/>
      <c r="AL1769" s="143"/>
      <c r="AM1769" s="143"/>
      <c r="AN1769" s="143"/>
    </row>
    <row r="1770" s="100" customFormat="1" spans="3:40">
      <c r="C1770" s="136"/>
      <c r="D1770" s="136"/>
      <c r="F1770" s="20"/>
      <c r="G1770" s="138"/>
      <c r="H1770" s="138"/>
      <c r="I1770" s="126"/>
      <c r="J1770" s="20"/>
      <c r="K1770" s="20"/>
      <c r="L1770" s="20"/>
      <c r="M1770" s="20"/>
      <c r="N1770" s="126"/>
      <c r="O1770" s="126"/>
      <c r="P1770" s="126"/>
      <c r="Q1770" s="202"/>
      <c r="R1770" s="172"/>
      <c r="S1770" s="20"/>
      <c r="AE1770" s="143"/>
      <c r="AF1770" s="143"/>
      <c r="AG1770" s="143"/>
      <c r="AH1770" s="143"/>
      <c r="AI1770" s="143"/>
      <c r="AJ1770" s="143"/>
      <c r="AK1770" s="143"/>
      <c r="AL1770" s="143"/>
      <c r="AM1770" s="145"/>
      <c r="AN1770" s="143"/>
    </row>
    <row r="1771" s="100" customFormat="1" spans="3:40">
      <c r="C1771" s="136"/>
      <c r="D1771" s="136"/>
      <c r="F1771" s="20"/>
      <c r="G1771" s="138"/>
      <c r="H1771" s="138"/>
      <c r="I1771" s="126"/>
      <c r="J1771" s="20"/>
      <c r="K1771" s="20"/>
      <c r="L1771" s="20"/>
      <c r="M1771" s="20"/>
      <c r="N1771" s="126"/>
      <c r="O1771" s="126"/>
      <c r="P1771" s="126"/>
      <c r="Q1771" s="202"/>
      <c r="R1771" s="172"/>
      <c r="S1771" s="172"/>
      <c r="AE1771" s="143"/>
      <c r="AF1771" s="143"/>
      <c r="AG1771" s="143"/>
      <c r="AH1771" s="143"/>
      <c r="AI1771" s="143"/>
      <c r="AJ1771" s="143"/>
      <c r="AK1771" s="143"/>
      <c r="AL1771" s="143"/>
      <c r="AM1771" s="143"/>
      <c r="AN1771" s="143"/>
    </row>
    <row r="1772" s="100" customFormat="1" spans="3:40">
      <c r="C1772" s="136"/>
      <c r="D1772" s="136"/>
      <c r="F1772" s="20"/>
      <c r="G1772" s="138"/>
      <c r="H1772" s="138"/>
      <c r="I1772" s="126"/>
      <c r="J1772" s="20"/>
      <c r="K1772" s="20"/>
      <c r="L1772" s="20"/>
      <c r="M1772" s="20"/>
      <c r="N1772" s="126"/>
      <c r="O1772" s="126"/>
      <c r="P1772" s="126"/>
      <c r="Q1772" s="202"/>
      <c r="R1772" s="172"/>
      <c r="S1772" s="172"/>
      <c r="AE1772" s="143"/>
      <c r="AF1772" s="143"/>
      <c r="AG1772" s="143"/>
      <c r="AH1772" s="143"/>
      <c r="AI1772" s="143"/>
      <c r="AJ1772" s="143"/>
      <c r="AK1772" s="143"/>
      <c r="AL1772" s="143"/>
      <c r="AM1772" s="143"/>
      <c r="AN1772" s="143"/>
    </row>
    <row r="1773" s="100" customFormat="1" spans="3:40">
      <c r="C1773" s="136"/>
      <c r="D1773" s="136"/>
      <c r="F1773" s="20"/>
      <c r="G1773" s="138"/>
      <c r="H1773" s="138"/>
      <c r="I1773" s="126"/>
      <c r="J1773" s="20"/>
      <c r="K1773" s="20"/>
      <c r="L1773" s="20"/>
      <c r="M1773" s="20"/>
      <c r="N1773" s="126"/>
      <c r="O1773" s="126"/>
      <c r="P1773" s="126"/>
      <c r="Q1773" s="202"/>
      <c r="R1773" s="172"/>
      <c r="S1773" s="172"/>
      <c r="AE1773" s="143"/>
      <c r="AF1773" s="143"/>
      <c r="AG1773" s="143"/>
      <c r="AH1773" s="143"/>
      <c r="AI1773" s="143"/>
      <c r="AJ1773" s="143"/>
      <c r="AK1773" s="143"/>
      <c r="AL1773" s="143"/>
      <c r="AM1773" s="143"/>
      <c r="AN1773" s="143"/>
    </row>
    <row r="1774" s="100" customFormat="1" spans="3:40">
      <c r="C1774" s="136"/>
      <c r="D1774" s="136"/>
      <c r="F1774" s="20"/>
      <c r="G1774" s="138"/>
      <c r="H1774" s="138"/>
      <c r="I1774" s="126"/>
      <c r="J1774" s="20"/>
      <c r="K1774" s="20"/>
      <c r="L1774" s="20"/>
      <c r="M1774" s="20"/>
      <c r="N1774" s="126"/>
      <c r="O1774" s="126"/>
      <c r="P1774" s="126"/>
      <c r="Q1774" s="202"/>
      <c r="R1774" s="172"/>
      <c r="S1774" s="172"/>
      <c r="AE1774" s="143"/>
      <c r="AF1774" s="143"/>
      <c r="AG1774" s="143"/>
      <c r="AH1774" s="143"/>
      <c r="AI1774" s="143"/>
      <c r="AJ1774" s="143"/>
      <c r="AK1774" s="143"/>
      <c r="AL1774" s="143"/>
      <c r="AM1774" s="143"/>
      <c r="AN1774" s="143"/>
    </row>
    <row r="1775" s="100" customFormat="1" spans="3:40">
      <c r="C1775" s="136"/>
      <c r="D1775" s="136"/>
      <c r="F1775" s="20"/>
      <c r="G1775" s="138"/>
      <c r="H1775" s="138"/>
      <c r="I1775" s="126"/>
      <c r="J1775" s="20"/>
      <c r="K1775" s="20"/>
      <c r="L1775" s="20"/>
      <c r="M1775" s="20"/>
      <c r="N1775" s="126"/>
      <c r="O1775" s="126"/>
      <c r="P1775" s="126"/>
      <c r="Q1775" s="202"/>
      <c r="R1775" s="172"/>
      <c r="S1775" s="172"/>
      <c r="AE1775" s="143"/>
      <c r="AF1775" s="143"/>
      <c r="AG1775" s="143"/>
      <c r="AH1775" s="143"/>
      <c r="AI1775" s="143"/>
      <c r="AJ1775" s="143"/>
      <c r="AK1775" s="143"/>
      <c r="AL1775" s="143"/>
      <c r="AM1775" s="143"/>
      <c r="AN1775" s="143"/>
    </row>
    <row r="1776" s="100" customFormat="1" spans="3:40">
      <c r="C1776" s="136"/>
      <c r="D1776" s="136"/>
      <c r="F1776" s="20"/>
      <c r="G1776" s="138"/>
      <c r="H1776" s="138"/>
      <c r="I1776" s="126"/>
      <c r="J1776" s="20"/>
      <c r="K1776" s="20"/>
      <c r="L1776" s="20"/>
      <c r="M1776" s="20"/>
      <c r="N1776" s="126"/>
      <c r="O1776" s="126"/>
      <c r="P1776" s="126"/>
      <c r="Q1776" s="202"/>
      <c r="R1776" s="172"/>
      <c r="S1776" s="172"/>
      <c r="AE1776" s="143"/>
      <c r="AF1776" s="143"/>
      <c r="AG1776" s="143"/>
      <c r="AH1776" s="143"/>
      <c r="AI1776" s="143"/>
      <c r="AJ1776" s="143"/>
      <c r="AK1776" s="143"/>
      <c r="AL1776" s="143"/>
      <c r="AM1776" s="143"/>
      <c r="AN1776" s="143"/>
    </row>
    <row r="1777" s="100" customFormat="1" spans="3:40">
      <c r="C1777" s="136"/>
      <c r="D1777" s="136"/>
      <c r="F1777" s="20"/>
      <c r="G1777" s="138"/>
      <c r="H1777" s="138"/>
      <c r="I1777" s="126"/>
      <c r="J1777" s="20"/>
      <c r="K1777" s="20"/>
      <c r="L1777" s="20"/>
      <c r="M1777" s="20"/>
      <c r="N1777" s="126"/>
      <c r="O1777" s="126"/>
      <c r="P1777" s="126"/>
      <c r="Q1777" s="202"/>
      <c r="R1777" s="172"/>
      <c r="S1777" s="172"/>
      <c r="AE1777" s="143"/>
      <c r="AF1777" s="143"/>
      <c r="AG1777" s="143"/>
      <c r="AH1777" s="143"/>
      <c r="AI1777" s="143"/>
      <c r="AJ1777" s="143"/>
      <c r="AK1777" s="143"/>
      <c r="AL1777" s="143"/>
      <c r="AM1777" s="145"/>
      <c r="AN1777" s="143"/>
    </row>
    <row r="1778" s="100" customFormat="1" spans="3:40">
      <c r="C1778" s="136"/>
      <c r="D1778" s="136"/>
      <c r="F1778" s="20"/>
      <c r="G1778" s="138"/>
      <c r="H1778" s="138"/>
      <c r="I1778" s="126"/>
      <c r="J1778" s="20"/>
      <c r="K1778" s="20"/>
      <c r="L1778" s="20"/>
      <c r="M1778" s="20"/>
      <c r="N1778" s="126"/>
      <c r="O1778" s="126"/>
      <c r="P1778" s="126"/>
      <c r="Q1778" s="202"/>
      <c r="R1778" s="172"/>
      <c r="S1778" s="172"/>
      <c r="AE1778" s="143"/>
      <c r="AF1778" s="143"/>
      <c r="AG1778" s="143"/>
      <c r="AH1778" s="143"/>
      <c r="AI1778" s="194"/>
      <c r="AJ1778" s="143"/>
      <c r="AK1778" s="143"/>
      <c r="AL1778" s="143"/>
      <c r="AM1778" s="143"/>
      <c r="AN1778" s="143"/>
    </row>
    <row r="1779" s="100" customFormat="1" spans="3:40">
      <c r="C1779" s="136"/>
      <c r="D1779" s="136"/>
      <c r="F1779" s="20"/>
      <c r="G1779" s="138"/>
      <c r="H1779" s="138"/>
      <c r="I1779" s="126"/>
      <c r="J1779" s="20"/>
      <c r="K1779" s="20"/>
      <c r="L1779" s="20"/>
      <c r="M1779" s="20"/>
      <c r="N1779" s="126"/>
      <c r="O1779" s="126"/>
      <c r="P1779" s="126"/>
      <c r="Q1779" s="202"/>
      <c r="R1779" s="172"/>
      <c r="S1779" s="172"/>
      <c r="AE1779" s="143"/>
      <c r="AF1779" s="143"/>
      <c r="AG1779" s="143"/>
      <c r="AH1779" s="143"/>
      <c r="AI1779" s="143"/>
      <c r="AJ1779" s="143"/>
      <c r="AK1779" s="143"/>
      <c r="AL1779" s="143"/>
      <c r="AM1779" s="143"/>
      <c r="AN1779" s="143"/>
    </row>
    <row r="1780" s="100" customFormat="1" spans="3:40">
      <c r="C1780" s="136"/>
      <c r="D1780" s="136"/>
      <c r="F1780" s="20"/>
      <c r="G1780" s="138"/>
      <c r="H1780" s="138"/>
      <c r="I1780" s="126"/>
      <c r="J1780" s="20"/>
      <c r="K1780" s="20"/>
      <c r="L1780" s="20"/>
      <c r="M1780" s="20"/>
      <c r="N1780" s="126"/>
      <c r="O1780" s="126"/>
      <c r="P1780" s="126"/>
      <c r="Q1780" s="202"/>
      <c r="R1780" s="172"/>
      <c r="S1780" s="20"/>
      <c r="AE1780" s="143"/>
      <c r="AF1780" s="143"/>
      <c r="AG1780" s="143"/>
      <c r="AH1780" s="143"/>
      <c r="AI1780" s="143"/>
      <c r="AJ1780" s="143"/>
      <c r="AK1780" s="143"/>
      <c r="AL1780" s="143"/>
      <c r="AM1780" s="143"/>
      <c r="AN1780" s="143"/>
    </row>
    <row r="1781" s="100" customFormat="1" spans="3:40">
      <c r="C1781" s="136"/>
      <c r="D1781" s="136"/>
      <c r="F1781" s="20"/>
      <c r="G1781" s="138"/>
      <c r="H1781" s="138"/>
      <c r="I1781" s="126"/>
      <c r="J1781" s="20"/>
      <c r="K1781" s="20"/>
      <c r="L1781" s="20"/>
      <c r="M1781" s="20"/>
      <c r="N1781" s="126"/>
      <c r="O1781" s="126"/>
      <c r="P1781" s="126"/>
      <c r="Q1781" s="202"/>
      <c r="R1781" s="172"/>
      <c r="S1781" s="172"/>
      <c r="AE1781" s="143"/>
      <c r="AF1781" s="143"/>
      <c r="AG1781" s="143"/>
      <c r="AH1781" s="143"/>
      <c r="AI1781" s="143"/>
      <c r="AJ1781" s="143"/>
      <c r="AK1781" s="143"/>
      <c r="AL1781" s="143"/>
      <c r="AM1781" s="143"/>
      <c r="AN1781" s="143"/>
    </row>
    <row r="1782" s="100" customFormat="1" spans="3:40">
      <c r="C1782" s="136"/>
      <c r="D1782" s="136"/>
      <c r="F1782" s="20"/>
      <c r="G1782" s="138"/>
      <c r="H1782" s="138"/>
      <c r="I1782" s="126"/>
      <c r="J1782" s="20"/>
      <c r="K1782" s="20"/>
      <c r="L1782" s="20"/>
      <c r="M1782" s="20"/>
      <c r="N1782" s="126"/>
      <c r="O1782" s="126"/>
      <c r="P1782" s="126"/>
      <c r="Q1782" s="202"/>
      <c r="R1782" s="172"/>
      <c r="S1782" s="172"/>
      <c r="AE1782" s="143"/>
      <c r="AF1782" s="143"/>
      <c r="AG1782" s="143"/>
      <c r="AH1782" s="143"/>
      <c r="AI1782" s="143"/>
      <c r="AJ1782" s="143"/>
      <c r="AK1782" s="143"/>
      <c r="AL1782" s="143"/>
      <c r="AM1782" s="143"/>
      <c r="AN1782" s="143"/>
    </row>
    <row r="1783" s="100" customFormat="1" spans="3:40">
      <c r="C1783" s="136"/>
      <c r="D1783" s="136"/>
      <c r="F1783" s="20"/>
      <c r="G1783" s="138"/>
      <c r="H1783" s="138"/>
      <c r="I1783" s="126"/>
      <c r="J1783" s="20"/>
      <c r="K1783" s="20"/>
      <c r="L1783" s="20"/>
      <c r="M1783" s="20"/>
      <c r="N1783" s="126"/>
      <c r="O1783" s="126"/>
      <c r="P1783" s="126"/>
      <c r="Q1783" s="202"/>
      <c r="R1783" s="172"/>
      <c r="S1783" s="20"/>
      <c r="AE1783" s="143"/>
      <c r="AF1783" s="143"/>
      <c r="AG1783" s="143"/>
      <c r="AH1783" s="143"/>
      <c r="AI1783" s="143"/>
      <c r="AJ1783" s="143"/>
      <c r="AK1783" s="143"/>
      <c r="AL1783" s="143"/>
      <c r="AM1783" s="143"/>
      <c r="AN1783" s="143"/>
    </row>
    <row r="1784" s="100" customFormat="1" spans="3:40">
      <c r="C1784" s="136"/>
      <c r="D1784" s="136"/>
      <c r="F1784" s="20"/>
      <c r="G1784" s="138"/>
      <c r="H1784" s="138"/>
      <c r="I1784" s="126"/>
      <c r="J1784" s="20"/>
      <c r="K1784" s="20"/>
      <c r="L1784" s="20"/>
      <c r="M1784" s="20"/>
      <c r="N1784" s="126"/>
      <c r="O1784" s="126"/>
      <c r="P1784" s="126"/>
      <c r="Q1784" s="202"/>
      <c r="R1784" s="172"/>
      <c r="S1784" s="172"/>
      <c r="AE1784" s="143"/>
      <c r="AF1784" s="143"/>
      <c r="AG1784" s="143"/>
      <c r="AH1784" s="143"/>
      <c r="AI1784" s="143"/>
      <c r="AJ1784" s="143"/>
      <c r="AK1784" s="143"/>
      <c r="AL1784" s="143"/>
      <c r="AM1784" s="145"/>
      <c r="AN1784" s="143"/>
    </row>
    <row r="1785" s="100" customFormat="1" spans="3:40">
      <c r="C1785" s="136"/>
      <c r="D1785" s="136"/>
      <c r="F1785" s="20"/>
      <c r="G1785" s="138"/>
      <c r="H1785" s="138"/>
      <c r="I1785" s="126"/>
      <c r="J1785" s="20"/>
      <c r="K1785" s="20"/>
      <c r="L1785" s="20"/>
      <c r="M1785" s="20"/>
      <c r="N1785" s="126"/>
      <c r="O1785" s="126"/>
      <c r="P1785" s="126"/>
      <c r="Q1785" s="202"/>
      <c r="R1785" s="172"/>
      <c r="S1785" s="172"/>
      <c r="AE1785" s="143"/>
      <c r="AF1785" s="143"/>
      <c r="AG1785" s="143"/>
      <c r="AH1785" s="143"/>
      <c r="AI1785" s="143"/>
      <c r="AJ1785" s="143"/>
      <c r="AK1785" s="143"/>
      <c r="AL1785" s="143"/>
      <c r="AM1785" s="143"/>
      <c r="AN1785" s="143"/>
    </row>
    <row r="1786" s="100" customFormat="1" spans="3:40">
      <c r="C1786" s="136"/>
      <c r="D1786" s="136"/>
      <c r="F1786" s="20"/>
      <c r="G1786" s="138"/>
      <c r="H1786" s="138"/>
      <c r="I1786" s="126"/>
      <c r="J1786" s="20"/>
      <c r="K1786" s="20"/>
      <c r="L1786" s="20"/>
      <c r="M1786" s="20"/>
      <c r="N1786" s="126"/>
      <c r="O1786" s="126"/>
      <c r="P1786" s="126"/>
      <c r="Q1786" s="202"/>
      <c r="R1786" s="172"/>
      <c r="S1786" s="172"/>
      <c r="AE1786" s="143"/>
      <c r="AF1786" s="143"/>
      <c r="AG1786" s="143"/>
      <c r="AH1786" s="143"/>
      <c r="AI1786" s="143"/>
      <c r="AJ1786" s="143"/>
      <c r="AK1786" s="143"/>
      <c r="AL1786" s="143"/>
      <c r="AM1786" s="143"/>
      <c r="AN1786" s="143"/>
    </row>
    <row r="1787" s="100" customFormat="1" spans="3:40">
      <c r="C1787" s="136"/>
      <c r="D1787" s="136"/>
      <c r="F1787" s="20"/>
      <c r="G1787" s="138"/>
      <c r="H1787" s="138"/>
      <c r="I1787" s="126"/>
      <c r="J1787" s="20"/>
      <c r="K1787" s="20"/>
      <c r="L1787" s="20"/>
      <c r="M1787" s="20"/>
      <c r="N1787" s="126"/>
      <c r="O1787" s="126"/>
      <c r="P1787" s="126"/>
      <c r="Q1787" s="202"/>
      <c r="R1787" s="172"/>
      <c r="S1787" s="172"/>
      <c r="AE1787" s="143"/>
      <c r="AF1787" s="143"/>
      <c r="AG1787" s="143"/>
      <c r="AH1787" s="143"/>
      <c r="AI1787" s="143"/>
      <c r="AJ1787" s="143"/>
      <c r="AK1787" s="143"/>
      <c r="AL1787" s="143"/>
      <c r="AM1787" s="143"/>
      <c r="AN1787" s="143"/>
    </row>
    <row r="1788" s="100" customFormat="1" spans="3:40">
      <c r="C1788" s="136"/>
      <c r="D1788" s="136"/>
      <c r="F1788" s="20"/>
      <c r="G1788" s="138"/>
      <c r="H1788" s="138"/>
      <c r="I1788" s="126"/>
      <c r="J1788" s="20"/>
      <c r="K1788" s="20"/>
      <c r="L1788" s="20"/>
      <c r="M1788" s="20"/>
      <c r="N1788" s="126"/>
      <c r="O1788" s="126"/>
      <c r="P1788" s="126"/>
      <c r="Q1788" s="202"/>
      <c r="R1788" s="172"/>
      <c r="S1788" s="172"/>
      <c r="AE1788" s="143"/>
      <c r="AF1788" s="143"/>
      <c r="AG1788" s="143"/>
      <c r="AH1788" s="143"/>
      <c r="AI1788" s="143"/>
      <c r="AJ1788" s="143"/>
      <c r="AK1788" s="143"/>
      <c r="AL1788" s="143"/>
      <c r="AM1788" s="143"/>
      <c r="AN1788" s="143"/>
    </row>
    <row r="1789" s="100" customFormat="1" spans="3:40">
      <c r="C1789" s="136"/>
      <c r="D1789" s="136"/>
      <c r="F1789" s="20"/>
      <c r="G1789" s="138"/>
      <c r="H1789" s="138"/>
      <c r="I1789" s="126"/>
      <c r="J1789" s="20"/>
      <c r="K1789" s="20"/>
      <c r="L1789" s="20"/>
      <c r="M1789" s="20"/>
      <c r="N1789" s="126"/>
      <c r="O1789" s="126"/>
      <c r="P1789" s="126"/>
      <c r="Q1789" s="202"/>
      <c r="R1789" s="172"/>
      <c r="S1789" s="172"/>
      <c r="AE1789" s="143"/>
      <c r="AF1789" s="143"/>
      <c r="AG1789" s="143"/>
      <c r="AH1789" s="143"/>
      <c r="AI1789" s="143"/>
      <c r="AJ1789" s="143"/>
      <c r="AK1789" s="143"/>
      <c r="AL1789" s="143"/>
      <c r="AM1789" s="143"/>
      <c r="AN1789" s="143"/>
    </row>
    <row r="1790" s="100" customFormat="1" spans="3:40">
      <c r="C1790" s="136"/>
      <c r="D1790" s="136"/>
      <c r="F1790" s="20"/>
      <c r="G1790" s="138"/>
      <c r="H1790" s="138"/>
      <c r="I1790" s="126"/>
      <c r="J1790" s="20"/>
      <c r="K1790" s="20"/>
      <c r="L1790" s="20"/>
      <c r="M1790" s="20"/>
      <c r="N1790" s="126"/>
      <c r="O1790" s="126"/>
      <c r="P1790" s="126"/>
      <c r="Q1790" s="202"/>
      <c r="R1790" s="172"/>
      <c r="S1790" s="172"/>
      <c r="AE1790" s="143"/>
      <c r="AF1790" s="143"/>
      <c r="AG1790" s="143"/>
      <c r="AH1790" s="143"/>
      <c r="AI1790" s="143"/>
      <c r="AJ1790" s="143"/>
      <c r="AK1790" s="143"/>
      <c r="AL1790" s="143"/>
      <c r="AM1790" s="143"/>
      <c r="AN1790" s="143"/>
    </row>
    <row r="1791" s="100" customFormat="1" spans="3:40">
      <c r="C1791" s="136"/>
      <c r="D1791" s="136"/>
      <c r="F1791" s="20"/>
      <c r="G1791" s="138"/>
      <c r="H1791" s="138"/>
      <c r="I1791" s="126"/>
      <c r="J1791" s="20"/>
      <c r="K1791" s="20"/>
      <c r="L1791" s="20"/>
      <c r="M1791" s="20"/>
      <c r="N1791" s="126"/>
      <c r="O1791" s="126"/>
      <c r="P1791" s="126"/>
      <c r="Q1791" s="202"/>
      <c r="R1791" s="172"/>
      <c r="S1791" s="172"/>
      <c r="AE1791" s="143"/>
      <c r="AF1791" s="143"/>
      <c r="AG1791" s="143"/>
      <c r="AH1791" s="143"/>
      <c r="AI1791" s="143"/>
      <c r="AJ1791" s="143"/>
      <c r="AK1791" s="143"/>
      <c r="AL1791" s="143"/>
      <c r="AM1791" s="145"/>
      <c r="AN1791" s="143"/>
    </row>
    <row r="1792" s="100" customFormat="1" spans="3:40">
      <c r="C1792" s="136"/>
      <c r="D1792" s="136"/>
      <c r="F1792" s="20"/>
      <c r="G1792" s="138"/>
      <c r="H1792" s="138"/>
      <c r="I1792" s="126"/>
      <c r="J1792" s="20"/>
      <c r="K1792" s="20"/>
      <c r="L1792" s="20"/>
      <c r="M1792" s="20"/>
      <c r="N1792" s="126"/>
      <c r="O1792" s="126"/>
      <c r="P1792" s="126"/>
      <c r="Q1792" s="202"/>
      <c r="R1792" s="172"/>
      <c r="S1792" s="20"/>
      <c r="AE1792" s="143"/>
      <c r="AF1792" s="143"/>
      <c r="AG1792" s="143"/>
      <c r="AH1792" s="143"/>
      <c r="AI1792" s="143"/>
      <c r="AJ1792" s="143"/>
      <c r="AK1792" s="143"/>
      <c r="AL1792" s="143"/>
      <c r="AM1792" s="145"/>
      <c r="AN1792" s="143"/>
    </row>
    <row r="1793" s="100" customFormat="1" spans="3:40">
      <c r="C1793" s="136"/>
      <c r="D1793" s="136"/>
      <c r="F1793" s="20"/>
      <c r="G1793" s="138"/>
      <c r="H1793" s="138"/>
      <c r="I1793" s="126"/>
      <c r="J1793" s="20"/>
      <c r="K1793" s="20"/>
      <c r="L1793" s="20"/>
      <c r="M1793" s="20"/>
      <c r="N1793" s="126"/>
      <c r="O1793" s="126"/>
      <c r="P1793" s="126"/>
      <c r="Q1793" s="202"/>
      <c r="R1793" s="172"/>
      <c r="S1793" s="172"/>
      <c r="AE1793" s="143"/>
      <c r="AF1793" s="143"/>
      <c r="AG1793" s="143"/>
      <c r="AH1793" s="143"/>
      <c r="AI1793" s="143"/>
      <c r="AJ1793" s="143"/>
      <c r="AK1793" s="143"/>
      <c r="AL1793" s="143"/>
      <c r="AM1793" s="145"/>
      <c r="AN1793" s="143"/>
    </row>
    <row r="1794" s="100" customFormat="1" spans="3:40">
      <c r="C1794" s="136"/>
      <c r="D1794" s="136"/>
      <c r="F1794" s="20"/>
      <c r="G1794" s="138"/>
      <c r="H1794" s="138"/>
      <c r="I1794" s="126"/>
      <c r="J1794" s="20"/>
      <c r="K1794" s="20"/>
      <c r="L1794" s="20"/>
      <c r="M1794" s="20"/>
      <c r="N1794" s="126"/>
      <c r="O1794" s="126"/>
      <c r="P1794" s="126"/>
      <c r="Q1794" s="202"/>
      <c r="R1794" s="172"/>
      <c r="S1794" s="172"/>
      <c r="AE1794" s="143"/>
      <c r="AF1794" s="143"/>
      <c r="AG1794" s="143"/>
      <c r="AH1794" s="143"/>
      <c r="AI1794" s="143"/>
      <c r="AJ1794" s="143"/>
      <c r="AK1794" s="143"/>
      <c r="AL1794" s="143"/>
      <c r="AM1794" s="145"/>
      <c r="AN1794" s="143"/>
    </row>
    <row r="1795" s="100" customFormat="1" spans="3:40">
      <c r="C1795" s="136"/>
      <c r="D1795" s="136"/>
      <c r="F1795" s="20"/>
      <c r="G1795" s="138"/>
      <c r="H1795" s="138"/>
      <c r="I1795" s="126"/>
      <c r="J1795" s="20"/>
      <c r="K1795" s="20"/>
      <c r="L1795" s="20"/>
      <c r="M1795" s="20"/>
      <c r="N1795" s="126"/>
      <c r="O1795" s="126"/>
      <c r="P1795" s="126"/>
      <c r="Q1795" s="202"/>
      <c r="R1795" s="172"/>
      <c r="S1795" s="20"/>
      <c r="AE1795" s="143"/>
      <c r="AF1795" s="143"/>
      <c r="AG1795" s="143"/>
      <c r="AH1795" s="143"/>
      <c r="AI1795" s="143"/>
      <c r="AJ1795" s="143"/>
      <c r="AK1795" s="143"/>
      <c r="AL1795" s="143"/>
      <c r="AM1795" s="145"/>
      <c r="AN1795" s="143"/>
    </row>
    <row r="1796" s="100" customFormat="1" spans="3:40">
      <c r="C1796" s="136"/>
      <c r="D1796" s="136"/>
      <c r="F1796" s="20"/>
      <c r="G1796" s="138"/>
      <c r="H1796" s="138"/>
      <c r="I1796" s="126"/>
      <c r="J1796" s="20"/>
      <c r="K1796" s="20"/>
      <c r="L1796" s="20"/>
      <c r="M1796" s="20"/>
      <c r="N1796" s="126"/>
      <c r="O1796" s="126"/>
      <c r="P1796" s="126"/>
      <c r="Q1796" s="202"/>
      <c r="R1796" s="172"/>
      <c r="S1796" s="172"/>
      <c r="AE1796" s="143"/>
      <c r="AF1796" s="143"/>
      <c r="AG1796" s="143"/>
      <c r="AH1796" s="143"/>
      <c r="AI1796" s="143"/>
      <c r="AJ1796" s="143"/>
      <c r="AK1796" s="143"/>
      <c r="AL1796" s="143"/>
      <c r="AM1796" s="145"/>
      <c r="AN1796" s="143"/>
    </row>
    <row r="1797" s="100" customFormat="1" spans="3:40">
      <c r="C1797" s="136"/>
      <c r="D1797" s="136"/>
      <c r="F1797" s="20"/>
      <c r="G1797" s="138"/>
      <c r="H1797" s="138"/>
      <c r="I1797" s="126"/>
      <c r="J1797" s="20"/>
      <c r="K1797" s="20"/>
      <c r="L1797" s="20"/>
      <c r="M1797" s="20"/>
      <c r="N1797" s="126"/>
      <c r="O1797" s="126"/>
      <c r="P1797" s="126"/>
      <c r="Q1797" s="202"/>
      <c r="R1797" s="172"/>
      <c r="S1797" s="172"/>
      <c r="AE1797" s="143"/>
      <c r="AF1797" s="143"/>
      <c r="AG1797" s="143"/>
      <c r="AH1797" s="143"/>
      <c r="AI1797" s="143"/>
      <c r="AJ1797" s="143"/>
      <c r="AK1797" s="143"/>
      <c r="AL1797" s="143"/>
      <c r="AM1797" s="143"/>
      <c r="AN1797" s="143"/>
    </row>
    <row r="1798" s="100" customFormat="1" spans="3:40">
      <c r="C1798" s="136"/>
      <c r="D1798" s="136"/>
      <c r="F1798" s="20"/>
      <c r="G1798" s="138"/>
      <c r="H1798" s="138"/>
      <c r="I1798" s="126"/>
      <c r="J1798" s="20"/>
      <c r="K1798" s="20"/>
      <c r="L1798" s="20"/>
      <c r="M1798" s="20"/>
      <c r="N1798" s="126"/>
      <c r="O1798" s="126"/>
      <c r="P1798" s="126"/>
      <c r="Q1798" s="202"/>
      <c r="R1798" s="172"/>
      <c r="S1798" s="172"/>
      <c r="AE1798" s="143"/>
      <c r="AF1798" s="143"/>
      <c r="AG1798" s="143"/>
      <c r="AH1798" s="143"/>
      <c r="AI1798" s="143"/>
      <c r="AJ1798" s="143"/>
      <c r="AK1798" s="143"/>
      <c r="AL1798" s="143"/>
      <c r="AM1798" s="145"/>
      <c r="AN1798" s="143"/>
    </row>
    <row r="1799" s="100" customFormat="1" spans="3:40">
      <c r="C1799" s="136"/>
      <c r="D1799" s="136"/>
      <c r="F1799" s="20"/>
      <c r="G1799" s="138"/>
      <c r="H1799" s="138"/>
      <c r="I1799" s="126"/>
      <c r="J1799" s="20"/>
      <c r="K1799" s="20"/>
      <c r="L1799" s="20"/>
      <c r="M1799" s="20"/>
      <c r="N1799" s="126"/>
      <c r="O1799" s="126"/>
      <c r="P1799" s="126"/>
      <c r="Q1799" s="202"/>
      <c r="R1799" s="172"/>
      <c r="S1799" s="172"/>
      <c r="AE1799" s="143"/>
      <c r="AF1799" s="143"/>
      <c r="AG1799" s="143"/>
      <c r="AH1799" s="143"/>
      <c r="AI1799" s="143"/>
      <c r="AJ1799" s="143"/>
      <c r="AK1799" s="143"/>
      <c r="AL1799" s="143"/>
      <c r="AM1799" s="145"/>
      <c r="AN1799" s="143"/>
    </row>
    <row r="1800" s="100" customFormat="1" spans="3:40">
      <c r="C1800" s="136"/>
      <c r="D1800" s="136"/>
      <c r="F1800" s="20"/>
      <c r="G1800" s="138"/>
      <c r="H1800" s="138"/>
      <c r="I1800" s="126"/>
      <c r="J1800" s="20"/>
      <c r="K1800" s="20"/>
      <c r="L1800" s="20"/>
      <c r="M1800" s="20"/>
      <c r="N1800" s="126"/>
      <c r="O1800" s="126"/>
      <c r="P1800" s="126"/>
      <c r="Q1800" s="202"/>
      <c r="R1800" s="172"/>
      <c r="S1800" s="172"/>
      <c r="AE1800" s="143"/>
      <c r="AF1800" s="143"/>
      <c r="AG1800" s="143"/>
      <c r="AH1800" s="143"/>
      <c r="AI1800" s="143"/>
      <c r="AJ1800" s="143"/>
      <c r="AK1800" s="143"/>
      <c r="AL1800" s="143"/>
      <c r="AM1800" s="145"/>
      <c r="AN1800" s="143"/>
    </row>
    <row r="1801" s="100" customFormat="1" spans="3:40">
      <c r="C1801" s="136"/>
      <c r="D1801" s="136"/>
      <c r="F1801" s="20"/>
      <c r="G1801" s="138"/>
      <c r="H1801" s="138"/>
      <c r="I1801" s="126"/>
      <c r="J1801" s="20"/>
      <c r="K1801" s="20"/>
      <c r="L1801" s="20"/>
      <c r="M1801" s="20"/>
      <c r="N1801" s="126"/>
      <c r="O1801" s="126"/>
      <c r="P1801" s="126"/>
      <c r="Q1801" s="202"/>
      <c r="R1801" s="172"/>
      <c r="S1801" s="172"/>
      <c r="AE1801" s="143"/>
      <c r="AF1801" s="143"/>
      <c r="AG1801" s="143"/>
      <c r="AH1801" s="143"/>
      <c r="AI1801" s="143"/>
      <c r="AJ1801" s="143"/>
      <c r="AK1801" s="143"/>
      <c r="AL1801" s="143"/>
      <c r="AM1801" s="145"/>
      <c r="AN1801" s="143"/>
    </row>
    <row r="1802" s="100" customFormat="1" spans="3:40">
      <c r="C1802" s="136"/>
      <c r="D1802" s="136"/>
      <c r="F1802" s="20"/>
      <c r="G1802" s="138"/>
      <c r="H1802" s="138"/>
      <c r="I1802" s="126"/>
      <c r="J1802" s="20"/>
      <c r="K1802" s="20"/>
      <c r="L1802" s="20"/>
      <c r="M1802" s="20"/>
      <c r="N1802" s="126"/>
      <c r="O1802" s="126"/>
      <c r="P1802" s="126"/>
      <c r="Q1802" s="202"/>
      <c r="R1802" s="172"/>
      <c r="S1802" s="172"/>
      <c r="AE1802" s="143"/>
      <c r="AF1802" s="143"/>
      <c r="AG1802" s="143"/>
      <c r="AH1802" s="143"/>
      <c r="AI1802" s="143"/>
      <c r="AJ1802" s="143"/>
      <c r="AK1802" s="143"/>
      <c r="AL1802" s="143"/>
      <c r="AM1802" s="143"/>
      <c r="AN1802" s="143"/>
    </row>
    <row r="1803" s="100" customFormat="1" spans="3:40">
      <c r="C1803" s="136"/>
      <c r="D1803" s="136"/>
      <c r="F1803" s="20"/>
      <c r="G1803" s="138"/>
      <c r="H1803" s="138"/>
      <c r="I1803" s="126"/>
      <c r="J1803" s="20"/>
      <c r="K1803" s="20"/>
      <c r="L1803" s="20"/>
      <c r="M1803" s="20"/>
      <c r="N1803" s="126"/>
      <c r="O1803" s="126"/>
      <c r="P1803" s="126"/>
      <c r="Q1803" s="202"/>
      <c r="R1803" s="172"/>
      <c r="S1803" s="172"/>
      <c r="AE1803" s="143"/>
      <c r="AF1803" s="143"/>
      <c r="AG1803" s="143"/>
      <c r="AH1803" s="143"/>
      <c r="AI1803" s="143"/>
      <c r="AJ1803" s="143"/>
      <c r="AK1803" s="143"/>
      <c r="AL1803" s="143"/>
      <c r="AM1803" s="145"/>
      <c r="AN1803" s="143"/>
    </row>
    <row r="1804" s="100" customFormat="1" spans="3:40">
      <c r="C1804" s="136"/>
      <c r="D1804" s="136"/>
      <c r="F1804" s="20"/>
      <c r="G1804" s="138"/>
      <c r="H1804" s="138"/>
      <c r="I1804" s="126"/>
      <c r="J1804" s="20"/>
      <c r="K1804" s="20"/>
      <c r="L1804" s="20"/>
      <c r="M1804" s="20"/>
      <c r="N1804" s="126"/>
      <c r="O1804" s="126"/>
      <c r="P1804" s="126"/>
      <c r="Q1804" s="202"/>
      <c r="R1804" s="172"/>
      <c r="S1804" s="20"/>
      <c r="AE1804" s="143"/>
      <c r="AF1804" s="143"/>
      <c r="AG1804" s="143"/>
      <c r="AH1804" s="143"/>
      <c r="AI1804" s="143"/>
      <c r="AJ1804" s="143"/>
      <c r="AK1804" s="143"/>
      <c r="AL1804" s="143"/>
      <c r="AM1804" s="145"/>
      <c r="AN1804" s="143"/>
    </row>
    <row r="1805" s="100" customFormat="1" spans="3:40">
      <c r="C1805" s="136"/>
      <c r="D1805" s="136"/>
      <c r="F1805" s="15"/>
      <c r="G1805" s="138"/>
      <c r="H1805" s="138"/>
      <c r="I1805" s="126"/>
      <c r="J1805" s="15"/>
      <c r="K1805" s="15"/>
      <c r="L1805" s="20"/>
      <c r="M1805" s="20"/>
      <c r="N1805" s="126"/>
      <c r="O1805" s="126"/>
      <c r="P1805" s="126"/>
      <c r="Q1805" s="171"/>
      <c r="R1805" s="172"/>
      <c r="S1805" s="172"/>
      <c r="AE1805" s="143"/>
      <c r="AF1805" s="143"/>
      <c r="AG1805" s="143"/>
      <c r="AH1805" s="143"/>
      <c r="AI1805" s="143"/>
      <c r="AJ1805" s="143"/>
      <c r="AK1805" s="143"/>
      <c r="AL1805" s="143"/>
      <c r="AM1805" s="143"/>
      <c r="AN1805" s="143"/>
    </row>
    <row r="1806" s="100" customFormat="1" spans="3:40">
      <c r="C1806" s="136"/>
      <c r="D1806" s="136"/>
      <c r="F1806" s="15"/>
      <c r="G1806" s="138"/>
      <c r="H1806" s="138"/>
      <c r="I1806" s="126"/>
      <c r="J1806" s="15"/>
      <c r="K1806" s="15"/>
      <c r="L1806" s="20"/>
      <c r="M1806" s="20"/>
      <c r="N1806" s="126"/>
      <c r="O1806" s="126"/>
      <c r="P1806" s="126"/>
      <c r="Q1806" s="171"/>
      <c r="R1806" s="172"/>
      <c r="S1806" s="172"/>
      <c r="AE1806" s="143"/>
      <c r="AF1806" s="143"/>
      <c r="AG1806" s="143"/>
      <c r="AH1806" s="143"/>
      <c r="AI1806" s="143"/>
      <c r="AJ1806" s="143"/>
      <c r="AK1806" s="143"/>
      <c r="AL1806" s="143"/>
      <c r="AM1806" s="208"/>
      <c r="AN1806" s="143"/>
    </row>
    <row r="1807" s="100" customFormat="1" spans="3:40">
      <c r="C1807" s="136"/>
      <c r="D1807" s="136"/>
      <c r="F1807" s="15"/>
      <c r="G1807" s="138"/>
      <c r="H1807" s="138"/>
      <c r="I1807" s="126"/>
      <c r="J1807" s="15"/>
      <c r="K1807" s="15"/>
      <c r="L1807" s="20"/>
      <c r="M1807" s="20"/>
      <c r="N1807" s="126"/>
      <c r="O1807" s="126"/>
      <c r="P1807" s="126"/>
      <c r="Q1807" s="171"/>
      <c r="R1807" s="172"/>
      <c r="S1807" s="172"/>
      <c r="AE1807" s="143"/>
      <c r="AF1807" s="143"/>
      <c r="AG1807" s="143"/>
      <c r="AH1807" s="143"/>
      <c r="AI1807" s="143"/>
      <c r="AJ1807" s="143"/>
      <c r="AK1807" s="143"/>
      <c r="AL1807" s="143"/>
      <c r="AM1807" s="143"/>
      <c r="AN1807" s="143"/>
    </row>
    <row r="1808" s="100" customFormat="1" spans="3:40">
      <c r="C1808" s="136"/>
      <c r="D1808" s="136"/>
      <c r="F1808" s="15"/>
      <c r="G1808" s="138"/>
      <c r="H1808" s="138"/>
      <c r="I1808" s="126"/>
      <c r="J1808" s="15"/>
      <c r="K1808" s="15"/>
      <c r="L1808" s="20"/>
      <c r="M1808" s="20"/>
      <c r="N1808" s="126"/>
      <c r="O1808" s="126"/>
      <c r="P1808" s="126"/>
      <c r="Q1808" s="171"/>
      <c r="R1808" s="172"/>
      <c r="S1808" s="172"/>
      <c r="AE1808" s="143"/>
      <c r="AF1808" s="143"/>
      <c r="AG1808" s="143"/>
      <c r="AH1808" s="143"/>
      <c r="AI1808" s="143"/>
      <c r="AJ1808" s="143"/>
      <c r="AK1808" s="143"/>
      <c r="AL1808" s="143"/>
      <c r="AM1808" s="143"/>
      <c r="AN1808" s="143"/>
    </row>
    <row r="1809" s="100" customFormat="1" spans="3:40">
      <c r="C1809" s="136"/>
      <c r="D1809" s="136"/>
      <c r="F1809" s="15"/>
      <c r="G1809" s="138"/>
      <c r="H1809" s="138"/>
      <c r="I1809" s="126"/>
      <c r="J1809" s="15"/>
      <c r="K1809" s="15"/>
      <c r="L1809" s="20"/>
      <c r="M1809" s="20"/>
      <c r="N1809" s="126"/>
      <c r="O1809" s="126"/>
      <c r="P1809" s="126"/>
      <c r="Q1809" s="171"/>
      <c r="R1809" s="172"/>
      <c r="S1809" s="172"/>
      <c r="AE1809" s="143"/>
      <c r="AF1809" s="143"/>
      <c r="AG1809" s="143"/>
      <c r="AH1809" s="143"/>
      <c r="AI1809" s="143"/>
      <c r="AJ1809" s="143"/>
      <c r="AK1809" s="143"/>
      <c r="AL1809" s="143"/>
      <c r="AM1809" s="143"/>
      <c r="AN1809" s="143"/>
    </row>
    <row r="1810" s="100" customFormat="1" spans="3:40">
      <c r="C1810" s="136"/>
      <c r="D1810" s="136"/>
      <c r="F1810" s="15"/>
      <c r="G1810" s="138"/>
      <c r="H1810" s="138"/>
      <c r="I1810" s="126"/>
      <c r="J1810" s="15"/>
      <c r="K1810" s="15"/>
      <c r="L1810" s="20"/>
      <c r="M1810" s="20"/>
      <c r="N1810" s="126"/>
      <c r="O1810" s="126"/>
      <c r="P1810" s="126"/>
      <c r="Q1810" s="171"/>
      <c r="R1810" s="172"/>
      <c r="S1810" s="172"/>
      <c r="AE1810" s="143"/>
      <c r="AF1810" s="143"/>
      <c r="AG1810" s="143"/>
      <c r="AH1810" s="143"/>
      <c r="AI1810" s="143"/>
      <c r="AJ1810" s="143"/>
      <c r="AK1810" s="143"/>
      <c r="AL1810" s="143"/>
      <c r="AM1810" s="143"/>
      <c r="AN1810" s="143"/>
    </row>
    <row r="1811" s="100" customFormat="1" spans="3:40">
      <c r="C1811" s="136"/>
      <c r="D1811" s="136"/>
      <c r="F1811" s="15"/>
      <c r="G1811" s="138"/>
      <c r="H1811" s="138"/>
      <c r="I1811" s="126"/>
      <c r="J1811" s="15"/>
      <c r="K1811" s="15"/>
      <c r="L1811" s="20"/>
      <c r="M1811" s="20"/>
      <c r="N1811" s="126"/>
      <c r="O1811" s="126"/>
      <c r="P1811" s="126"/>
      <c r="Q1811" s="171"/>
      <c r="R1811" s="172"/>
      <c r="S1811" s="172"/>
      <c r="AE1811" s="143"/>
      <c r="AF1811" s="143"/>
      <c r="AG1811" s="143"/>
      <c r="AH1811" s="143"/>
      <c r="AI1811" s="143"/>
      <c r="AJ1811" s="143"/>
      <c r="AK1811" s="143"/>
      <c r="AL1811" s="143"/>
      <c r="AM1811" s="143"/>
      <c r="AN1811" s="143"/>
    </row>
    <row r="1812" s="100" customFormat="1" spans="3:40">
      <c r="C1812" s="136"/>
      <c r="D1812" s="136"/>
      <c r="F1812" s="15"/>
      <c r="G1812" s="138"/>
      <c r="H1812" s="138"/>
      <c r="I1812" s="126"/>
      <c r="J1812" s="15"/>
      <c r="K1812" s="15"/>
      <c r="L1812" s="20"/>
      <c r="M1812" s="20"/>
      <c r="N1812" s="126"/>
      <c r="O1812" s="126"/>
      <c r="P1812" s="126"/>
      <c r="Q1812" s="171"/>
      <c r="R1812" s="172"/>
      <c r="S1812" s="172"/>
      <c r="AE1812" s="143"/>
      <c r="AF1812" s="143"/>
      <c r="AG1812" s="143"/>
      <c r="AH1812" s="143"/>
      <c r="AI1812" s="143"/>
      <c r="AJ1812" s="143"/>
      <c r="AK1812" s="143"/>
      <c r="AL1812" s="143"/>
      <c r="AM1812" s="143"/>
      <c r="AN1812" s="143"/>
    </row>
    <row r="1813" s="100" customFormat="1" spans="3:40">
      <c r="C1813" s="136"/>
      <c r="D1813" s="136"/>
      <c r="F1813" s="15"/>
      <c r="G1813" s="138"/>
      <c r="H1813" s="138"/>
      <c r="I1813" s="126"/>
      <c r="J1813" s="15"/>
      <c r="K1813" s="15"/>
      <c r="L1813" s="20"/>
      <c r="M1813" s="20"/>
      <c r="N1813" s="126"/>
      <c r="O1813" s="126"/>
      <c r="P1813" s="126"/>
      <c r="Q1813" s="171"/>
      <c r="R1813" s="172"/>
      <c r="S1813" s="172"/>
      <c r="AE1813" s="143"/>
      <c r="AF1813" s="143"/>
      <c r="AG1813" s="143"/>
      <c r="AH1813" s="143"/>
      <c r="AI1813" s="143"/>
      <c r="AJ1813" s="143"/>
      <c r="AK1813" s="143"/>
      <c r="AL1813" s="143"/>
      <c r="AM1813" s="208"/>
      <c r="AN1813" s="143"/>
    </row>
    <row r="1814" s="100" customFormat="1" spans="3:40">
      <c r="C1814" s="136"/>
      <c r="D1814" s="136"/>
      <c r="F1814" s="15"/>
      <c r="G1814" s="138"/>
      <c r="H1814" s="138"/>
      <c r="I1814" s="126"/>
      <c r="J1814" s="15"/>
      <c r="K1814" s="15"/>
      <c r="L1814" s="20"/>
      <c r="M1814" s="20"/>
      <c r="N1814" s="126"/>
      <c r="O1814" s="126"/>
      <c r="P1814" s="126"/>
      <c r="Q1814" s="171"/>
      <c r="R1814" s="172"/>
      <c r="S1814" s="172"/>
      <c r="AE1814" s="143"/>
      <c r="AF1814" s="143"/>
      <c r="AG1814" s="143"/>
      <c r="AH1814" s="143"/>
      <c r="AI1814" s="143"/>
      <c r="AJ1814" s="143"/>
      <c r="AK1814" s="143"/>
      <c r="AL1814" s="143"/>
      <c r="AM1814" s="208"/>
      <c r="AN1814" s="143"/>
    </row>
    <row r="1815" s="100" customFormat="1" spans="3:40">
      <c r="C1815" s="136"/>
      <c r="D1815" s="136"/>
      <c r="F1815" s="15"/>
      <c r="G1815" s="138"/>
      <c r="H1815" s="138"/>
      <c r="I1815" s="126"/>
      <c r="J1815" s="15"/>
      <c r="K1815" s="15"/>
      <c r="L1815" s="20"/>
      <c r="M1815" s="20"/>
      <c r="N1815" s="126"/>
      <c r="O1815" s="126"/>
      <c r="P1815" s="126"/>
      <c r="Q1815" s="171"/>
      <c r="R1815" s="172"/>
      <c r="S1815" s="172"/>
      <c r="AE1815" s="143"/>
      <c r="AF1815" s="143"/>
      <c r="AG1815" s="143"/>
      <c r="AH1815" s="143"/>
      <c r="AI1815" s="143"/>
      <c r="AJ1815" s="143"/>
      <c r="AK1815" s="143"/>
      <c r="AL1815" s="143"/>
      <c r="AM1815" s="208"/>
      <c r="AN1815" s="143"/>
    </row>
    <row r="1816" s="100" customFormat="1" spans="3:40">
      <c r="C1816" s="136"/>
      <c r="D1816" s="136"/>
      <c r="F1816" s="15"/>
      <c r="G1816" s="138"/>
      <c r="H1816" s="138"/>
      <c r="I1816" s="126"/>
      <c r="J1816" s="15"/>
      <c r="K1816" s="15"/>
      <c r="L1816" s="20"/>
      <c r="M1816" s="20"/>
      <c r="N1816" s="126"/>
      <c r="O1816" s="126"/>
      <c r="P1816" s="126"/>
      <c r="Q1816" s="171"/>
      <c r="R1816" s="172"/>
      <c r="S1816" s="172"/>
      <c r="AE1816" s="143"/>
      <c r="AF1816" s="143"/>
      <c r="AG1816" s="143"/>
      <c r="AH1816" s="143"/>
      <c r="AI1816" s="143"/>
      <c r="AJ1816" s="143"/>
      <c r="AK1816" s="143"/>
      <c r="AL1816" s="143"/>
      <c r="AM1816" s="208"/>
      <c r="AN1816" s="143"/>
    </row>
    <row r="1817" s="100" customFormat="1" spans="3:40">
      <c r="C1817" s="136"/>
      <c r="D1817" s="136"/>
      <c r="F1817" s="15"/>
      <c r="G1817" s="138"/>
      <c r="H1817" s="138"/>
      <c r="I1817" s="126"/>
      <c r="J1817" s="15"/>
      <c r="K1817" s="15"/>
      <c r="L1817" s="20"/>
      <c r="M1817" s="20"/>
      <c r="N1817" s="126"/>
      <c r="O1817" s="126"/>
      <c r="P1817" s="126"/>
      <c r="Q1817" s="171"/>
      <c r="R1817" s="172"/>
      <c r="S1817" s="172"/>
      <c r="AE1817" s="143"/>
      <c r="AF1817" s="143"/>
      <c r="AG1817" s="143"/>
      <c r="AH1817" s="143"/>
      <c r="AI1817" s="143"/>
      <c r="AJ1817" s="143"/>
      <c r="AK1817" s="143"/>
      <c r="AL1817" s="143"/>
      <c r="AM1817" s="208"/>
      <c r="AN1817" s="143"/>
    </row>
    <row r="1818" s="100" customFormat="1" spans="3:40">
      <c r="C1818" s="136"/>
      <c r="D1818" s="136"/>
      <c r="F1818" s="15"/>
      <c r="G1818" s="138"/>
      <c r="H1818" s="138"/>
      <c r="I1818" s="126"/>
      <c r="J1818" s="15"/>
      <c r="K1818" s="15"/>
      <c r="L1818" s="20"/>
      <c r="M1818" s="20"/>
      <c r="N1818" s="126"/>
      <c r="O1818" s="126"/>
      <c r="P1818" s="126"/>
      <c r="Q1818" s="171"/>
      <c r="R1818" s="172"/>
      <c r="S1818" s="172"/>
      <c r="AE1818" s="143"/>
      <c r="AF1818" s="143"/>
      <c r="AG1818" s="143"/>
      <c r="AH1818" s="143"/>
      <c r="AI1818" s="143"/>
      <c r="AJ1818" s="143"/>
      <c r="AK1818" s="143"/>
      <c r="AL1818" s="143"/>
      <c r="AM1818" s="208"/>
      <c r="AN1818" s="143"/>
    </row>
    <row r="1819" s="100" customFormat="1" spans="3:40">
      <c r="C1819" s="136"/>
      <c r="D1819" s="136"/>
      <c r="F1819" s="15"/>
      <c r="G1819" s="138"/>
      <c r="H1819" s="138"/>
      <c r="I1819" s="126"/>
      <c r="J1819" s="15"/>
      <c r="K1819" s="15"/>
      <c r="L1819" s="20"/>
      <c r="M1819" s="20"/>
      <c r="N1819" s="126"/>
      <c r="O1819" s="126"/>
      <c r="P1819" s="126"/>
      <c r="Q1819" s="171"/>
      <c r="R1819" s="172"/>
      <c r="S1819" s="172"/>
      <c r="AE1819" s="143"/>
      <c r="AF1819" s="143"/>
      <c r="AG1819" s="143"/>
      <c r="AH1819" s="143"/>
      <c r="AI1819" s="143"/>
      <c r="AJ1819" s="143"/>
      <c r="AK1819" s="143"/>
      <c r="AL1819" s="143"/>
      <c r="AM1819" s="143"/>
      <c r="AN1819" s="143"/>
    </row>
    <row r="1820" s="100" customFormat="1" spans="3:40">
      <c r="C1820" s="136"/>
      <c r="D1820" s="136"/>
      <c r="F1820" s="15"/>
      <c r="G1820" s="138"/>
      <c r="H1820" s="138"/>
      <c r="I1820" s="126"/>
      <c r="J1820" s="15"/>
      <c r="K1820" s="15"/>
      <c r="L1820" s="20"/>
      <c r="M1820" s="20"/>
      <c r="N1820" s="126"/>
      <c r="O1820" s="126"/>
      <c r="P1820" s="126"/>
      <c r="Q1820" s="171"/>
      <c r="R1820" s="172"/>
      <c r="S1820" s="172"/>
      <c r="AE1820" s="15"/>
      <c r="AF1820" s="15"/>
      <c r="AG1820" s="15"/>
      <c r="AH1820" s="15"/>
      <c r="AI1820" s="15"/>
      <c r="AJ1820" s="15"/>
      <c r="AK1820" s="15"/>
      <c r="AL1820" s="15"/>
      <c r="AM1820" s="209"/>
      <c r="AN1820" s="15"/>
    </row>
    <row r="1821" s="100" customFormat="1" spans="3:40">
      <c r="C1821" s="136"/>
      <c r="D1821" s="136"/>
      <c r="F1821" s="15"/>
      <c r="G1821" s="138"/>
      <c r="H1821" s="138"/>
      <c r="I1821" s="126"/>
      <c r="J1821" s="15"/>
      <c r="K1821" s="15"/>
      <c r="L1821" s="20"/>
      <c r="M1821" s="20"/>
      <c r="N1821" s="126"/>
      <c r="O1821" s="126"/>
      <c r="P1821" s="126"/>
      <c r="Q1821" s="171"/>
      <c r="R1821" s="172"/>
      <c r="S1821" s="172"/>
      <c r="AE1821" s="15"/>
      <c r="AF1821" s="15"/>
      <c r="AG1821" s="15"/>
      <c r="AH1821" s="15"/>
      <c r="AI1821" s="15"/>
      <c r="AJ1821" s="15"/>
      <c r="AK1821" s="15"/>
      <c r="AL1821" s="15"/>
      <c r="AM1821" s="209"/>
      <c r="AN1821" s="15"/>
    </row>
    <row r="1822" s="100" customFormat="1" spans="3:40">
      <c r="C1822" s="136"/>
      <c r="D1822" s="136"/>
      <c r="F1822" s="15"/>
      <c r="G1822" s="138"/>
      <c r="H1822" s="138"/>
      <c r="I1822" s="126"/>
      <c r="J1822" s="15"/>
      <c r="K1822" s="15"/>
      <c r="L1822" s="20"/>
      <c r="M1822" s="20"/>
      <c r="N1822" s="126"/>
      <c r="O1822" s="126"/>
      <c r="P1822" s="126"/>
      <c r="Q1822" s="171"/>
      <c r="R1822" s="172"/>
      <c r="S1822" s="172"/>
      <c r="AE1822" s="15"/>
      <c r="AF1822" s="15"/>
      <c r="AG1822" s="15"/>
      <c r="AH1822" s="15"/>
      <c r="AI1822" s="15"/>
      <c r="AJ1822" s="15"/>
      <c r="AK1822" s="15"/>
      <c r="AL1822" s="15"/>
      <c r="AM1822" s="209"/>
      <c r="AN1822" s="15"/>
    </row>
    <row r="1823" s="100" customFormat="1" spans="3:40">
      <c r="C1823" s="136"/>
      <c r="D1823" s="136"/>
      <c r="F1823" s="15"/>
      <c r="G1823" s="138"/>
      <c r="H1823" s="138"/>
      <c r="I1823" s="126"/>
      <c r="J1823" s="15"/>
      <c r="K1823" s="15"/>
      <c r="L1823" s="20"/>
      <c r="M1823" s="20"/>
      <c r="N1823" s="126"/>
      <c r="O1823" s="126"/>
      <c r="P1823" s="126"/>
      <c r="Q1823" s="171"/>
      <c r="R1823" s="172"/>
      <c r="S1823" s="172"/>
      <c r="AE1823" s="15"/>
      <c r="AF1823" s="15"/>
      <c r="AG1823" s="15"/>
      <c r="AH1823" s="15"/>
      <c r="AI1823" s="15"/>
      <c r="AJ1823" s="15"/>
      <c r="AK1823" s="15"/>
      <c r="AL1823" s="15"/>
      <c r="AM1823" s="209"/>
      <c r="AN1823" s="15"/>
    </row>
    <row r="1824" s="100" customFormat="1" spans="3:40">
      <c r="C1824" s="136"/>
      <c r="D1824" s="136"/>
      <c r="F1824" s="15"/>
      <c r="G1824" s="138"/>
      <c r="H1824" s="138"/>
      <c r="I1824" s="126"/>
      <c r="J1824" s="15"/>
      <c r="K1824" s="15"/>
      <c r="L1824" s="20"/>
      <c r="M1824" s="20"/>
      <c r="N1824" s="126"/>
      <c r="O1824" s="126"/>
      <c r="P1824" s="126"/>
      <c r="Q1824" s="171"/>
      <c r="R1824" s="172"/>
      <c r="S1824" s="172"/>
      <c r="AE1824" s="15"/>
      <c r="AF1824" s="15"/>
      <c r="AG1824" s="15"/>
      <c r="AH1824" s="15"/>
      <c r="AI1824" s="15"/>
      <c r="AJ1824" s="15"/>
      <c r="AK1824" s="15"/>
      <c r="AL1824" s="15"/>
      <c r="AM1824" s="209"/>
      <c r="AN1824" s="15"/>
    </row>
    <row r="1825" s="100" customFormat="1" spans="3:40">
      <c r="C1825" s="136"/>
      <c r="D1825" s="136"/>
      <c r="F1825" s="15"/>
      <c r="G1825" s="138"/>
      <c r="H1825" s="138"/>
      <c r="I1825" s="126"/>
      <c r="J1825" s="15"/>
      <c r="K1825" s="15"/>
      <c r="L1825" s="20"/>
      <c r="M1825" s="20"/>
      <c r="N1825" s="126"/>
      <c r="O1825" s="126"/>
      <c r="P1825" s="126"/>
      <c r="Q1825" s="171"/>
      <c r="R1825" s="172"/>
      <c r="S1825" s="172"/>
      <c r="AE1825" s="15"/>
      <c r="AF1825" s="15"/>
      <c r="AG1825" s="15"/>
      <c r="AH1825" s="15"/>
      <c r="AI1825" s="15"/>
      <c r="AJ1825" s="15"/>
      <c r="AK1825" s="15"/>
      <c r="AL1825" s="15"/>
      <c r="AM1825" s="209"/>
      <c r="AN1825" s="15"/>
    </row>
    <row r="1826" s="100" customFormat="1" spans="3:40">
      <c r="C1826" s="136"/>
      <c r="D1826" s="136"/>
      <c r="F1826" s="15"/>
      <c r="G1826" s="138"/>
      <c r="H1826" s="138"/>
      <c r="I1826" s="126"/>
      <c r="J1826" s="15"/>
      <c r="K1826" s="15"/>
      <c r="L1826" s="20"/>
      <c r="M1826" s="20"/>
      <c r="N1826" s="126"/>
      <c r="O1826" s="126"/>
      <c r="P1826" s="126"/>
      <c r="Q1826" s="171"/>
      <c r="R1826" s="172"/>
      <c r="S1826" s="172"/>
      <c r="AE1826" s="15"/>
      <c r="AF1826" s="15"/>
      <c r="AG1826" s="15"/>
      <c r="AH1826" s="15"/>
      <c r="AI1826" s="15"/>
      <c r="AJ1826" s="15"/>
      <c r="AK1826" s="15"/>
      <c r="AL1826" s="15"/>
      <c r="AM1826" s="209"/>
      <c r="AN1826" s="15"/>
    </row>
    <row r="1827" s="100" customFormat="1" spans="3:40">
      <c r="C1827" s="136"/>
      <c r="D1827" s="136"/>
      <c r="F1827" s="15"/>
      <c r="G1827" s="138"/>
      <c r="H1827" s="138"/>
      <c r="I1827" s="126"/>
      <c r="J1827" s="15"/>
      <c r="K1827" s="15"/>
      <c r="L1827" s="20"/>
      <c r="M1827" s="20"/>
      <c r="N1827" s="126"/>
      <c r="O1827" s="126"/>
      <c r="P1827" s="126"/>
      <c r="Q1827" s="171"/>
      <c r="R1827" s="172"/>
      <c r="S1827" s="172"/>
      <c r="AE1827" s="15"/>
      <c r="AF1827" s="15"/>
      <c r="AG1827" s="15"/>
      <c r="AH1827" s="15"/>
      <c r="AI1827" s="15"/>
      <c r="AJ1827" s="15"/>
      <c r="AK1827" s="15"/>
      <c r="AL1827" s="15"/>
      <c r="AM1827" s="209"/>
      <c r="AN1827" s="15"/>
    </row>
    <row r="1828" s="100" customFormat="1" spans="3:40">
      <c r="C1828" s="136"/>
      <c r="D1828" s="136"/>
      <c r="F1828" s="15"/>
      <c r="G1828" s="138"/>
      <c r="H1828" s="138"/>
      <c r="I1828" s="126"/>
      <c r="J1828" s="15"/>
      <c r="K1828" s="15"/>
      <c r="L1828" s="20"/>
      <c r="M1828" s="20"/>
      <c r="N1828" s="126"/>
      <c r="O1828" s="126"/>
      <c r="P1828" s="126"/>
      <c r="Q1828" s="171"/>
      <c r="R1828" s="172"/>
      <c r="S1828" s="172"/>
      <c r="AE1828" s="15"/>
      <c r="AF1828" s="15"/>
      <c r="AG1828" s="15"/>
      <c r="AH1828" s="15"/>
      <c r="AI1828" s="15"/>
      <c r="AJ1828" s="15"/>
      <c r="AK1828" s="15"/>
      <c r="AL1828" s="15"/>
      <c r="AM1828" s="209"/>
      <c r="AN1828" s="210"/>
    </row>
    <row r="1829" s="100" customFormat="1" spans="3:40">
      <c r="C1829" s="136"/>
      <c r="D1829" s="136"/>
      <c r="F1829" s="15"/>
      <c r="G1829" s="138"/>
      <c r="H1829" s="138"/>
      <c r="I1829" s="126"/>
      <c r="J1829" s="15"/>
      <c r="K1829" s="15"/>
      <c r="L1829" s="20"/>
      <c r="M1829" s="20"/>
      <c r="N1829" s="126"/>
      <c r="O1829" s="126"/>
      <c r="P1829" s="126"/>
      <c r="Q1829" s="171"/>
      <c r="R1829" s="172"/>
      <c r="S1829" s="172"/>
      <c r="AE1829" s="15"/>
      <c r="AF1829" s="15"/>
      <c r="AG1829" s="15"/>
      <c r="AH1829" s="15"/>
      <c r="AI1829" s="15"/>
      <c r="AJ1829" s="15"/>
      <c r="AK1829" s="15"/>
      <c r="AL1829" s="15"/>
      <c r="AM1829" s="209"/>
      <c r="AN1829" s="15"/>
    </row>
    <row r="1830" s="100" customFormat="1" spans="3:40">
      <c r="C1830" s="136"/>
      <c r="D1830" s="136"/>
      <c r="F1830" s="15"/>
      <c r="G1830" s="138"/>
      <c r="H1830" s="138"/>
      <c r="I1830" s="126"/>
      <c r="J1830" s="15"/>
      <c r="K1830" s="15"/>
      <c r="L1830" s="20"/>
      <c r="M1830" s="20"/>
      <c r="N1830" s="126"/>
      <c r="O1830" s="126"/>
      <c r="P1830" s="126"/>
      <c r="Q1830" s="171"/>
      <c r="R1830" s="172"/>
      <c r="S1830" s="172"/>
      <c r="AE1830" s="15"/>
      <c r="AF1830" s="15"/>
      <c r="AG1830" s="15"/>
      <c r="AH1830" s="15"/>
      <c r="AI1830" s="15"/>
      <c r="AJ1830" s="15"/>
      <c r="AK1830" s="15"/>
      <c r="AL1830" s="15"/>
      <c r="AM1830" s="209"/>
      <c r="AN1830" s="15"/>
    </row>
    <row r="1831" s="100" customFormat="1" spans="3:40">
      <c r="C1831" s="136"/>
      <c r="D1831" s="136"/>
      <c r="F1831" s="15"/>
      <c r="G1831" s="138"/>
      <c r="H1831" s="138"/>
      <c r="I1831" s="126"/>
      <c r="J1831" s="15"/>
      <c r="K1831" s="15"/>
      <c r="L1831" s="20"/>
      <c r="M1831" s="20"/>
      <c r="N1831" s="126"/>
      <c r="O1831" s="126"/>
      <c r="P1831" s="126"/>
      <c r="Q1831" s="171"/>
      <c r="R1831" s="172"/>
      <c r="S1831" s="172"/>
      <c r="AE1831" s="15"/>
      <c r="AF1831" s="15"/>
      <c r="AG1831" s="15"/>
      <c r="AH1831" s="15"/>
      <c r="AI1831" s="15"/>
      <c r="AJ1831" s="15"/>
      <c r="AK1831" s="15"/>
      <c r="AL1831" s="15"/>
      <c r="AM1831" s="209"/>
      <c r="AN1831" s="15"/>
    </row>
    <row r="1832" s="100" customFormat="1" spans="3:40">
      <c r="C1832" s="136"/>
      <c r="D1832" s="136"/>
      <c r="F1832" s="15"/>
      <c r="G1832" s="138"/>
      <c r="H1832" s="138"/>
      <c r="I1832" s="126"/>
      <c r="J1832" s="15"/>
      <c r="K1832" s="15"/>
      <c r="L1832" s="20"/>
      <c r="M1832" s="20"/>
      <c r="N1832" s="126"/>
      <c r="O1832" s="126"/>
      <c r="P1832" s="126"/>
      <c r="Q1832" s="171"/>
      <c r="R1832" s="172"/>
      <c r="S1832" s="172"/>
      <c r="AE1832" s="15"/>
      <c r="AF1832" s="15"/>
      <c r="AG1832" s="15"/>
      <c r="AH1832" s="15"/>
      <c r="AI1832" s="15"/>
      <c r="AJ1832" s="15"/>
      <c r="AK1832" s="15"/>
      <c r="AL1832" s="15"/>
      <c r="AM1832" s="209"/>
      <c r="AN1832" s="15"/>
    </row>
    <row r="1833" s="100" customFormat="1" spans="3:40">
      <c r="C1833" s="136"/>
      <c r="D1833" s="136"/>
      <c r="F1833" s="15"/>
      <c r="G1833" s="138"/>
      <c r="H1833" s="138"/>
      <c r="I1833" s="126"/>
      <c r="J1833" s="15"/>
      <c r="K1833" s="15"/>
      <c r="L1833" s="20"/>
      <c r="M1833" s="20"/>
      <c r="N1833" s="126"/>
      <c r="O1833" s="126"/>
      <c r="P1833" s="126"/>
      <c r="Q1833" s="171"/>
      <c r="R1833" s="172"/>
      <c r="S1833" s="172"/>
      <c r="AE1833" s="15"/>
      <c r="AF1833" s="15"/>
      <c r="AG1833" s="15"/>
      <c r="AH1833" s="15"/>
      <c r="AI1833" s="15"/>
      <c r="AJ1833" s="15"/>
      <c r="AK1833" s="15"/>
      <c r="AL1833" s="15"/>
      <c r="AM1833" s="209"/>
      <c r="AN1833" s="15"/>
    </row>
    <row r="1834" s="100" customFormat="1" spans="3:40">
      <c r="C1834" s="136"/>
      <c r="D1834" s="136"/>
      <c r="F1834" s="15"/>
      <c r="G1834" s="138"/>
      <c r="H1834" s="138"/>
      <c r="I1834" s="126"/>
      <c r="J1834" s="15"/>
      <c r="K1834" s="15"/>
      <c r="L1834" s="20"/>
      <c r="M1834" s="20"/>
      <c r="N1834" s="126"/>
      <c r="O1834" s="126"/>
      <c r="P1834" s="126"/>
      <c r="Q1834" s="171"/>
      <c r="R1834" s="172"/>
      <c r="S1834" s="172"/>
      <c r="AE1834" s="15"/>
      <c r="AF1834" s="15"/>
      <c r="AG1834" s="15"/>
      <c r="AH1834" s="15"/>
      <c r="AI1834" s="15"/>
      <c r="AJ1834" s="15"/>
      <c r="AK1834" s="15"/>
      <c r="AL1834" s="15"/>
      <c r="AM1834" s="209"/>
      <c r="AN1834" s="210"/>
    </row>
    <row r="1835" s="100" customFormat="1" spans="3:40">
      <c r="C1835" s="136"/>
      <c r="D1835" s="136"/>
      <c r="F1835" s="15"/>
      <c r="G1835" s="138"/>
      <c r="H1835" s="138"/>
      <c r="I1835" s="126"/>
      <c r="J1835" s="15"/>
      <c r="K1835" s="15"/>
      <c r="L1835" s="20"/>
      <c r="M1835" s="20"/>
      <c r="N1835" s="126"/>
      <c r="O1835" s="126"/>
      <c r="P1835" s="126"/>
      <c r="Q1835" s="171"/>
      <c r="R1835" s="172"/>
      <c r="S1835" s="172"/>
      <c r="AE1835" s="15"/>
      <c r="AF1835" s="15"/>
      <c r="AG1835" s="15"/>
      <c r="AH1835" s="15"/>
      <c r="AI1835" s="15"/>
      <c r="AJ1835" s="15"/>
      <c r="AK1835" s="15"/>
      <c r="AL1835" s="15"/>
      <c r="AM1835" s="209"/>
      <c r="AN1835" s="15"/>
    </row>
    <row r="1836" s="100" customFormat="1" spans="3:40">
      <c r="C1836" s="136"/>
      <c r="D1836" s="136"/>
      <c r="F1836" s="15"/>
      <c r="G1836" s="138"/>
      <c r="H1836" s="138"/>
      <c r="I1836" s="126"/>
      <c r="J1836" s="15"/>
      <c r="K1836" s="15"/>
      <c r="L1836" s="20"/>
      <c r="M1836" s="20"/>
      <c r="N1836" s="126"/>
      <c r="O1836" s="126"/>
      <c r="P1836" s="126"/>
      <c r="Q1836" s="171"/>
      <c r="R1836" s="172"/>
      <c r="S1836" s="172"/>
      <c r="AE1836" s="15"/>
      <c r="AF1836" s="15"/>
      <c r="AG1836" s="15"/>
      <c r="AH1836" s="15"/>
      <c r="AI1836" s="15"/>
      <c r="AJ1836" s="15"/>
      <c r="AK1836" s="15"/>
      <c r="AL1836" s="15"/>
      <c r="AM1836" s="209"/>
      <c r="AN1836" s="15"/>
    </row>
    <row r="1837" s="100" customFormat="1" spans="3:40">
      <c r="C1837" s="136"/>
      <c r="D1837" s="136"/>
      <c r="F1837" s="15"/>
      <c r="G1837" s="138"/>
      <c r="H1837" s="138"/>
      <c r="I1837" s="126"/>
      <c r="J1837" s="15"/>
      <c r="K1837" s="15"/>
      <c r="L1837" s="20"/>
      <c r="M1837" s="20"/>
      <c r="N1837" s="126"/>
      <c r="O1837" s="126"/>
      <c r="P1837" s="126"/>
      <c r="Q1837" s="171"/>
      <c r="R1837" s="172"/>
      <c r="S1837" s="172"/>
      <c r="AE1837" s="15"/>
      <c r="AF1837" s="15"/>
      <c r="AG1837" s="15"/>
      <c r="AH1837" s="15"/>
      <c r="AI1837" s="15"/>
      <c r="AJ1837" s="15"/>
      <c r="AK1837" s="15"/>
      <c r="AL1837" s="15"/>
      <c r="AM1837" s="209"/>
      <c r="AN1837" s="15"/>
    </row>
    <row r="1838" s="100" customFormat="1" spans="3:40">
      <c r="C1838" s="136"/>
      <c r="D1838" s="136"/>
      <c r="F1838" s="15"/>
      <c r="G1838" s="138"/>
      <c r="H1838" s="138"/>
      <c r="I1838" s="126"/>
      <c r="J1838" s="15"/>
      <c r="K1838" s="15"/>
      <c r="L1838" s="20"/>
      <c r="M1838" s="20"/>
      <c r="N1838" s="126"/>
      <c r="O1838" s="126"/>
      <c r="P1838" s="126"/>
      <c r="Q1838" s="171"/>
      <c r="R1838" s="172"/>
      <c r="S1838" s="172"/>
      <c r="AE1838" s="15"/>
      <c r="AF1838" s="15"/>
      <c r="AG1838" s="15"/>
      <c r="AH1838" s="15"/>
      <c r="AI1838" s="15"/>
      <c r="AJ1838" s="15"/>
      <c r="AK1838" s="15"/>
      <c r="AL1838" s="15"/>
      <c r="AM1838" s="209"/>
      <c r="AN1838" s="15"/>
    </row>
    <row r="1839" s="100" customFormat="1" spans="3:40">
      <c r="C1839" s="136"/>
      <c r="D1839" s="136"/>
      <c r="F1839" s="15"/>
      <c r="G1839" s="138"/>
      <c r="H1839" s="138"/>
      <c r="I1839" s="126"/>
      <c r="J1839" s="15"/>
      <c r="K1839" s="15"/>
      <c r="L1839" s="20"/>
      <c r="M1839" s="20"/>
      <c r="N1839" s="126"/>
      <c r="O1839" s="126"/>
      <c r="P1839" s="126"/>
      <c r="Q1839" s="171"/>
      <c r="R1839" s="172"/>
      <c r="S1839" s="172"/>
      <c r="AE1839" s="15"/>
      <c r="AF1839" s="15"/>
      <c r="AG1839" s="15"/>
      <c r="AH1839" s="15"/>
      <c r="AI1839" s="15"/>
      <c r="AJ1839" s="15"/>
      <c r="AK1839" s="15"/>
      <c r="AL1839" s="15"/>
      <c r="AM1839" s="209"/>
      <c r="AN1839" s="15"/>
    </row>
    <row r="1840" s="100" customFormat="1" spans="3:40">
      <c r="C1840" s="136"/>
      <c r="D1840" s="136"/>
      <c r="F1840" s="15"/>
      <c r="G1840" s="138"/>
      <c r="H1840" s="138"/>
      <c r="I1840" s="126"/>
      <c r="J1840" s="15"/>
      <c r="K1840" s="15"/>
      <c r="L1840" s="20"/>
      <c r="M1840" s="20"/>
      <c r="N1840" s="126"/>
      <c r="O1840" s="126"/>
      <c r="P1840" s="126"/>
      <c r="Q1840" s="171"/>
      <c r="R1840" s="172"/>
      <c r="S1840" s="172"/>
      <c r="AE1840" s="15"/>
      <c r="AF1840" s="15"/>
      <c r="AG1840" s="15"/>
      <c r="AH1840" s="15"/>
      <c r="AI1840" s="15"/>
      <c r="AJ1840" s="15"/>
      <c r="AK1840" s="15"/>
      <c r="AL1840" s="15"/>
      <c r="AM1840" s="209"/>
      <c r="AN1840" s="15"/>
    </row>
    <row r="1841" s="100" customFormat="1" spans="3:40">
      <c r="C1841" s="136"/>
      <c r="D1841" s="136"/>
      <c r="F1841" s="15"/>
      <c r="G1841" s="138"/>
      <c r="H1841" s="138"/>
      <c r="I1841" s="126"/>
      <c r="J1841" s="15"/>
      <c r="K1841" s="15"/>
      <c r="L1841" s="20"/>
      <c r="M1841" s="20"/>
      <c r="N1841" s="126"/>
      <c r="O1841" s="126"/>
      <c r="P1841" s="126"/>
      <c r="Q1841" s="171"/>
      <c r="R1841" s="172"/>
      <c r="S1841" s="172"/>
      <c r="AE1841" s="15"/>
      <c r="AF1841" s="15"/>
      <c r="AG1841" s="15"/>
      <c r="AH1841" s="15"/>
      <c r="AI1841" s="15"/>
      <c r="AJ1841" s="15"/>
      <c r="AK1841" s="15"/>
      <c r="AL1841" s="15"/>
      <c r="AM1841" s="209"/>
      <c r="AN1841" s="15"/>
    </row>
    <row r="1842" s="100" customFormat="1" spans="3:40">
      <c r="C1842" s="136"/>
      <c r="D1842" s="136"/>
      <c r="F1842" s="15"/>
      <c r="G1842" s="138"/>
      <c r="H1842" s="138"/>
      <c r="I1842" s="126"/>
      <c r="J1842" s="15"/>
      <c r="K1842" s="15"/>
      <c r="L1842" s="20"/>
      <c r="M1842" s="20"/>
      <c r="N1842" s="126"/>
      <c r="O1842" s="126"/>
      <c r="P1842" s="126"/>
      <c r="Q1842" s="171"/>
      <c r="R1842" s="172"/>
      <c r="S1842" s="172"/>
      <c r="AE1842" s="15"/>
      <c r="AF1842" s="15"/>
      <c r="AG1842" s="15"/>
      <c r="AH1842" s="15"/>
      <c r="AI1842" s="15"/>
      <c r="AJ1842" s="15"/>
      <c r="AK1842" s="15"/>
      <c r="AL1842" s="15"/>
      <c r="AM1842" s="209"/>
      <c r="AN1842" s="15"/>
    </row>
    <row r="1843" s="100" customFormat="1" spans="3:40">
      <c r="C1843" s="136"/>
      <c r="D1843" s="136"/>
      <c r="F1843" s="15"/>
      <c r="G1843" s="138"/>
      <c r="H1843" s="138"/>
      <c r="I1843" s="126"/>
      <c r="J1843" s="15"/>
      <c r="K1843" s="15"/>
      <c r="L1843" s="20"/>
      <c r="M1843" s="20"/>
      <c r="N1843" s="126"/>
      <c r="O1843" s="126"/>
      <c r="P1843" s="126"/>
      <c r="Q1843" s="171"/>
      <c r="R1843" s="172"/>
      <c r="S1843" s="172"/>
      <c r="AE1843" s="15"/>
      <c r="AF1843" s="15"/>
      <c r="AG1843" s="15"/>
      <c r="AH1843" s="15"/>
      <c r="AI1843" s="15"/>
      <c r="AJ1843" s="15"/>
      <c r="AK1843" s="15"/>
      <c r="AL1843" s="15"/>
      <c r="AM1843" s="209"/>
      <c r="AN1843" s="15"/>
    </row>
    <row r="1844" s="100" customFormat="1" spans="3:40">
      <c r="C1844" s="136"/>
      <c r="D1844" s="136"/>
      <c r="F1844" s="15"/>
      <c r="G1844" s="138"/>
      <c r="H1844" s="138"/>
      <c r="I1844" s="126"/>
      <c r="J1844" s="15"/>
      <c r="K1844" s="15"/>
      <c r="L1844" s="20"/>
      <c r="M1844" s="20"/>
      <c r="N1844" s="126"/>
      <c r="O1844" s="126"/>
      <c r="P1844" s="126"/>
      <c r="Q1844" s="171"/>
      <c r="R1844" s="172"/>
      <c r="S1844" s="172"/>
      <c r="AE1844" s="15"/>
      <c r="AF1844" s="15"/>
      <c r="AG1844" s="15"/>
      <c r="AH1844" s="15"/>
      <c r="AI1844" s="15"/>
      <c r="AJ1844" s="15"/>
      <c r="AK1844" s="15"/>
      <c r="AL1844" s="15"/>
      <c r="AM1844" s="209"/>
      <c r="AN1844" s="15"/>
    </row>
    <row r="1845" s="100" customFormat="1" spans="3:40">
      <c r="C1845" s="136"/>
      <c r="D1845" s="136"/>
      <c r="F1845" s="15"/>
      <c r="G1845" s="138"/>
      <c r="H1845" s="138"/>
      <c r="I1845" s="126"/>
      <c r="J1845" s="15"/>
      <c r="K1845" s="15"/>
      <c r="L1845" s="20"/>
      <c r="M1845" s="20"/>
      <c r="N1845" s="126"/>
      <c r="O1845" s="126"/>
      <c r="P1845" s="126"/>
      <c r="Q1845" s="171"/>
      <c r="R1845" s="172"/>
      <c r="S1845" s="172"/>
      <c r="AE1845" s="15"/>
      <c r="AF1845" s="15"/>
      <c r="AG1845" s="15"/>
      <c r="AH1845" s="15"/>
      <c r="AI1845" s="15"/>
      <c r="AJ1845" s="15"/>
      <c r="AK1845" s="15"/>
      <c r="AL1845" s="15"/>
      <c r="AM1845" s="209"/>
      <c r="AN1845" s="210"/>
    </row>
    <row r="1846" s="100" customFormat="1" spans="3:40">
      <c r="C1846" s="136"/>
      <c r="D1846" s="136"/>
      <c r="F1846" s="15"/>
      <c r="G1846" s="138"/>
      <c r="H1846" s="138"/>
      <c r="I1846" s="126"/>
      <c r="J1846" s="15"/>
      <c r="K1846" s="15"/>
      <c r="L1846" s="20"/>
      <c r="M1846" s="20"/>
      <c r="N1846" s="126"/>
      <c r="O1846" s="126"/>
      <c r="P1846" s="126"/>
      <c r="Q1846" s="171"/>
      <c r="R1846" s="172"/>
      <c r="S1846" s="172"/>
      <c r="AE1846" s="15"/>
      <c r="AF1846" s="15"/>
      <c r="AG1846" s="15"/>
      <c r="AH1846" s="15"/>
      <c r="AI1846" s="15"/>
      <c r="AJ1846" s="15"/>
      <c r="AK1846" s="15"/>
      <c r="AL1846" s="15"/>
      <c r="AM1846" s="209"/>
      <c r="AN1846" s="15"/>
    </row>
    <row r="1847" s="100" customFormat="1" spans="3:40">
      <c r="C1847" s="136"/>
      <c r="D1847" s="136"/>
      <c r="F1847" s="15"/>
      <c r="G1847" s="138"/>
      <c r="H1847" s="138"/>
      <c r="I1847" s="126"/>
      <c r="J1847" s="15"/>
      <c r="K1847" s="15"/>
      <c r="L1847" s="20"/>
      <c r="M1847" s="20"/>
      <c r="N1847" s="126"/>
      <c r="O1847" s="126"/>
      <c r="P1847" s="126"/>
      <c r="Q1847" s="171"/>
      <c r="R1847" s="172"/>
      <c r="S1847" s="172"/>
      <c r="AE1847" s="15"/>
      <c r="AF1847" s="15"/>
      <c r="AG1847" s="15"/>
      <c r="AH1847" s="15"/>
      <c r="AI1847" s="15"/>
      <c r="AJ1847" s="15"/>
      <c r="AK1847" s="15"/>
      <c r="AL1847" s="15"/>
      <c r="AM1847" s="209"/>
      <c r="AN1847" s="15"/>
    </row>
    <row r="1848" s="100" customFormat="1" spans="3:40">
      <c r="C1848" s="136"/>
      <c r="D1848" s="136"/>
      <c r="F1848" s="15"/>
      <c r="G1848" s="138"/>
      <c r="H1848" s="138"/>
      <c r="I1848" s="126"/>
      <c r="J1848" s="15"/>
      <c r="K1848" s="15"/>
      <c r="L1848" s="20"/>
      <c r="M1848" s="20"/>
      <c r="N1848" s="126"/>
      <c r="O1848" s="126"/>
      <c r="P1848" s="126"/>
      <c r="Q1848" s="171"/>
      <c r="R1848" s="172"/>
      <c r="S1848" s="172"/>
      <c r="AE1848" s="15"/>
      <c r="AF1848" s="15"/>
      <c r="AG1848" s="15"/>
      <c r="AH1848" s="15"/>
      <c r="AI1848" s="15"/>
      <c r="AJ1848" s="15"/>
      <c r="AK1848" s="15"/>
      <c r="AL1848" s="15"/>
      <c r="AM1848" s="209"/>
      <c r="AN1848" s="15"/>
    </row>
    <row r="1849" s="100" customFormat="1" spans="3:40">
      <c r="C1849" s="136"/>
      <c r="D1849" s="136"/>
      <c r="F1849" s="15"/>
      <c r="G1849" s="138"/>
      <c r="H1849" s="138"/>
      <c r="I1849" s="126"/>
      <c r="J1849" s="15"/>
      <c r="K1849" s="15"/>
      <c r="L1849" s="20"/>
      <c r="M1849" s="20"/>
      <c r="N1849" s="126"/>
      <c r="O1849" s="126"/>
      <c r="P1849" s="126"/>
      <c r="Q1849" s="171"/>
      <c r="R1849" s="172"/>
      <c r="S1849" s="172"/>
      <c r="AE1849" s="15"/>
      <c r="AF1849" s="15"/>
      <c r="AG1849" s="15"/>
      <c r="AH1849" s="15"/>
      <c r="AI1849" s="15"/>
      <c r="AJ1849" s="15"/>
      <c r="AK1849" s="15"/>
      <c r="AL1849" s="15"/>
      <c r="AM1849" s="209"/>
      <c r="AN1849" s="15"/>
    </row>
    <row r="1850" s="100" customFormat="1" spans="3:40">
      <c r="C1850" s="136"/>
      <c r="D1850" s="136"/>
      <c r="F1850" s="15"/>
      <c r="G1850" s="138"/>
      <c r="H1850" s="138"/>
      <c r="I1850" s="126"/>
      <c r="J1850" s="15"/>
      <c r="K1850" s="15"/>
      <c r="L1850" s="20"/>
      <c r="M1850" s="20"/>
      <c r="N1850" s="126"/>
      <c r="O1850" s="126"/>
      <c r="P1850" s="126"/>
      <c r="Q1850" s="171"/>
      <c r="R1850" s="172"/>
      <c r="S1850" s="172"/>
      <c r="AE1850" s="15"/>
      <c r="AF1850" s="15"/>
      <c r="AG1850" s="15"/>
      <c r="AH1850" s="15"/>
      <c r="AI1850" s="15"/>
      <c r="AJ1850" s="15"/>
      <c r="AK1850" s="15"/>
      <c r="AL1850" s="15"/>
      <c r="AM1850" s="209"/>
      <c r="AN1850" s="15"/>
    </row>
    <row r="1851" s="100" customFormat="1" spans="3:40">
      <c r="C1851" s="136"/>
      <c r="D1851" s="136"/>
      <c r="F1851" s="15"/>
      <c r="G1851" s="138"/>
      <c r="H1851" s="138"/>
      <c r="I1851" s="126"/>
      <c r="J1851" s="15"/>
      <c r="K1851" s="15"/>
      <c r="L1851" s="20"/>
      <c r="M1851" s="20"/>
      <c r="N1851" s="126"/>
      <c r="O1851" s="126"/>
      <c r="P1851" s="126"/>
      <c r="Q1851" s="171"/>
      <c r="R1851" s="172"/>
      <c r="S1851" s="172"/>
      <c r="AE1851" s="15"/>
      <c r="AF1851" s="15"/>
      <c r="AG1851" s="15"/>
      <c r="AH1851" s="15"/>
      <c r="AI1851" s="15"/>
      <c r="AJ1851" s="15"/>
      <c r="AK1851" s="15"/>
      <c r="AL1851" s="15"/>
      <c r="AM1851" s="209"/>
      <c r="AN1851" s="15"/>
    </row>
    <row r="1852" s="100" customFormat="1" spans="3:40">
      <c r="C1852" s="136"/>
      <c r="D1852" s="136"/>
      <c r="F1852" s="15"/>
      <c r="G1852" s="138"/>
      <c r="H1852" s="138"/>
      <c r="I1852" s="126"/>
      <c r="J1852" s="15"/>
      <c r="K1852" s="15"/>
      <c r="L1852" s="20"/>
      <c r="M1852" s="20"/>
      <c r="N1852" s="126"/>
      <c r="O1852" s="126"/>
      <c r="P1852" s="126"/>
      <c r="Q1852" s="171"/>
      <c r="R1852" s="172"/>
      <c r="S1852" s="172"/>
      <c r="AE1852" s="15"/>
      <c r="AF1852" s="15"/>
      <c r="AG1852" s="15"/>
      <c r="AH1852" s="15"/>
      <c r="AI1852" s="15"/>
      <c r="AJ1852" s="15"/>
      <c r="AK1852" s="15"/>
      <c r="AL1852" s="15"/>
      <c r="AM1852" s="209"/>
      <c r="AN1852" s="15"/>
    </row>
    <row r="1853" s="100" customFormat="1" spans="3:40">
      <c r="C1853" s="136"/>
      <c r="D1853" s="136"/>
      <c r="F1853" s="15"/>
      <c r="G1853" s="138"/>
      <c r="H1853" s="138"/>
      <c r="I1853" s="126"/>
      <c r="J1853" s="15"/>
      <c r="K1853" s="15"/>
      <c r="L1853" s="20"/>
      <c r="M1853" s="20"/>
      <c r="N1853" s="126"/>
      <c r="O1853" s="126"/>
      <c r="P1853" s="126"/>
      <c r="Q1853" s="171"/>
      <c r="R1853" s="172"/>
      <c r="S1853" s="172"/>
      <c r="AE1853" s="15"/>
      <c r="AF1853" s="15"/>
      <c r="AG1853" s="15"/>
      <c r="AH1853" s="15"/>
      <c r="AI1853" s="15"/>
      <c r="AJ1853" s="15"/>
      <c r="AK1853" s="15"/>
      <c r="AL1853" s="15"/>
      <c r="AM1853" s="209"/>
      <c r="AN1853" s="15"/>
    </row>
    <row r="1854" s="100" customFormat="1" spans="3:40">
      <c r="C1854" s="136"/>
      <c r="D1854" s="136"/>
      <c r="F1854" s="15"/>
      <c r="G1854" s="138"/>
      <c r="H1854" s="138"/>
      <c r="I1854" s="126"/>
      <c r="J1854" s="15"/>
      <c r="K1854" s="15"/>
      <c r="L1854" s="20"/>
      <c r="M1854" s="20"/>
      <c r="N1854" s="126"/>
      <c r="O1854" s="126"/>
      <c r="P1854" s="126"/>
      <c r="Q1854" s="171"/>
      <c r="R1854" s="172"/>
      <c r="S1854" s="172"/>
      <c r="AE1854" s="15"/>
      <c r="AF1854" s="15"/>
      <c r="AG1854" s="15"/>
      <c r="AH1854" s="15"/>
      <c r="AI1854" s="15"/>
      <c r="AJ1854" s="15"/>
      <c r="AK1854" s="15"/>
      <c r="AL1854" s="15"/>
      <c r="AM1854" s="209"/>
      <c r="AN1854" s="15"/>
    </row>
    <row r="1855" s="100" customFormat="1" spans="3:40">
      <c r="C1855" s="136"/>
      <c r="D1855" s="136"/>
      <c r="F1855" s="15"/>
      <c r="G1855" s="138"/>
      <c r="H1855" s="138"/>
      <c r="I1855" s="126"/>
      <c r="J1855" s="15"/>
      <c r="K1855" s="15"/>
      <c r="L1855" s="20"/>
      <c r="M1855" s="20"/>
      <c r="N1855" s="126"/>
      <c r="O1855" s="126"/>
      <c r="P1855" s="126"/>
      <c r="Q1855" s="171"/>
      <c r="R1855" s="172"/>
      <c r="S1855" s="172"/>
      <c r="AE1855" s="15"/>
      <c r="AF1855" s="15"/>
      <c r="AG1855" s="15"/>
      <c r="AH1855" s="15"/>
      <c r="AI1855" s="15"/>
      <c r="AJ1855" s="15"/>
      <c r="AK1855" s="15"/>
      <c r="AL1855" s="15"/>
      <c r="AM1855" s="209"/>
      <c r="AN1855" s="210"/>
    </row>
    <row r="1856" s="100" customFormat="1" spans="3:40">
      <c r="C1856" s="136"/>
      <c r="D1856" s="136"/>
      <c r="F1856" s="15"/>
      <c r="G1856" s="138"/>
      <c r="H1856" s="138"/>
      <c r="I1856" s="126"/>
      <c r="J1856" s="15"/>
      <c r="K1856" s="15"/>
      <c r="L1856" s="20"/>
      <c r="M1856" s="20"/>
      <c r="N1856" s="126"/>
      <c r="O1856" s="126"/>
      <c r="P1856" s="126"/>
      <c r="Q1856" s="171"/>
      <c r="R1856" s="172"/>
      <c r="S1856" s="172"/>
      <c r="AE1856" s="15"/>
      <c r="AF1856" s="15"/>
      <c r="AG1856" s="15"/>
      <c r="AH1856" s="15"/>
      <c r="AI1856" s="15"/>
      <c r="AJ1856" s="15"/>
      <c r="AK1856" s="15"/>
      <c r="AL1856" s="15"/>
      <c r="AM1856" s="209"/>
      <c r="AN1856" s="210"/>
    </row>
    <row r="1857" s="100" customFormat="1" spans="3:40">
      <c r="C1857" s="136"/>
      <c r="D1857" s="136"/>
      <c r="F1857" s="15"/>
      <c r="G1857" s="138"/>
      <c r="H1857" s="138"/>
      <c r="I1857" s="126"/>
      <c r="J1857" s="15"/>
      <c r="K1857" s="15"/>
      <c r="L1857" s="20"/>
      <c r="M1857" s="20"/>
      <c r="N1857" s="126"/>
      <c r="O1857" s="126"/>
      <c r="P1857" s="126"/>
      <c r="Q1857" s="171"/>
      <c r="R1857" s="172"/>
      <c r="S1857" s="172"/>
      <c r="AE1857" s="15"/>
      <c r="AF1857" s="15"/>
      <c r="AG1857" s="15"/>
      <c r="AH1857" s="15"/>
      <c r="AI1857" s="15"/>
      <c r="AJ1857" s="15"/>
      <c r="AK1857" s="15"/>
      <c r="AL1857" s="15"/>
      <c r="AM1857" s="209"/>
      <c r="AN1857" s="210"/>
    </row>
    <row r="1858" s="100" customFormat="1" spans="3:40">
      <c r="C1858" s="136"/>
      <c r="D1858" s="136"/>
      <c r="F1858" s="15"/>
      <c r="G1858" s="138"/>
      <c r="H1858" s="138"/>
      <c r="I1858" s="126"/>
      <c r="J1858" s="15"/>
      <c r="K1858" s="15"/>
      <c r="L1858" s="20"/>
      <c r="M1858" s="20"/>
      <c r="N1858" s="126"/>
      <c r="O1858" s="126"/>
      <c r="P1858" s="126"/>
      <c r="Q1858" s="171"/>
      <c r="R1858" s="172"/>
      <c r="S1858" s="172"/>
      <c r="AE1858" s="15"/>
      <c r="AF1858" s="15"/>
      <c r="AG1858" s="15"/>
      <c r="AH1858" s="15"/>
      <c r="AI1858" s="15"/>
      <c r="AJ1858" s="15"/>
      <c r="AK1858" s="15"/>
      <c r="AL1858" s="15"/>
      <c r="AM1858" s="209"/>
      <c r="AN1858" s="15"/>
    </row>
    <row r="1859" s="100" customFormat="1" spans="3:40">
      <c r="C1859" s="136"/>
      <c r="D1859" s="136"/>
      <c r="F1859" s="15"/>
      <c r="G1859" s="138"/>
      <c r="H1859" s="138"/>
      <c r="I1859" s="126"/>
      <c r="J1859" s="15"/>
      <c r="K1859" s="15"/>
      <c r="L1859" s="20"/>
      <c r="M1859" s="20"/>
      <c r="N1859" s="126"/>
      <c r="O1859" s="126"/>
      <c r="P1859" s="126"/>
      <c r="Q1859" s="171"/>
      <c r="R1859" s="172"/>
      <c r="S1859" s="172"/>
      <c r="AE1859" s="15"/>
      <c r="AF1859" s="15"/>
      <c r="AG1859" s="15"/>
      <c r="AH1859" s="15"/>
      <c r="AI1859" s="15"/>
      <c r="AJ1859" s="15"/>
      <c r="AK1859" s="15"/>
      <c r="AL1859" s="15"/>
      <c r="AM1859" s="209"/>
      <c r="AN1859" s="15"/>
    </row>
    <row r="1860" s="100" customFormat="1" spans="3:40">
      <c r="C1860" s="136"/>
      <c r="D1860" s="136"/>
      <c r="F1860" s="15"/>
      <c r="G1860" s="138"/>
      <c r="H1860" s="138"/>
      <c r="I1860" s="126"/>
      <c r="J1860" s="15"/>
      <c r="K1860" s="15"/>
      <c r="L1860" s="20"/>
      <c r="M1860" s="20"/>
      <c r="N1860" s="126"/>
      <c r="O1860" s="126"/>
      <c r="P1860" s="126"/>
      <c r="Q1860" s="171"/>
      <c r="R1860" s="172"/>
      <c r="S1860" s="172"/>
      <c r="AE1860" s="15"/>
      <c r="AF1860" s="15"/>
      <c r="AG1860" s="15"/>
      <c r="AH1860" s="15"/>
      <c r="AI1860" s="15"/>
      <c r="AJ1860" s="15"/>
      <c r="AK1860" s="15"/>
      <c r="AL1860" s="15"/>
      <c r="AM1860" s="209"/>
      <c r="AN1860" s="15"/>
    </row>
    <row r="1861" s="100" customFormat="1" spans="3:40">
      <c r="C1861" s="136"/>
      <c r="D1861" s="136"/>
      <c r="F1861" s="15"/>
      <c r="G1861" s="138"/>
      <c r="H1861" s="138"/>
      <c r="I1861" s="126"/>
      <c r="J1861" s="15"/>
      <c r="K1861" s="15"/>
      <c r="L1861" s="20"/>
      <c r="M1861" s="20"/>
      <c r="N1861" s="126"/>
      <c r="O1861" s="126"/>
      <c r="P1861" s="126"/>
      <c r="Q1861" s="171"/>
      <c r="R1861" s="172"/>
      <c r="S1861" s="172"/>
      <c r="AE1861" s="15"/>
      <c r="AF1861" s="15"/>
      <c r="AG1861" s="15"/>
      <c r="AH1861" s="15"/>
      <c r="AI1861" s="15"/>
      <c r="AJ1861" s="15"/>
      <c r="AK1861" s="15"/>
      <c r="AL1861" s="15"/>
      <c r="AM1861" s="209"/>
      <c r="AN1861" s="15"/>
    </row>
    <row r="1862" s="100" customFormat="1" spans="3:40">
      <c r="C1862" s="136"/>
      <c r="D1862" s="136"/>
      <c r="F1862" s="15"/>
      <c r="G1862" s="138"/>
      <c r="H1862" s="138"/>
      <c r="I1862" s="126"/>
      <c r="J1862" s="15"/>
      <c r="K1862" s="15"/>
      <c r="L1862" s="20"/>
      <c r="M1862" s="20"/>
      <c r="N1862" s="126"/>
      <c r="O1862" s="126"/>
      <c r="P1862" s="126"/>
      <c r="Q1862" s="171"/>
      <c r="R1862" s="172"/>
      <c r="S1862" s="172"/>
      <c r="AE1862" s="15"/>
      <c r="AF1862" s="15"/>
      <c r="AG1862" s="15"/>
      <c r="AH1862" s="15"/>
      <c r="AI1862" s="15"/>
      <c r="AJ1862" s="15"/>
      <c r="AK1862" s="15"/>
      <c r="AL1862" s="15"/>
      <c r="AM1862" s="209"/>
      <c r="AN1862" s="15"/>
    </row>
    <row r="1863" s="100" customFormat="1" spans="3:40">
      <c r="C1863" s="136"/>
      <c r="D1863" s="136"/>
      <c r="F1863" s="15"/>
      <c r="G1863" s="138"/>
      <c r="H1863" s="138"/>
      <c r="I1863" s="126"/>
      <c r="J1863" s="15"/>
      <c r="K1863" s="15"/>
      <c r="L1863" s="20"/>
      <c r="M1863" s="20"/>
      <c r="N1863" s="126"/>
      <c r="O1863" s="126"/>
      <c r="P1863" s="126"/>
      <c r="Q1863" s="171"/>
      <c r="R1863" s="172"/>
      <c r="S1863" s="172"/>
      <c r="AE1863" s="15"/>
      <c r="AF1863" s="15"/>
      <c r="AG1863" s="15"/>
      <c r="AH1863" s="15"/>
      <c r="AI1863" s="15"/>
      <c r="AJ1863" s="15"/>
      <c r="AK1863" s="15"/>
      <c r="AL1863" s="15"/>
      <c r="AM1863" s="209"/>
      <c r="AN1863" s="15"/>
    </row>
    <row r="1864" s="100" customFormat="1" spans="3:40">
      <c r="C1864" s="136"/>
      <c r="D1864" s="136"/>
      <c r="F1864" s="15"/>
      <c r="G1864" s="138"/>
      <c r="H1864" s="138"/>
      <c r="I1864" s="126"/>
      <c r="J1864" s="15"/>
      <c r="K1864" s="15"/>
      <c r="L1864" s="20"/>
      <c r="M1864" s="20"/>
      <c r="N1864" s="126"/>
      <c r="O1864" s="126"/>
      <c r="P1864" s="126"/>
      <c r="Q1864" s="171"/>
      <c r="R1864" s="172"/>
      <c r="S1864" s="172"/>
      <c r="AE1864" s="15"/>
      <c r="AF1864" s="15"/>
      <c r="AG1864" s="15"/>
      <c r="AH1864" s="15"/>
      <c r="AI1864" s="15"/>
      <c r="AJ1864" s="15"/>
      <c r="AK1864" s="15"/>
      <c r="AL1864" s="15"/>
      <c r="AM1864" s="209"/>
      <c r="AN1864" s="15"/>
    </row>
    <row r="1865" s="100" customFormat="1" spans="3:40">
      <c r="C1865" s="136"/>
      <c r="D1865" s="136"/>
      <c r="F1865" s="15"/>
      <c r="G1865" s="138"/>
      <c r="H1865" s="138"/>
      <c r="I1865" s="126"/>
      <c r="J1865" s="15"/>
      <c r="K1865" s="15"/>
      <c r="L1865" s="20"/>
      <c r="M1865" s="20"/>
      <c r="N1865" s="126"/>
      <c r="O1865" s="126"/>
      <c r="P1865" s="126"/>
      <c r="Q1865" s="171"/>
      <c r="R1865" s="172"/>
      <c r="S1865" s="172"/>
      <c r="AE1865" s="15"/>
      <c r="AF1865" s="15"/>
      <c r="AG1865" s="15"/>
      <c r="AH1865" s="15"/>
      <c r="AI1865" s="15"/>
      <c r="AJ1865" s="15"/>
      <c r="AK1865" s="15"/>
      <c r="AL1865" s="15"/>
      <c r="AM1865" s="209"/>
      <c r="AN1865" s="15"/>
    </row>
    <row r="1866" s="100" customFormat="1" spans="3:40">
      <c r="C1866" s="136"/>
      <c r="D1866" s="136"/>
      <c r="F1866" s="15"/>
      <c r="G1866" s="138"/>
      <c r="H1866" s="138"/>
      <c r="I1866" s="126"/>
      <c r="J1866" s="15"/>
      <c r="K1866" s="15"/>
      <c r="L1866" s="20"/>
      <c r="M1866" s="20"/>
      <c r="N1866" s="126"/>
      <c r="O1866" s="126"/>
      <c r="P1866" s="126"/>
      <c r="Q1866" s="171"/>
      <c r="R1866" s="172"/>
      <c r="S1866" s="172"/>
      <c r="AE1866" s="15"/>
      <c r="AF1866" s="15"/>
      <c r="AG1866" s="15"/>
      <c r="AH1866" s="15"/>
      <c r="AI1866" s="15"/>
      <c r="AJ1866" s="15"/>
      <c r="AK1866" s="15"/>
      <c r="AL1866" s="15"/>
      <c r="AM1866" s="209"/>
      <c r="AN1866" s="210"/>
    </row>
    <row r="1867" s="100" customFormat="1" spans="3:40">
      <c r="C1867" s="136"/>
      <c r="D1867" s="136"/>
      <c r="F1867" s="15"/>
      <c r="G1867" s="138"/>
      <c r="H1867" s="138"/>
      <c r="I1867" s="126"/>
      <c r="J1867" s="15"/>
      <c r="K1867" s="15"/>
      <c r="L1867" s="20"/>
      <c r="M1867" s="20"/>
      <c r="N1867" s="126"/>
      <c r="O1867" s="126"/>
      <c r="P1867" s="126"/>
      <c r="Q1867" s="171"/>
      <c r="R1867" s="172"/>
      <c r="S1867" s="172"/>
      <c r="AE1867" s="15"/>
      <c r="AF1867" s="15"/>
      <c r="AG1867" s="15"/>
      <c r="AH1867" s="15"/>
      <c r="AI1867" s="15"/>
      <c r="AJ1867" s="15"/>
      <c r="AK1867" s="15"/>
      <c r="AL1867" s="15"/>
      <c r="AM1867" s="209"/>
      <c r="AN1867" s="210"/>
    </row>
    <row r="1868" s="100" customFormat="1" spans="3:40">
      <c r="C1868" s="136"/>
      <c r="D1868" s="136"/>
      <c r="F1868" s="15"/>
      <c r="G1868" s="138"/>
      <c r="H1868" s="138"/>
      <c r="I1868" s="126"/>
      <c r="J1868" s="15"/>
      <c r="K1868" s="15"/>
      <c r="L1868" s="20"/>
      <c r="M1868" s="20"/>
      <c r="N1868" s="126"/>
      <c r="O1868" s="126"/>
      <c r="P1868" s="126"/>
      <c r="Q1868" s="171"/>
      <c r="R1868" s="172"/>
      <c r="S1868" s="172"/>
      <c r="AE1868" s="15"/>
      <c r="AF1868" s="15"/>
      <c r="AG1868" s="15"/>
      <c r="AH1868" s="15"/>
      <c r="AI1868" s="15"/>
      <c r="AJ1868" s="15"/>
      <c r="AK1868" s="15"/>
      <c r="AL1868" s="15"/>
      <c r="AM1868" s="209"/>
      <c r="AN1868" s="211"/>
    </row>
    <row r="1869" s="100" customFormat="1" spans="3:40">
      <c r="C1869" s="136"/>
      <c r="D1869" s="136"/>
      <c r="F1869" s="15"/>
      <c r="G1869" s="138"/>
      <c r="H1869" s="138"/>
      <c r="I1869" s="126"/>
      <c r="J1869" s="15"/>
      <c r="K1869" s="15"/>
      <c r="L1869" s="20"/>
      <c r="M1869" s="20"/>
      <c r="N1869" s="126"/>
      <c r="O1869" s="126"/>
      <c r="P1869" s="126"/>
      <c r="Q1869" s="171"/>
      <c r="R1869" s="172"/>
      <c r="S1869" s="172"/>
      <c r="AE1869" s="15"/>
      <c r="AF1869" s="15"/>
      <c r="AG1869" s="15"/>
      <c r="AH1869" s="15"/>
      <c r="AI1869" s="212"/>
      <c r="AJ1869" s="15"/>
      <c r="AK1869" s="15"/>
      <c r="AL1869" s="15"/>
      <c r="AM1869" s="209"/>
      <c r="AN1869" s="15"/>
    </row>
    <row r="1870" s="100" customFormat="1" spans="3:40">
      <c r="C1870" s="136"/>
      <c r="D1870" s="136"/>
      <c r="F1870" s="15"/>
      <c r="G1870" s="138"/>
      <c r="H1870" s="138"/>
      <c r="I1870" s="126"/>
      <c r="J1870" s="15"/>
      <c r="K1870" s="15"/>
      <c r="L1870" s="20"/>
      <c r="M1870" s="20"/>
      <c r="N1870" s="126"/>
      <c r="O1870" s="126"/>
      <c r="P1870" s="126"/>
      <c r="Q1870" s="171"/>
      <c r="R1870" s="172"/>
      <c r="S1870" s="172"/>
      <c r="AE1870" s="15"/>
      <c r="AF1870" s="15"/>
      <c r="AG1870" s="15"/>
      <c r="AH1870" s="15"/>
      <c r="AI1870" s="212"/>
      <c r="AJ1870" s="15"/>
      <c r="AK1870" s="15"/>
      <c r="AL1870" s="15"/>
      <c r="AM1870" s="209"/>
      <c r="AN1870" s="15"/>
    </row>
    <row r="1871" s="100" customFormat="1" spans="3:40">
      <c r="C1871" s="136"/>
      <c r="D1871" s="136"/>
      <c r="F1871" s="15"/>
      <c r="G1871" s="138"/>
      <c r="H1871" s="138"/>
      <c r="I1871" s="126"/>
      <c r="J1871" s="15"/>
      <c r="K1871" s="15"/>
      <c r="L1871" s="20"/>
      <c r="M1871" s="20"/>
      <c r="N1871" s="126"/>
      <c r="O1871" s="126"/>
      <c r="P1871" s="126"/>
      <c r="Q1871" s="171"/>
      <c r="R1871" s="172"/>
      <c r="S1871" s="172"/>
      <c r="AE1871" s="15"/>
      <c r="AF1871" s="15"/>
      <c r="AG1871" s="15"/>
      <c r="AH1871" s="15"/>
      <c r="AI1871" s="15"/>
      <c r="AJ1871" s="15"/>
      <c r="AK1871" s="15"/>
      <c r="AL1871" s="15"/>
      <c r="AM1871" s="209"/>
      <c r="AN1871" s="15"/>
    </row>
    <row r="1872" s="100" customFormat="1" spans="3:40">
      <c r="C1872" s="136"/>
      <c r="D1872" s="136"/>
      <c r="F1872" s="15"/>
      <c r="G1872" s="138"/>
      <c r="H1872" s="138"/>
      <c r="I1872" s="126"/>
      <c r="J1872" s="15"/>
      <c r="K1872" s="15"/>
      <c r="L1872" s="20"/>
      <c r="M1872" s="20"/>
      <c r="N1872" s="126"/>
      <c r="O1872" s="126"/>
      <c r="P1872" s="126"/>
      <c r="Q1872" s="171"/>
      <c r="R1872" s="172"/>
      <c r="S1872" s="172"/>
      <c r="AE1872" s="15"/>
      <c r="AF1872" s="15"/>
      <c r="AG1872" s="15"/>
      <c r="AH1872" s="15"/>
      <c r="AI1872" s="15"/>
      <c r="AJ1872" s="15"/>
      <c r="AK1872" s="15"/>
      <c r="AL1872" s="15"/>
      <c r="AM1872" s="209"/>
      <c r="AN1872" s="15"/>
    </row>
    <row r="1873" s="100" customFormat="1" spans="3:40">
      <c r="C1873" s="136"/>
      <c r="D1873" s="136"/>
      <c r="F1873" s="15"/>
      <c r="G1873" s="138"/>
      <c r="H1873" s="138"/>
      <c r="I1873" s="126"/>
      <c r="J1873" s="15"/>
      <c r="K1873" s="15"/>
      <c r="L1873" s="20"/>
      <c r="M1873" s="20"/>
      <c r="N1873" s="126"/>
      <c r="O1873" s="126"/>
      <c r="P1873" s="126"/>
      <c r="Q1873" s="171"/>
      <c r="R1873" s="172"/>
      <c r="S1873" s="172"/>
      <c r="AE1873" s="15"/>
      <c r="AF1873" s="15"/>
      <c r="AG1873" s="15"/>
      <c r="AH1873" s="15"/>
      <c r="AI1873" s="15"/>
      <c r="AJ1873" s="15"/>
      <c r="AK1873" s="15"/>
      <c r="AL1873" s="15"/>
      <c r="AM1873" s="209"/>
      <c r="AN1873" s="15"/>
    </row>
    <row r="1874" s="100" customFormat="1" spans="3:40">
      <c r="C1874" s="136"/>
      <c r="D1874" s="136"/>
      <c r="F1874" s="15"/>
      <c r="G1874" s="138"/>
      <c r="H1874" s="138"/>
      <c r="I1874" s="126"/>
      <c r="J1874" s="15"/>
      <c r="K1874" s="15"/>
      <c r="L1874" s="20"/>
      <c r="M1874" s="20"/>
      <c r="N1874" s="126"/>
      <c r="O1874" s="126"/>
      <c r="P1874" s="126"/>
      <c r="Q1874" s="171"/>
      <c r="R1874" s="172"/>
      <c r="S1874" s="172"/>
      <c r="AE1874" s="15"/>
      <c r="AF1874" s="15"/>
      <c r="AG1874" s="15"/>
      <c r="AH1874" s="15"/>
      <c r="AI1874" s="15"/>
      <c r="AJ1874" s="15"/>
      <c r="AK1874" s="15"/>
      <c r="AL1874" s="15"/>
      <c r="AM1874" s="209"/>
      <c r="AN1874" s="15"/>
    </row>
    <row r="1875" s="100" customFormat="1" spans="3:40">
      <c r="C1875" s="136"/>
      <c r="D1875" s="136"/>
      <c r="F1875" s="15"/>
      <c r="G1875" s="138"/>
      <c r="H1875" s="138"/>
      <c r="I1875" s="126"/>
      <c r="J1875" s="15"/>
      <c r="K1875" s="15"/>
      <c r="L1875" s="20"/>
      <c r="M1875" s="20"/>
      <c r="N1875" s="126"/>
      <c r="O1875" s="126"/>
      <c r="P1875" s="126"/>
      <c r="Q1875" s="171"/>
      <c r="R1875" s="172"/>
      <c r="S1875" s="172"/>
      <c r="AE1875" s="15"/>
      <c r="AF1875" s="15"/>
      <c r="AG1875" s="15"/>
      <c r="AH1875" s="15"/>
      <c r="AI1875" s="15"/>
      <c r="AJ1875" s="15"/>
      <c r="AK1875" s="15"/>
      <c r="AL1875" s="15"/>
      <c r="AM1875" s="209"/>
      <c r="AN1875" s="15"/>
    </row>
    <row r="1876" s="100" customFormat="1" spans="3:40">
      <c r="C1876" s="136"/>
      <c r="D1876" s="136"/>
      <c r="F1876" s="15"/>
      <c r="G1876" s="138"/>
      <c r="H1876" s="138"/>
      <c r="I1876" s="126"/>
      <c r="J1876" s="15"/>
      <c r="K1876" s="15"/>
      <c r="L1876" s="20"/>
      <c r="M1876" s="20"/>
      <c r="N1876" s="126"/>
      <c r="O1876" s="126"/>
      <c r="P1876" s="126"/>
      <c r="Q1876" s="171"/>
      <c r="R1876" s="172"/>
      <c r="S1876" s="172"/>
      <c r="AE1876" s="15"/>
      <c r="AF1876" s="15"/>
      <c r="AG1876" s="15"/>
      <c r="AH1876" s="15"/>
      <c r="AI1876" s="15"/>
      <c r="AJ1876" s="15"/>
      <c r="AK1876" s="15"/>
      <c r="AL1876" s="15"/>
      <c r="AM1876" s="209"/>
      <c r="AN1876" s="15"/>
    </row>
    <row r="1877" s="100" customFormat="1" spans="3:40">
      <c r="C1877" s="136"/>
      <c r="D1877" s="136"/>
      <c r="F1877" s="15"/>
      <c r="G1877" s="138"/>
      <c r="H1877" s="138"/>
      <c r="I1877" s="126"/>
      <c r="J1877" s="15"/>
      <c r="K1877" s="15"/>
      <c r="L1877" s="20"/>
      <c r="M1877" s="20"/>
      <c r="N1877" s="126"/>
      <c r="O1877" s="126"/>
      <c r="P1877" s="126"/>
      <c r="Q1877" s="171"/>
      <c r="R1877" s="172"/>
      <c r="S1877" s="172"/>
      <c r="AE1877" s="15"/>
      <c r="AF1877" s="15"/>
      <c r="AG1877" s="15"/>
      <c r="AH1877" s="15"/>
      <c r="AI1877" s="15"/>
      <c r="AJ1877" s="15"/>
      <c r="AK1877" s="15"/>
      <c r="AL1877" s="15"/>
      <c r="AM1877" s="209"/>
      <c r="AN1877" s="210"/>
    </row>
    <row r="1878" s="100" customFormat="1" spans="3:40">
      <c r="C1878" s="136"/>
      <c r="D1878" s="136"/>
      <c r="F1878" s="15"/>
      <c r="G1878" s="138"/>
      <c r="H1878" s="138"/>
      <c r="I1878" s="126"/>
      <c r="J1878" s="15"/>
      <c r="K1878" s="15"/>
      <c r="L1878" s="20"/>
      <c r="M1878" s="20"/>
      <c r="N1878" s="126"/>
      <c r="O1878" s="126"/>
      <c r="P1878" s="126"/>
      <c r="Q1878" s="171"/>
      <c r="R1878" s="172"/>
      <c r="S1878" s="172"/>
      <c r="AE1878" s="15"/>
      <c r="AF1878" s="15"/>
      <c r="AG1878" s="15"/>
      <c r="AH1878" s="15"/>
      <c r="AI1878" s="15"/>
      <c r="AJ1878" s="15"/>
      <c r="AK1878" s="15"/>
      <c r="AL1878" s="15"/>
      <c r="AM1878" s="209"/>
      <c r="AN1878" s="15"/>
    </row>
    <row r="1879" s="100" customFormat="1" spans="3:40">
      <c r="C1879" s="136"/>
      <c r="D1879" s="136"/>
      <c r="F1879" s="15"/>
      <c r="G1879" s="138"/>
      <c r="H1879" s="138"/>
      <c r="I1879" s="126"/>
      <c r="J1879" s="15"/>
      <c r="K1879" s="15"/>
      <c r="L1879" s="20"/>
      <c r="M1879" s="20"/>
      <c r="N1879" s="126"/>
      <c r="O1879" s="126"/>
      <c r="P1879" s="126"/>
      <c r="Q1879" s="171"/>
      <c r="R1879" s="172"/>
      <c r="S1879" s="172"/>
      <c r="AE1879" s="15"/>
      <c r="AF1879" s="15"/>
      <c r="AG1879" s="15"/>
      <c r="AH1879" s="15"/>
      <c r="AI1879" s="15"/>
      <c r="AJ1879" s="15"/>
      <c r="AK1879" s="15"/>
      <c r="AL1879" s="15"/>
      <c r="AM1879" s="209"/>
      <c r="AN1879" s="15"/>
    </row>
    <row r="1880" s="100" customFormat="1" spans="3:40">
      <c r="C1880" s="136"/>
      <c r="D1880" s="136"/>
      <c r="F1880" s="15"/>
      <c r="G1880" s="138"/>
      <c r="H1880" s="138"/>
      <c r="I1880" s="126"/>
      <c r="J1880" s="15"/>
      <c r="K1880" s="15"/>
      <c r="L1880" s="20"/>
      <c r="M1880" s="20"/>
      <c r="N1880" s="126"/>
      <c r="O1880" s="126"/>
      <c r="P1880" s="126"/>
      <c r="Q1880" s="171"/>
      <c r="R1880" s="172"/>
      <c r="S1880" s="172"/>
      <c r="AE1880" s="15"/>
      <c r="AF1880" s="15"/>
      <c r="AG1880" s="15"/>
      <c r="AH1880" s="15"/>
      <c r="AI1880" s="15"/>
      <c r="AJ1880" s="15"/>
      <c r="AK1880" s="15"/>
      <c r="AL1880" s="15"/>
      <c r="AM1880" s="209"/>
      <c r="AN1880" s="15"/>
    </row>
    <row r="1881" s="100" customFormat="1" spans="3:40">
      <c r="C1881" s="136"/>
      <c r="D1881" s="136"/>
      <c r="F1881" s="15"/>
      <c r="G1881" s="138"/>
      <c r="H1881" s="138"/>
      <c r="I1881" s="126"/>
      <c r="J1881" s="15"/>
      <c r="K1881" s="15"/>
      <c r="L1881" s="20"/>
      <c r="M1881" s="20"/>
      <c r="N1881" s="126"/>
      <c r="O1881" s="126"/>
      <c r="P1881" s="126"/>
      <c r="Q1881" s="171"/>
      <c r="R1881" s="172"/>
      <c r="S1881" s="172"/>
      <c r="AE1881" s="15"/>
      <c r="AF1881" s="15"/>
      <c r="AG1881" s="15"/>
      <c r="AH1881" s="15"/>
      <c r="AI1881" s="15"/>
      <c r="AJ1881" s="15"/>
      <c r="AK1881" s="15"/>
      <c r="AL1881" s="15"/>
      <c r="AM1881" s="209"/>
      <c r="AN1881" s="15"/>
    </row>
    <row r="1882" s="100" customFormat="1" spans="3:40">
      <c r="C1882" s="136"/>
      <c r="D1882" s="136"/>
      <c r="F1882" s="15"/>
      <c r="G1882" s="138"/>
      <c r="H1882" s="138"/>
      <c r="I1882" s="126"/>
      <c r="J1882" s="15"/>
      <c r="K1882" s="15"/>
      <c r="L1882" s="20"/>
      <c r="M1882" s="20"/>
      <c r="N1882" s="126"/>
      <c r="O1882" s="126"/>
      <c r="P1882" s="126"/>
      <c r="Q1882" s="171"/>
      <c r="R1882" s="172"/>
      <c r="S1882" s="172"/>
      <c r="AE1882" s="15"/>
      <c r="AF1882" s="15"/>
      <c r="AG1882" s="15"/>
      <c r="AH1882" s="15"/>
      <c r="AI1882" s="15"/>
      <c r="AJ1882" s="15"/>
      <c r="AK1882" s="15"/>
      <c r="AL1882" s="15"/>
      <c r="AM1882" s="209"/>
      <c r="AN1882" s="15"/>
    </row>
    <row r="1883" s="100" customFormat="1" spans="3:40">
      <c r="C1883" s="136"/>
      <c r="D1883" s="136"/>
      <c r="F1883" s="15"/>
      <c r="G1883" s="138"/>
      <c r="H1883" s="138"/>
      <c r="I1883" s="126"/>
      <c r="J1883" s="15"/>
      <c r="K1883" s="15"/>
      <c r="L1883" s="20"/>
      <c r="M1883" s="20"/>
      <c r="N1883" s="126"/>
      <c r="O1883" s="126"/>
      <c r="P1883" s="126"/>
      <c r="Q1883" s="171"/>
      <c r="R1883" s="172"/>
      <c r="S1883" s="172"/>
      <c r="AE1883" s="15"/>
      <c r="AF1883" s="15"/>
      <c r="AG1883" s="15"/>
      <c r="AH1883" s="15"/>
      <c r="AI1883" s="15"/>
      <c r="AJ1883" s="15"/>
      <c r="AK1883" s="15"/>
      <c r="AL1883" s="15"/>
      <c r="AM1883" s="209"/>
      <c r="AN1883" s="15"/>
    </row>
    <row r="1884" s="100" customFormat="1" spans="3:40">
      <c r="C1884" s="136"/>
      <c r="D1884" s="136"/>
      <c r="F1884" s="15"/>
      <c r="G1884" s="138"/>
      <c r="H1884" s="138"/>
      <c r="I1884" s="126"/>
      <c r="J1884" s="15"/>
      <c r="K1884" s="15"/>
      <c r="L1884" s="20"/>
      <c r="M1884" s="20"/>
      <c r="N1884" s="126"/>
      <c r="O1884" s="126"/>
      <c r="P1884" s="126"/>
      <c r="Q1884" s="171"/>
      <c r="R1884" s="172"/>
      <c r="S1884" s="172"/>
      <c r="AE1884" s="15"/>
      <c r="AF1884" s="15"/>
      <c r="AG1884" s="15"/>
      <c r="AH1884" s="15"/>
      <c r="AI1884" s="15"/>
      <c r="AJ1884" s="15"/>
      <c r="AK1884" s="15"/>
      <c r="AL1884" s="15"/>
      <c r="AM1884" s="209"/>
      <c r="AN1884" s="15"/>
    </row>
    <row r="1885" s="100" customFormat="1" spans="3:40">
      <c r="C1885" s="136"/>
      <c r="D1885" s="136"/>
      <c r="F1885" s="15"/>
      <c r="G1885" s="138"/>
      <c r="H1885" s="138"/>
      <c r="I1885" s="126"/>
      <c r="J1885" s="15"/>
      <c r="K1885" s="15"/>
      <c r="L1885" s="20"/>
      <c r="M1885" s="20"/>
      <c r="N1885" s="126"/>
      <c r="O1885" s="126"/>
      <c r="P1885" s="126"/>
      <c r="Q1885" s="171"/>
      <c r="R1885" s="172"/>
      <c r="S1885" s="172"/>
      <c r="AE1885" s="15"/>
      <c r="AF1885" s="15"/>
      <c r="AG1885" s="15"/>
      <c r="AH1885" s="15"/>
      <c r="AI1885" s="15"/>
      <c r="AJ1885" s="15"/>
      <c r="AK1885" s="15"/>
      <c r="AL1885" s="15"/>
      <c r="AM1885" s="209"/>
      <c r="AN1885" s="15"/>
    </row>
    <row r="1886" s="100" customFormat="1" spans="3:40">
      <c r="C1886" s="136"/>
      <c r="D1886" s="136"/>
      <c r="F1886" s="15"/>
      <c r="G1886" s="138"/>
      <c r="H1886" s="138"/>
      <c r="I1886" s="126"/>
      <c r="J1886" s="15"/>
      <c r="K1886" s="15"/>
      <c r="L1886" s="20"/>
      <c r="M1886" s="20"/>
      <c r="N1886" s="126"/>
      <c r="O1886" s="126"/>
      <c r="P1886" s="126"/>
      <c r="Q1886" s="171"/>
      <c r="R1886" s="172"/>
      <c r="S1886" s="172"/>
      <c r="AE1886" s="15"/>
      <c r="AF1886" s="15"/>
      <c r="AG1886" s="15"/>
      <c r="AH1886" s="15"/>
      <c r="AI1886" s="15"/>
      <c r="AJ1886" s="15"/>
      <c r="AK1886" s="15"/>
      <c r="AL1886" s="15"/>
      <c r="AM1886" s="209"/>
      <c r="AN1886" s="15"/>
    </row>
    <row r="1887" s="100" customFormat="1" spans="3:40">
      <c r="C1887" s="136"/>
      <c r="D1887" s="136"/>
      <c r="F1887" s="15"/>
      <c r="G1887" s="138"/>
      <c r="H1887" s="138"/>
      <c r="I1887" s="126"/>
      <c r="J1887" s="15"/>
      <c r="K1887" s="15"/>
      <c r="L1887" s="20"/>
      <c r="M1887" s="20"/>
      <c r="N1887" s="126"/>
      <c r="O1887" s="126"/>
      <c r="P1887" s="126"/>
      <c r="Q1887" s="171"/>
      <c r="R1887" s="172"/>
      <c r="S1887" s="172"/>
      <c r="AE1887" s="15"/>
      <c r="AF1887" s="15"/>
      <c r="AG1887" s="15"/>
      <c r="AH1887" s="15"/>
      <c r="AI1887" s="15"/>
      <c r="AJ1887" s="15"/>
      <c r="AK1887" s="15"/>
      <c r="AL1887" s="15"/>
      <c r="AM1887" s="209"/>
      <c r="AN1887" s="15"/>
    </row>
    <row r="1888" s="100" customFormat="1" spans="3:40">
      <c r="C1888" s="136"/>
      <c r="D1888" s="136"/>
      <c r="F1888" s="15"/>
      <c r="G1888" s="138"/>
      <c r="H1888" s="138"/>
      <c r="I1888" s="126"/>
      <c r="J1888" s="15"/>
      <c r="K1888" s="15"/>
      <c r="L1888" s="20"/>
      <c r="M1888" s="20"/>
      <c r="N1888" s="126"/>
      <c r="O1888" s="126"/>
      <c r="P1888" s="126"/>
      <c r="Q1888" s="171"/>
      <c r="R1888" s="172"/>
      <c r="S1888" s="172"/>
      <c r="AE1888" s="15"/>
      <c r="AF1888" s="15"/>
      <c r="AG1888" s="15"/>
      <c r="AH1888" s="15"/>
      <c r="AI1888" s="15"/>
      <c r="AJ1888" s="15"/>
      <c r="AK1888" s="15"/>
      <c r="AL1888" s="15"/>
      <c r="AM1888" s="209"/>
      <c r="AN1888" s="15"/>
    </row>
    <row r="1889" s="100" customFormat="1" spans="3:40">
      <c r="C1889" s="136"/>
      <c r="D1889" s="136"/>
      <c r="F1889" s="15"/>
      <c r="G1889" s="138"/>
      <c r="H1889" s="138"/>
      <c r="I1889" s="126"/>
      <c r="J1889" s="15"/>
      <c r="K1889" s="15"/>
      <c r="L1889" s="20"/>
      <c r="M1889" s="20"/>
      <c r="N1889" s="126"/>
      <c r="O1889" s="126"/>
      <c r="P1889" s="126"/>
      <c r="Q1889" s="171"/>
      <c r="R1889" s="172"/>
      <c r="S1889" s="172"/>
      <c r="AE1889" s="15"/>
      <c r="AF1889" s="15"/>
      <c r="AG1889" s="15"/>
      <c r="AH1889" s="15"/>
      <c r="AI1889" s="15"/>
      <c r="AJ1889" s="15"/>
      <c r="AK1889" s="15"/>
      <c r="AL1889" s="15"/>
      <c r="AM1889" s="209"/>
      <c r="AN1889" s="15"/>
    </row>
    <row r="1890" s="100" customFormat="1" spans="3:40">
      <c r="C1890" s="136"/>
      <c r="D1890" s="136"/>
      <c r="F1890" s="15"/>
      <c r="G1890" s="138"/>
      <c r="H1890" s="138"/>
      <c r="I1890" s="126"/>
      <c r="J1890" s="15"/>
      <c r="K1890" s="15"/>
      <c r="L1890" s="20"/>
      <c r="M1890" s="20"/>
      <c r="N1890" s="126"/>
      <c r="O1890" s="126"/>
      <c r="P1890" s="126"/>
      <c r="Q1890" s="171"/>
      <c r="R1890" s="172"/>
      <c r="S1890" s="172"/>
      <c r="AE1890" s="15"/>
      <c r="AF1890" s="15"/>
      <c r="AG1890" s="15"/>
      <c r="AH1890" s="15"/>
      <c r="AI1890" s="15"/>
      <c r="AJ1890" s="15"/>
      <c r="AK1890" s="15"/>
      <c r="AL1890" s="15"/>
      <c r="AM1890" s="209"/>
      <c r="AN1890" s="15"/>
    </row>
    <row r="1891" s="100" customFormat="1" spans="3:40">
      <c r="C1891" s="136"/>
      <c r="D1891" s="136"/>
      <c r="F1891" s="15"/>
      <c r="G1891" s="138"/>
      <c r="H1891" s="138"/>
      <c r="I1891" s="126"/>
      <c r="J1891" s="15"/>
      <c r="K1891" s="15"/>
      <c r="L1891" s="20"/>
      <c r="M1891" s="20"/>
      <c r="N1891" s="126"/>
      <c r="O1891" s="126"/>
      <c r="P1891" s="126"/>
      <c r="Q1891" s="171"/>
      <c r="R1891" s="172"/>
      <c r="S1891" s="172"/>
      <c r="AE1891" s="15"/>
      <c r="AF1891" s="15"/>
      <c r="AG1891" s="15"/>
      <c r="AH1891" s="15"/>
      <c r="AI1891" s="15"/>
      <c r="AJ1891" s="15"/>
      <c r="AK1891" s="15"/>
      <c r="AL1891" s="15"/>
      <c r="AM1891" s="209"/>
      <c r="AN1891" s="15"/>
    </row>
    <row r="1892" s="100" customFormat="1" spans="3:40">
      <c r="C1892" s="136"/>
      <c r="D1892" s="136"/>
      <c r="F1892" s="15"/>
      <c r="G1892" s="138"/>
      <c r="H1892" s="138"/>
      <c r="I1892" s="126"/>
      <c r="J1892" s="15"/>
      <c r="K1892" s="15"/>
      <c r="L1892" s="20"/>
      <c r="M1892" s="20"/>
      <c r="N1892" s="126"/>
      <c r="O1892" s="126"/>
      <c r="P1892" s="126"/>
      <c r="Q1892" s="171"/>
      <c r="R1892" s="172"/>
      <c r="S1892" s="172"/>
      <c r="AE1892" s="15"/>
      <c r="AF1892" s="15"/>
      <c r="AG1892" s="15"/>
      <c r="AH1892" s="15"/>
      <c r="AI1892" s="15"/>
      <c r="AJ1892" s="15"/>
      <c r="AK1892" s="15"/>
      <c r="AL1892" s="15"/>
      <c r="AM1892" s="209"/>
      <c r="AN1892" s="15"/>
    </row>
    <row r="1893" s="100" customFormat="1" spans="3:40">
      <c r="C1893" s="136"/>
      <c r="D1893" s="136"/>
      <c r="F1893" s="15"/>
      <c r="G1893" s="138"/>
      <c r="H1893" s="138"/>
      <c r="I1893" s="126"/>
      <c r="J1893" s="15"/>
      <c r="K1893" s="15"/>
      <c r="L1893" s="20"/>
      <c r="M1893" s="20"/>
      <c r="N1893" s="126"/>
      <c r="O1893" s="126"/>
      <c r="P1893" s="126"/>
      <c r="Q1893" s="171"/>
      <c r="R1893" s="172"/>
      <c r="S1893" s="172"/>
      <c r="AE1893" s="15"/>
      <c r="AF1893" s="15"/>
      <c r="AG1893" s="15"/>
      <c r="AH1893" s="15"/>
      <c r="AI1893" s="15"/>
      <c r="AJ1893" s="15"/>
      <c r="AK1893" s="15"/>
      <c r="AL1893" s="15"/>
      <c r="AM1893" s="209"/>
      <c r="AN1893" s="15"/>
    </row>
    <row r="1894" s="100" customFormat="1" spans="3:40">
      <c r="C1894" s="136"/>
      <c r="D1894" s="136"/>
      <c r="F1894" s="15"/>
      <c r="G1894" s="138"/>
      <c r="H1894" s="138"/>
      <c r="I1894" s="126"/>
      <c r="J1894" s="15"/>
      <c r="K1894" s="15"/>
      <c r="L1894" s="20"/>
      <c r="M1894" s="20"/>
      <c r="N1894" s="126"/>
      <c r="O1894" s="126"/>
      <c r="P1894" s="126"/>
      <c r="Q1894" s="171"/>
      <c r="R1894" s="172"/>
      <c r="S1894" s="172"/>
      <c r="AE1894" s="15"/>
      <c r="AF1894" s="15"/>
      <c r="AG1894" s="15"/>
      <c r="AH1894" s="15"/>
      <c r="AI1894" s="15"/>
      <c r="AJ1894" s="15"/>
      <c r="AK1894" s="15"/>
      <c r="AL1894" s="15"/>
      <c r="AM1894" s="209"/>
      <c r="AN1894" s="211"/>
    </row>
    <row r="1895" s="100" customFormat="1" spans="3:40">
      <c r="C1895" s="136"/>
      <c r="D1895" s="136"/>
      <c r="F1895" s="15"/>
      <c r="G1895" s="138"/>
      <c r="H1895" s="138"/>
      <c r="I1895" s="126"/>
      <c r="J1895" s="15"/>
      <c r="K1895" s="15"/>
      <c r="L1895" s="20"/>
      <c r="M1895" s="20"/>
      <c r="N1895" s="126"/>
      <c r="O1895" s="126"/>
      <c r="P1895" s="126"/>
      <c r="Q1895" s="171"/>
      <c r="R1895" s="172"/>
      <c r="S1895" s="172"/>
      <c r="AE1895" s="15"/>
      <c r="AF1895" s="15"/>
      <c r="AG1895" s="15"/>
      <c r="AH1895" s="15"/>
      <c r="AI1895" s="15"/>
      <c r="AJ1895" s="15"/>
      <c r="AK1895" s="15"/>
      <c r="AL1895" s="15"/>
      <c r="AM1895" s="209"/>
      <c r="AN1895" s="15"/>
    </row>
    <row r="1896" s="100" customFormat="1" spans="3:40">
      <c r="C1896" s="136"/>
      <c r="D1896" s="136"/>
      <c r="F1896" s="15"/>
      <c r="G1896" s="138"/>
      <c r="H1896" s="138"/>
      <c r="I1896" s="126"/>
      <c r="J1896" s="15"/>
      <c r="K1896" s="15"/>
      <c r="L1896" s="20"/>
      <c r="M1896" s="20"/>
      <c r="N1896" s="126"/>
      <c r="O1896" s="126"/>
      <c r="P1896" s="126"/>
      <c r="Q1896" s="171"/>
      <c r="R1896" s="172"/>
      <c r="S1896" s="172"/>
      <c r="AE1896" s="15"/>
      <c r="AF1896" s="15"/>
      <c r="AG1896" s="15"/>
      <c r="AH1896" s="15"/>
      <c r="AI1896" s="15"/>
      <c r="AJ1896" s="15"/>
      <c r="AK1896" s="15"/>
      <c r="AL1896" s="15"/>
      <c r="AM1896" s="209"/>
      <c r="AN1896" s="15"/>
    </row>
    <row r="1897" s="100" customFormat="1" spans="3:40">
      <c r="C1897" s="136"/>
      <c r="D1897" s="136"/>
      <c r="F1897" s="15"/>
      <c r="G1897" s="138"/>
      <c r="H1897" s="138"/>
      <c r="I1897" s="126"/>
      <c r="J1897" s="15"/>
      <c r="K1897" s="15"/>
      <c r="L1897" s="20"/>
      <c r="M1897" s="20"/>
      <c r="N1897" s="126"/>
      <c r="O1897" s="126"/>
      <c r="P1897" s="126"/>
      <c r="Q1897" s="171"/>
      <c r="R1897" s="172"/>
      <c r="S1897" s="172"/>
      <c r="AE1897" s="15"/>
      <c r="AF1897" s="15"/>
      <c r="AG1897" s="15"/>
      <c r="AH1897" s="15"/>
      <c r="AI1897" s="15"/>
      <c r="AJ1897" s="15"/>
      <c r="AK1897" s="15"/>
      <c r="AL1897" s="15"/>
      <c r="AM1897" s="209"/>
      <c r="AN1897" s="15"/>
    </row>
    <row r="1898" s="100" customFormat="1" spans="3:40">
      <c r="C1898" s="136"/>
      <c r="D1898" s="136"/>
      <c r="F1898" s="15"/>
      <c r="G1898" s="138"/>
      <c r="H1898" s="138"/>
      <c r="I1898" s="126"/>
      <c r="J1898" s="15"/>
      <c r="K1898" s="15"/>
      <c r="L1898" s="20"/>
      <c r="M1898" s="20"/>
      <c r="N1898" s="126"/>
      <c r="O1898" s="126"/>
      <c r="P1898" s="126"/>
      <c r="Q1898" s="171"/>
      <c r="R1898" s="172"/>
      <c r="S1898" s="172"/>
      <c r="AE1898" s="15"/>
      <c r="AF1898" s="15"/>
      <c r="AG1898" s="15"/>
      <c r="AH1898" s="15"/>
      <c r="AI1898" s="15"/>
      <c r="AJ1898" s="15"/>
      <c r="AK1898" s="15"/>
      <c r="AL1898" s="15"/>
      <c r="AM1898" s="209"/>
      <c r="AN1898" s="15"/>
    </row>
    <row r="1899" s="100" customFormat="1" spans="3:40">
      <c r="C1899" s="136"/>
      <c r="D1899" s="136"/>
      <c r="F1899" s="15"/>
      <c r="G1899" s="138"/>
      <c r="H1899" s="138"/>
      <c r="I1899" s="126"/>
      <c r="J1899" s="15"/>
      <c r="K1899" s="15"/>
      <c r="L1899" s="20"/>
      <c r="M1899" s="20"/>
      <c r="N1899" s="126"/>
      <c r="O1899" s="126"/>
      <c r="P1899" s="126"/>
      <c r="Q1899" s="171"/>
      <c r="R1899" s="172"/>
      <c r="S1899" s="172"/>
      <c r="AE1899" s="15"/>
      <c r="AF1899" s="15"/>
      <c r="AG1899" s="15"/>
      <c r="AH1899" s="15"/>
      <c r="AI1899" s="15"/>
      <c r="AJ1899" s="15"/>
      <c r="AK1899" s="15"/>
      <c r="AL1899" s="15"/>
      <c r="AM1899" s="209"/>
      <c r="AN1899" s="15"/>
    </row>
    <row r="1900" s="100" customFormat="1" spans="3:40">
      <c r="C1900" s="136"/>
      <c r="D1900" s="136"/>
      <c r="F1900" s="15"/>
      <c r="G1900" s="138"/>
      <c r="H1900" s="138"/>
      <c r="I1900" s="126"/>
      <c r="J1900" s="15"/>
      <c r="K1900" s="15"/>
      <c r="L1900" s="20"/>
      <c r="M1900" s="20"/>
      <c r="N1900" s="126"/>
      <c r="O1900" s="126"/>
      <c r="P1900" s="126"/>
      <c r="Q1900" s="171"/>
      <c r="R1900" s="172"/>
      <c r="S1900" s="172"/>
      <c r="AE1900" s="15"/>
      <c r="AF1900" s="15"/>
      <c r="AG1900" s="15"/>
      <c r="AH1900" s="15"/>
      <c r="AI1900" s="15"/>
      <c r="AJ1900" s="15"/>
      <c r="AK1900" s="15"/>
      <c r="AL1900" s="15"/>
      <c r="AM1900" s="209"/>
      <c r="AN1900" s="15"/>
    </row>
    <row r="1901" s="100" customFormat="1" spans="3:40">
      <c r="C1901" s="136"/>
      <c r="D1901" s="136"/>
      <c r="F1901" s="15"/>
      <c r="G1901" s="138"/>
      <c r="H1901" s="138"/>
      <c r="I1901" s="126"/>
      <c r="J1901" s="15"/>
      <c r="K1901" s="15"/>
      <c r="L1901" s="20"/>
      <c r="M1901" s="20"/>
      <c r="N1901" s="126"/>
      <c r="O1901" s="126"/>
      <c r="P1901" s="126"/>
      <c r="Q1901" s="171"/>
      <c r="R1901" s="172"/>
      <c r="S1901" s="172"/>
      <c r="AE1901" s="15"/>
      <c r="AF1901" s="15"/>
      <c r="AG1901" s="15"/>
      <c r="AH1901" s="15"/>
      <c r="AI1901" s="15"/>
      <c r="AJ1901" s="15"/>
      <c r="AK1901" s="15"/>
      <c r="AL1901" s="15"/>
      <c r="AM1901" s="209"/>
      <c r="AN1901" s="15"/>
    </row>
    <row r="1902" s="100" customFormat="1" spans="3:40">
      <c r="C1902" s="136"/>
      <c r="D1902" s="136"/>
      <c r="F1902" s="15"/>
      <c r="G1902" s="138"/>
      <c r="H1902" s="138"/>
      <c r="I1902" s="126"/>
      <c r="J1902" s="15"/>
      <c r="K1902" s="15"/>
      <c r="L1902" s="20"/>
      <c r="M1902" s="20"/>
      <c r="N1902" s="126"/>
      <c r="O1902" s="126"/>
      <c r="P1902" s="126"/>
      <c r="Q1902" s="171"/>
      <c r="R1902" s="172"/>
      <c r="S1902" s="172"/>
      <c r="AE1902" s="15"/>
      <c r="AF1902" s="15"/>
      <c r="AG1902" s="15"/>
      <c r="AH1902" s="15"/>
      <c r="AI1902" s="15"/>
      <c r="AJ1902" s="15"/>
      <c r="AK1902" s="15"/>
      <c r="AL1902" s="15"/>
      <c r="AM1902" s="209"/>
      <c r="AN1902" s="15"/>
    </row>
    <row r="1903" s="100" customFormat="1" spans="3:40">
      <c r="C1903" s="136"/>
      <c r="D1903" s="136"/>
      <c r="F1903" s="15"/>
      <c r="G1903" s="138"/>
      <c r="H1903" s="138"/>
      <c r="I1903" s="126"/>
      <c r="J1903" s="15"/>
      <c r="K1903" s="15"/>
      <c r="L1903" s="20"/>
      <c r="M1903" s="20"/>
      <c r="N1903" s="126"/>
      <c r="O1903" s="126"/>
      <c r="P1903" s="126"/>
      <c r="Q1903" s="171"/>
      <c r="R1903" s="172"/>
      <c r="S1903" s="172"/>
      <c r="AE1903" s="15"/>
      <c r="AF1903" s="15"/>
      <c r="AG1903" s="15"/>
      <c r="AH1903" s="15"/>
      <c r="AI1903" s="212"/>
      <c r="AJ1903" s="15"/>
      <c r="AK1903" s="15"/>
      <c r="AL1903" s="15"/>
      <c r="AM1903" s="209"/>
      <c r="AN1903" s="210"/>
    </row>
    <row r="1904" s="100" customFormat="1" spans="3:40">
      <c r="C1904" s="136"/>
      <c r="D1904" s="136"/>
      <c r="F1904" s="15"/>
      <c r="G1904" s="138"/>
      <c r="H1904" s="138"/>
      <c r="I1904" s="126"/>
      <c r="J1904" s="15"/>
      <c r="K1904" s="15"/>
      <c r="L1904" s="20"/>
      <c r="M1904" s="20"/>
      <c r="N1904" s="126"/>
      <c r="O1904" s="126"/>
      <c r="P1904" s="126"/>
      <c r="Q1904" s="171"/>
      <c r="R1904" s="172"/>
      <c r="S1904" s="172"/>
      <c r="AE1904" s="15"/>
      <c r="AF1904" s="15"/>
      <c r="AG1904" s="15"/>
      <c r="AH1904" s="15"/>
      <c r="AI1904" s="15"/>
      <c r="AJ1904" s="15"/>
      <c r="AK1904" s="15"/>
      <c r="AL1904" s="15"/>
      <c r="AM1904" s="15"/>
      <c r="AN1904" s="210"/>
    </row>
    <row r="1905" s="100" customFormat="1" spans="3:40">
      <c r="C1905" s="136"/>
      <c r="D1905" s="136"/>
      <c r="F1905" s="15"/>
      <c r="G1905" s="138"/>
      <c r="H1905" s="138"/>
      <c r="I1905" s="126"/>
      <c r="J1905" s="15"/>
      <c r="K1905" s="15"/>
      <c r="L1905" s="20"/>
      <c r="M1905" s="20"/>
      <c r="N1905" s="126"/>
      <c r="O1905" s="126"/>
      <c r="P1905" s="126"/>
      <c r="Q1905" s="171"/>
      <c r="R1905" s="172"/>
      <c r="S1905" s="172"/>
      <c r="AE1905" s="15"/>
      <c r="AF1905" s="15"/>
      <c r="AG1905" s="15"/>
      <c r="AH1905" s="15"/>
      <c r="AI1905" s="15"/>
      <c r="AJ1905" s="15"/>
      <c r="AK1905" s="15"/>
      <c r="AL1905" s="15"/>
      <c r="AM1905" s="209"/>
      <c r="AN1905" s="15"/>
    </row>
    <row r="1906" s="100" customFormat="1" spans="3:40">
      <c r="C1906" s="136"/>
      <c r="D1906" s="136"/>
      <c r="F1906" s="15"/>
      <c r="G1906" s="138"/>
      <c r="H1906" s="138"/>
      <c r="I1906" s="126"/>
      <c r="J1906" s="15"/>
      <c r="K1906" s="15"/>
      <c r="L1906" s="20"/>
      <c r="M1906" s="20"/>
      <c r="N1906" s="126"/>
      <c r="O1906" s="126"/>
      <c r="P1906" s="126"/>
      <c r="Q1906" s="171"/>
      <c r="R1906" s="172"/>
      <c r="S1906" s="172"/>
      <c r="AE1906" s="15"/>
      <c r="AF1906" s="15"/>
      <c r="AG1906" s="15"/>
      <c r="AH1906" s="15"/>
      <c r="AI1906" s="15"/>
      <c r="AJ1906" s="15"/>
      <c r="AK1906" s="15"/>
      <c r="AL1906" s="15"/>
      <c r="AM1906" s="209"/>
      <c r="AN1906" s="15"/>
    </row>
    <row r="1907" s="100" customFormat="1" spans="3:40">
      <c r="C1907" s="136"/>
      <c r="D1907" s="136"/>
      <c r="F1907" s="15"/>
      <c r="G1907" s="138"/>
      <c r="H1907" s="138"/>
      <c r="I1907" s="126"/>
      <c r="J1907" s="15"/>
      <c r="K1907" s="15"/>
      <c r="L1907" s="20"/>
      <c r="M1907" s="20"/>
      <c r="N1907" s="126"/>
      <c r="O1907" s="126"/>
      <c r="P1907" s="126"/>
      <c r="Q1907" s="171"/>
      <c r="R1907" s="172"/>
      <c r="S1907" s="172"/>
      <c r="AE1907" s="15"/>
      <c r="AF1907" s="15"/>
      <c r="AG1907" s="15"/>
      <c r="AH1907" s="15"/>
      <c r="AI1907" s="15"/>
      <c r="AJ1907" s="15"/>
      <c r="AK1907" s="15"/>
      <c r="AL1907" s="15"/>
      <c r="AM1907" s="209"/>
      <c r="AN1907" s="15"/>
    </row>
    <row r="1908" s="100" customFormat="1" spans="3:40">
      <c r="C1908" s="136"/>
      <c r="D1908" s="136"/>
      <c r="F1908" s="15"/>
      <c r="G1908" s="138"/>
      <c r="H1908" s="138"/>
      <c r="I1908" s="126"/>
      <c r="J1908" s="15"/>
      <c r="K1908" s="15"/>
      <c r="L1908" s="20"/>
      <c r="M1908" s="20"/>
      <c r="N1908" s="126"/>
      <c r="O1908" s="126"/>
      <c r="P1908" s="126"/>
      <c r="Q1908" s="171"/>
      <c r="R1908" s="172"/>
      <c r="S1908" s="172"/>
      <c r="AE1908" s="15"/>
      <c r="AF1908" s="15"/>
      <c r="AG1908" s="15"/>
      <c r="AH1908" s="15"/>
      <c r="AI1908" s="15"/>
      <c r="AJ1908" s="15"/>
      <c r="AK1908" s="15"/>
      <c r="AL1908" s="15"/>
      <c r="AM1908" s="209"/>
      <c r="AN1908" s="15"/>
    </row>
    <row r="1909" s="100" customFormat="1" spans="3:40">
      <c r="C1909" s="136"/>
      <c r="D1909" s="136"/>
      <c r="F1909" s="15"/>
      <c r="G1909" s="138"/>
      <c r="H1909" s="138"/>
      <c r="I1909" s="126"/>
      <c r="J1909" s="15"/>
      <c r="K1909" s="15"/>
      <c r="L1909" s="20"/>
      <c r="M1909" s="20"/>
      <c r="N1909" s="126"/>
      <c r="O1909" s="126"/>
      <c r="P1909" s="126"/>
      <c r="Q1909" s="171"/>
      <c r="R1909" s="172"/>
      <c r="S1909" s="172"/>
      <c r="AE1909" s="15"/>
      <c r="AF1909" s="15"/>
      <c r="AG1909" s="15"/>
      <c r="AH1909" s="15"/>
      <c r="AI1909" s="15"/>
      <c r="AJ1909" s="15"/>
      <c r="AK1909" s="15"/>
      <c r="AL1909" s="15"/>
      <c r="AM1909" s="209"/>
      <c r="AN1909" s="15"/>
    </row>
    <row r="1910" s="100" customFormat="1" spans="3:40">
      <c r="C1910" s="136"/>
      <c r="D1910" s="136"/>
      <c r="F1910" s="15"/>
      <c r="G1910" s="138"/>
      <c r="H1910" s="138"/>
      <c r="I1910" s="126"/>
      <c r="J1910" s="15"/>
      <c r="K1910" s="15"/>
      <c r="L1910" s="20"/>
      <c r="M1910" s="20"/>
      <c r="N1910" s="126"/>
      <c r="O1910" s="126"/>
      <c r="P1910" s="126"/>
      <c r="Q1910" s="171"/>
      <c r="R1910" s="172"/>
      <c r="S1910" s="172"/>
      <c r="AE1910" s="15"/>
      <c r="AF1910" s="15"/>
      <c r="AG1910" s="15"/>
      <c r="AH1910" s="15"/>
      <c r="AI1910" s="15"/>
      <c r="AJ1910" s="15"/>
      <c r="AK1910" s="15"/>
      <c r="AL1910" s="15"/>
      <c r="AM1910" s="209"/>
      <c r="AN1910" s="15"/>
    </row>
    <row r="1911" s="100" customFormat="1" spans="3:40">
      <c r="C1911" s="136"/>
      <c r="D1911" s="136"/>
      <c r="F1911" s="15"/>
      <c r="G1911" s="138"/>
      <c r="H1911" s="138"/>
      <c r="I1911" s="126"/>
      <c r="J1911" s="15"/>
      <c r="K1911" s="15"/>
      <c r="L1911" s="20"/>
      <c r="M1911" s="20"/>
      <c r="N1911" s="126"/>
      <c r="O1911" s="126"/>
      <c r="P1911" s="126"/>
      <c r="Q1911" s="171"/>
      <c r="R1911" s="172"/>
      <c r="S1911" s="172"/>
      <c r="AE1911" s="15"/>
      <c r="AF1911" s="15"/>
      <c r="AG1911" s="15"/>
      <c r="AH1911" s="15"/>
      <c r="AI1911" s="15"/>
      <c r="AJ1911" s="15"/>
      <c r="AK1911" s="15"/>
      <c r="AL1911" s="15"/>
      <c r="AM1911" s="209"/>
      <c r="AN1911" s="15"/>
    </row>
    <row r="1912" s="100" customFormat="1" spans="3:40">
      <c r="C1912" s="136"/>
      <c r="D1912" s="136"/>
      <c r="F1912" s="15"/>
      <c r="G1912" s="138"/>
      <c r="H1912" s="138"/>
      <c r="I1912" s="126"/>
      <c r="J1912" s="15"/>
      <c r="K1912" s="15"/>
      <c r="L1912" s="20"/>
      <c r="M1912" s="20"/>
      <c r="N1912" s="126"/>
      <c r="O1912" s="126"/>
      <c r="P1912" s="126"/>
      <c r="Q1912" s="171"/>
      <c r="R1912" s="172"/>
      <c r="S1912" s="172"/>
      <c r="AE1912" s="15"/>
      <c r="AF1912" s="15"/>
      <c r="AG1912" s="15"/>
      <c r="AH1912" s="15"/>
      <c r="AI1912" s="15"/>
      <c r="AJ1912" s="15"/>
      <c r="AK1912" s="15"/>
      <c r="AL1912" s="15"/>
      <c r="AM1912" s="209"/>
      <c r="AN1912" s="15"/>
    </row>
    <row r="1913" s="100" customFormat="1" spans="3:40">
      <c r="C1913" s="136"/>
      <c r="D1913" s="136"/>
      <c r="F1913" s="15"/>
      <c r="G1913" s="138"/>
      <c r="H1913" s="138"/>
      <c r="I1913" s="126"/>
      <c r="J1913" s="15"/>
      <c r="K1913" s="15"/>
      <c r="L1913" s="20"/>
      <c r="M1913" s="20"/>
      <c r="N1913" s="126"/>
      <c r="O1913" s="126"/>
      <c r="P1913" s="126"/>
      <c r="Q1913" s="171"/>
      <c r="R1913" s="172"/>
      <c r="S1913" s="172"/>
      <c r="AE1913" s="15"/>
      <c r="AF1913" s="15"/>
      <c r="AG1913" s="15"/>
      <c r="AH1913" s="15"/>
      <c r="AI1913" s="15"/>
      <c r="AJ1913" s="15"/>
      <c r="AK1913" s="15"/>
      <c r="AL1913" s="15"/>
      <c r="AM1913" s="209"/>
      <c r="AN1913" s="15"/>
    </row>
    <row r="1914" s="100" customFormat="1" spans="3:40">
      <c r="C1914" s="136"/>
      <c r="D1914" s="136"/>
      <c r="F1914" s="15"/>
      <c r="G1914" s="138"/>
      <c r="H1914" s="138"/>
      <c r="I1914" s="126"/>
      <c r="J1914" s="15"/>
      <c r="K1914" s="15"/>
      <c r="L1914" s="20"/>
      <c r="M1914" s="20"/>
      <c r="N1914" s="126"/>
      <c r="O1914" s="126"/>
      <c r="P1914" s="126"/>
      <c r="Q1914" s="171"/>
      <c r="R1914" s="172"/>
      <c r="S1914" s="172"/>
      <c r="AE1914" s="15"/>
      <c r="AF1914" s="15"/>
      <c r="AG1914" s="15"/>
      <c r="AH1914" s="15"/>
      <c r="AI1914" s="15"/>
      <c r="AJ1914" s="15"/>
      <c r="AK1914" s="15"/>
      <c r="AL1914" s="15"/>
      <c r="AM1914" s="209"/>
      <c r="AN1914" s="210"/>
    </row>
    <row r="1915" s="100" customFormat="1" spans="3:40">
      <c r="C1915" s="136"/>
      <c r="D1915" s="136"/>
      <c r="F1915" s="15"/>
      <c r="G1915" s="138"/>
      <c r="H1915" s="138"/>
      <c r="I1915" s="126"/>
      <c r="J1915" s="15"/>
      <c r="K1915" s="15"/>
      <c r="L1915" s="20"/>
      <c r="M1915" s="20"/>
      <c r="N1915" s="126"/>
      <c r="O1915" s="126"/>
      <c r="P1915" s="126"/>
      <c r="Q1915" s="171"/>
      <c r="R1915" s="172"/>
      <c r="S1915" s="172"/>
      <c r="AE1915" s="15"/>
      <c r="AF1915" s="15"/>
      <c r="AG1915" s="15"/>
      <c r="AH1915" s="15"/>
      <c r="AI1915" s="15"/>
      <c r="AJ1915" s="15"/>
      <c r="AK1915" s="15"/>
      <c r="AL1915" s="15"/>
      <c r="AM1915" s="209"/>
      <c r="AN1915" s="210"/>
    </row>
    <row r="1916" s="100" customFormat="1" spans="3:40">
      <c r="C1916" s="136"/>
      <c r="D1916" s="136"/>
      <c r="F1916" s="15"/>
      <c r="G1916" s="138"/>
      <c r="H1916" s="138"/>
      <c r="I1916" s="126"/>
      <c r="J1916" s="15"/>
      <c r="K1916" s="15"/>
      <c r="L1916" s="20"/>
      <c r="M1916" s="20"/>
      <c r="N1916" s="126"/>
      <c r="O1916" s="126"/>
      <c r="P1916" s="126"/>
      <c r="Q1916" s="171"/>
      <c r="R1916" s="172"/>
      <c r="S1916" s="172"/>
      <c r="AE1916" s="15"/>
      <c r="AF1916" s="15"/>
      <c r="AG1916" s="15"/>
      <c r="AH1916" s="15"/>
      <c r="AI1916" s="15"/>
      <c r="AJ1916" s="15"/>
      <c r="AK1916" s="15"/>
      <c r="AL1916" s="15"/>
      <c r="AM1916" s="209"/>
      <c r="AN1916" s="210"/>
    </row>
    <row r="1917" s="100" customFormat="1" spans="3:40">
      <c r="C1917" s="136"/>
      <c r="D1917" s="136"/>
      <c r="F1917" s="15"/>
      <c r="G1917" s="138"/>
      <c r="H1917" s="138"/>
      <c r="I1917" s="126"/>
      <c r="J1917" s="15"/>
      <c r="K1917" s="15"/>
      <c r="L1917" s="20"/>
      <c r="M1917" s="20"/>
      <c r="N1917" s="126"/>
      <c r="O1917" s="126"/>
      <c r="P1917" s="126"/>
      <c r="Q1917" s="171"/>
      <c r="R1917" s="172"/>
      <c r="S1917" s="172"/>
      <c r="AE1917" s="15"/>
      <c r="AF1917" s="15"/>
      <c r="AG1917" s="15"/>
      <c r="AH1917" s="15"/>
      <c r="AI1917" s="15"/>
      <c r="AJ1917" s="15"/>
      <c r="AK1917" s="15"/>
      <c r="AL1917" s="15"/>
      <c r="AM1917" s="209"/>
      <c r="AN1917" s="210"/>
    </row>
    <row r="1918" s="100" customFormat="1" spans="3:40">
      <c r="C1918" s="136"/>
      <c r="D1918" s="136"/>
      <c r="F1918" s="15"/>
      <c r="G1918" s="138"/>
      <c r="H1918" s="138"/>
      <c r="I1918" s="126"/>
      <c r="J1918" s="15"/>
      <c r="K1918" s="15"/>
      <c r="L1918" s="20"/>
      <c r="M1918" s="20"/>
      <c r="N1918" s="126"/>
      <c r="O1918" s="126"/>
      <c r="P1918" s="126"/>
      <c r="Q1918" s="171"/>
      <c r="R1918" s="172"/>
      <c r="S1918" s="172"/>
      <c r="AE1918" s="15"/>
      <c r="AF1918" s="15"/>
      <c r="AG1918" s="15"/>
      <c r="AH1918" s="15"/>
      <c r="AI1918" s="15"/>
      <c r="AJ1918" s="15"/>
      <c r="AK1918" s="15"/>
      <c r="AL1918" s="15"/>
      <c r="AM1918" s="209"/>
      <c r="AN1918" s="15"/>
    </row>
    <row r="1919" s="100" customFormat="1" spans="3:40">
      <c r="C1919" s="136"/>
      <c r="D1919" s="136"/>
      <c r="F1919" s="15"/>
      <c r="G1919" s="138"/>
      <c r="H1919" s="138"/>
      <c r="I1919" s="126"/>
      <c r="J1919" s="15"/>
      <c r="K1919" s="15"/>
      <c r="L1919" s="20"/>
      <c r="M1919" s="20"/>
      <c r="N1919" s="126"/>
      <c r="O1919" s="126"/>
      <c r="P1919" s="126"/>
      <c r="Q1919" s="171"/>
      <c r="R1919" s="172"/>
      <c r="S1919" s="172"/>
      <c r="AE1919" s="15"/>
      <c r="AF1919" s="15"/>
      <c r="AG1919" s="15"/>
      <c r="AH1919" s="15"/>
      <c r="AI1919" s="15"/>
      <c r="AJ1919" s="15"/>
      <c r="AK1919" s="15"/>
      <c r="AL1919" s="15"/>
      <c r="AM1919" s="209"/>
      <c r="AN1919" s="15"/>
    </row>
    <row r="1920" s="100" customFormat="1" spans="3:40">
      <c r="C1920" s="136"/>
      <c r="D1920" s="136"/>
      <c r="F1920" s="15"/>
      <c r="G1920" s="138"/>
      <c r="H1920" s="138"/>
      <c r="I1920" s="126"/>
      <c r="J1920" s="15"/>
      <c r="K1920" s="15"/>
      <c r="L1920" s="20"/>
      <c r="M1920" s="20"/>
      <c r="N1920" s="126"/>
      <c r="O1920" s="126"/>
      <c r="P1920" s="126"/>
      <c r="Q1920" s="171"/>
      <c r="R1920" s="172"/>
      <c r="S1920" s="172"/>
      <c r="AE1920" s="15"/>
      <c r="AF1920" s="15"/>
      <c r="AG1920" s="15"/>
      <c r="AH1920" s="15"/>
      <c r="AI1920" s="15"/>
      <c r="AJ1920" s="15"/>
      <c r="AK1920" s="15"/>
      <c r="AL1920" s="15"/>
      <c r="AM1920" s="209"/>
      <c r="AN1920" s="15"/>
    </row>
    <row r="1921" s="100" customFormat="1" spans="3:40">
      <c r="C1921" s="136"/>
      <c r="D1921" s="136"/>
      <c r="F1921" s="15"/>
      <c r="G1921" s="138"/>
      <c r="H1921" s="138"/>
      <c r="I1921" s="126"/>
      <c r="J1921" s="15"/>
      <c r="K1921" s="15"/>
      <c r="L1921" s="20"/>
      <c r="M1921" s="20"/>
      <c r="N1921" s="126"/>
      <c r="O1921" s="126"/>
      <c r="P1921" s="126"/>
      <c r="Q1921" s="171"/>
      <c r="R1921" s="172"/>
      <c r="S1921" s="172"/>
      <c r="AE1921" s="15"/>
      <c r="AF1921" s="15"/>
      <c r="AG1921" s="15"/>
      <c r="AH1921" s="15"/>
      <c r="AI1921" s="15"/>
      <c r="AJ1921" s="15"/>
      <c r="AK1921" s="15"/>
      <c r="AL1921" s="15"/>
      <c r="AM1921" s="209"/>
      <c r="AN1921" s="15"/>
    </row>
    <row r="1922" s="100" customFormat="1" spans="3:40">
      <c r="C1922" s="136"/>
      <c r="D1922" s="136"/>
      <c r="F1922" s="15"/>
      <c r="G1922" s="138"/>
      <c r="H1922" s="138"/>
      <c r="I1922" s="126"/>
      <c r="J1922" s="15"/>
      <c r="K1922" s="15"/>
      <c r="L1922" s="20"/>
      <c r="M1922" s="20"/>
      <c r="N1922" s="126"/>
      <c r="O1922" s="126"/>
      <c r="P1922" s="126"/>
      <c r="Q1922" s="171"/>
      <c r="R1922" s="172"/>
      <c r="S1922" s="172"/>
      <c r="AE1922" s="15"/>
      <c r="AF1922" s="15"/>
      <c r="AG1922" s="15"/>
      <c r="AH1922" s="15"/>
      <c r="AI1922" s="15"/>
      <c r="AJ1922" s="15"/>
      <c r="AK1922" s="15"/>
      <c r="AL1922" s="15"/>
      <c r="AM1922" s="209"/>
      <c r="AN1922" s="15"/>
    </row>
    <row r="1923" s="100" customFormat="1" spans="3:40">
      <c r="C1923" s="136"/>
      <c r="D1923" s="136"/>
      <c r="F1923" s="15"/>
      <c r="G1923" s="138"/>
      <c r="H1923" s="138"/>
      <c r="I1923" s="126"/>
      <c r="J1923" s="15"/>
      <c r="K1923" s="15"/>
      <c r="L1923" s="20"/>
      <c r="M1923" s="20"/>
      <c r="N1923" s="126"/>
      <c r="O1923" s="126"/>
      <c r="P1923" s="126"/>
      <c r="Q1923" s="171"/>
      <c r="R1923" s="172"/>
      <c r="S1923" s="172"/>
      <c r="AE1923" s="15"/>
      <c r="AF1923" s="15"/>
      <c r="AG1923" s="15"/>
      <c r="AH1923" s="15"/>
      <c r="AI1923" s="15"/>
      <c r="AJ1923" s="15"/>
      <c r="AK1923" s="15"/>
      <c r="AL1923" s="15"/>
      <c r="AM1923" s="209"/>
      <c r="AN1923" s="15"/>
    </row>
    <row r="1924" s="100" customFormat="1" spans="3:40">
      <c r="C1924" s="136"/>
      <c r="D1924" s="136"/>
      <c r="F1924" s="15"/>
      <c r="G1924" s="138"/>
      <c r="H1924" s="138"/>
      <c r="I1924" s="126"/>
      <c r="J1924" s="15"/>
      <c r="K1924" s="15"/>
      <c r="L1924" s="20"/>
      <c r="M1924" s="20"/>
      <c r="N1924" s="126"/>
      <c r="O1924" s="126"/>
      <c r="P1924" s="126"/>
      <c r="Q1924" s="171"/>
      <c r="R1924" s="172"/>
      <c r="S1924" s="172"/>
      <c r="AE1924" s="15"/>
      <c r="AF1924" s="15"/>
      <c r="AG1924" s="15"/>
      <c r="AH1924" s="15"/>
      <c r="AI1924" s="15"/>
      <c r="AJ1924" s="15"/>
      <c r="AK1924" s="15"/>
      <c r="AL1924" s="15"/>
      <c r="AM1924" s="209"/>
      <c r="AN1924" s="15"/>
    </row>
    <row r="1925" s="100" customFormat="1" spans="3:40">
      <c r="C1925" s="136"/>
      <c r="D1925" s="136"/>
      <c r="F1925" s="15"/>
      <c r="G1925" s="138"/>
      <c r="H1925" s="138"/>
      <c r="I1925" s="126"/>
      <c r="J1925" s="15"/>
      <c r="K1925" s="15"/>
      <c r="L1925" s="20"/>
      <c r="M1925" s="20"/>
      <c r="N1925" s="126"/>
      <c r="O1925" s="126"/>
      <c r="P1925" s="126"/>
      <c r="Q1925" s="171"/>
      <c r="R1925" s="172"/>
      <c r="S1925" s="172"/>
      <c r="AE1925" s="15"/>
      <c r="AF1925" s="15"/>
      <c r="AG1925" s="15"/>
      <c r="AH1925" s="15"/>
      <c r="AI1925" s="15"/>
      <c r="AJ1925" s="15"/>
      <c r="AK1925" s="15"/>
      <c r="AL1925" s="15"/>
      <c r="AM1925" s="209"/>
      <c r="AN1925" s="15"/>
    </row>
    <row r="1926" s="100" customFormat="1" spans="3:40">
      <c r="C1926" s="136"/>
      <c r="D1926" s="136"/>
      <c r="F1926" s="15"/>
      <c r="G1926" s="138"/>
      <c r="H1926" s="138"/>
      <c r="I1926" s="126"/>
      <c r="J1926" s="15"/>
      <c r="K1926" s="15"/>
      <c r="L1926" s="20"/>
      <c r="M1926" s="20"/>
      <c r="N1926" s="126"/>
      <c r="O1926" s="126"/>
      <c r="P1926" s="126"/>
      <c r="Q1926" s="171"/>
      <c r="R1926" s="172"/>
      <c r="S1926" s="172"/>
      <c r="AE1926" s="15"/>
      <c r="AF1926" s="15"/>
      <c r="AG1926" s="15"/>
      <c r="AH1926" s="15"/>
      <c r="AI1926" s="15"/>
      <c r="AJ1926" s="15"/>
      <c r="AK1926" s="15"/>
      <c r="AL1926" s="15"/>
      <c r="AM1926" s="209"/>
      <c r="AN1926" s="15"/>
    </row>
    <row r="1927" s="100" customFormat="1" spans="3:40">
      <c r="C1927" s="136"/>
      <c r="D1927" s="136"/>
      <c r="F1927" s="15"/>
      <c r="G1927" s="138"/>
      <c r="H1927" s="138"/>
      <c r="I1927" s="126"/>
      <c r="J1927" s="15"/>
      <c r="K1927" s="15"/>
      <c r="L1927" s="20"/>
      <c r="M1927" s="20"/>
      <c r="N1927" s="126"/>
      <c r="O1927" s="126"/>
      <c r="P1927" s="126"/>
      <c r="Q1927" s="171"/>
      <c r="R1927" s="172"/>
      <c r="S1927" s="172"/>
      <c r="AE1927" s="15"/>
      <c r="AF1927" s="15"/>
      <c r="AG1927" s="15"/>
      <c r="AH1927" s="15"/>
      <c r="AI1927" s="15"/>
      <c r="AJ1927" s="15"/>
      <c r="AK1927" s="15"/>
      <c r="AL1927" s="15"/>
      <c r="AM1927" s="209"/>
      <c r="AN1927" s="15"/>
    </row>
    <row r="1928" s="100" customFormat="1" spans="3:40">
      <c r="C1928" s="136"/>
      <c r="D1928" s="136"/>
      <c r="F1928" s="15"/>
      <c r="G1928" s="138"/>
      <c r="H1928" s="138"/>
      <c r="I1928" s="126"/>
      <c r="J1928" s="15"/>
      <c r="K1928" s="15"/>
      <c r="L1928" s="20"/>
      <c r="M1928" s="20"/>
      <c r="N1928" s="126"/>
      <c r="O1928" s="126"/>
      <c r="P1928" s="126"/>
      <c r="Q1928" s="171"/>
      <c r="R1928" s="172"/>
      <c r="S1928" s="172"/>
      <c r="AE1928" s="15"/>
      <c r="AF1928" s="15"/>
      <c r="AG1928" s="15"/>
      <c r="AH1928" s="15"/>
      <c r="AI1928" s="15"/>
      <c r="AJ1928" s="15"/>
      <c r="AK1928" s="15"/>
      <c r="AL1928" s="15"/>
      <c r="AM1928" s="209"/>
      <c r="AN1928" s="15"/>
    </row>
    <row r="1929" s="100" customFormat="1" spans="3:40">
      <c r="C1929" s="136"/>
      <c r="D1929" s="136"/>
      <c r="F1929" s="15"/>
      <c r="G1929" s="138"/>
      <c r="H1929" s="138"/>
      <c r="I1929" s="126"/>
      <c r="J1929" s="15"/>
      <c r="K1929" s="15"/>
      <c r="L1929" s="20"/>
      <c r="M1929" s="20"/>
      <c r="N1929" s="126"/>
      <c r="O1929" s="126"/>
      <c r="P1929" s="126"/>
      <c r="Q1929" s="171"/>
      <c r="R1929" s="172"/>
      <c r="S1929" s="172"/>
      <c r="AE1929" s="15"/>
      <c r="AF1929" s="15"/>
      <c r="AG1929" s="15"/>
      <c r="AH1929" s="15"/>
      <c r="AI1929" s="15"/>
      <c r="AJ1929" s="15"/>
      <c r="AK1929" s="15"/>
      <c r="AL1929" s="15"/>
      <c r="AM1929" s="209"/>
      <c r="AN1929" s="15"/>
    </row>
    <row r="1930" s="100" customFormat="1" spans="3:40">
      <c r="C1930" s="136"/>
      <c r="D1930" s="136"/>
      <c r="F1930" s="15"/>
      <c r="G1930" s="138"/>
      <c r="H1930" s="138"/>
      <c r="I1930" s="126"/>
      <c r="J1930" s="15"/>
      <c r="K1930" s="15"/>
      <c r="L1930" s="20"/>
      <c r="M1930" s="20"/>
      <c r="N1930" s="126"/>
      <c r="O1930" s="126"/>
      <c r="P1930" s="126"/>
      <c r="Q1930" s="171"/>
      <c r="R1930" s="172"/>
      <c r="S1930" s="172"/>
      <c r="AE1930" s="15"/>
      <c r="AF1930" s="15"/>
      <c r="AG1930" s="15"/>
      <c r="AH1930" s="15"/>
      <c r="AI1930" s="15"/>
      <c r="AJ1930" s="15"/>
      <c r="AK1930" s="15"/>
      <c r="AL1930" s="15"/>
      <c r="AM1930" s="209"/>
      <c r="AN1930" s="15"/>
    </row>
    <row r="1931" s="100" customFormat="1" spans="3:40">
      <c r="C1931" s="136"/>
      <c r="D1931" s="136"/>
      <c r="F1931" s="15"/>
      <c r="G1931" s="138"/>
      <c r="H1931" s="138"/>
      <c r="I1931" s="126"/>
      <c r="J1931" s="15"/>
      <c r="K1931" s="15"/>
      <c r="L1931" s="20"/>
      <c r="M1931" s="20"/>
      <c r="N1931" s="126"/>
      <c r="O1931" s="126"/>
      <c r="P1931" s="126"/>
      <c r="Q1931" s="171"/>
      <c r="R1931" s="172"/>
      <c r="S1931" s="172"/>
      <c r="AE1931" s="15"/>
      <c r="AF1931" s="15"/>
      <c r="AG1931" s="15"/>
      <c r="AH1931" s="15"/>
      <c r="AI1931" s="15"/>
      <c r="AJ1931" s="15"/>
      <c r="AK1931" s="15"/>
      <c r="AL1931" s="15"/>
      <c r="AM1931" s="209"/>
      <c r="AN1931" s="15"/>
    </row>
    <row r="1932" s="100" customFormat="1" spans="3:40">
      <c r="C1932" s="136"/>
      <c r="D1932" s="136"/>
      <c r="F1932" s="15"/>
      <c r="G1932" s="138"/>
      <c r="H1932" s="138"/>
      <c r="I1932" s="126"/>
      <c r="J1932" s="15"/>
      <c r="K1932" s="15"/>
      <c r="L1932" s="20"/>
      <c r="M1932" s="20"/>
      <c r="N1932" s="126"/>
      <c r="O1932" s="126"/>
      <c r="P1932" s="126"/>
      <c r="Q1932" s="171"/>
      <c r="R1932" s="172"/>
      <c r="S1932" s="172"/>
      <c r="AE1932" s="15"/>
      <c r="AF1932" s="15"/>
      <c r="AG1932" s="15"/>
      <c r="AH1932" s="15"/>
      <c r="AI1932" s="15"/>
      <c r="AJ1932" s="15"/>
      <c r="AK1932" s="15"/>
      <c r="AL1932" s="15"/>
      <c r="AM1932" s="209"/>
      <c r="AN1932" s="15"/>
    </row>
    <row r="1933" s="100" customFormat="1" spans="3:40">
      <c r="C1933" s="136"/>
      <c r="D1933" s="136"/>
      <c r="F1933" s="15"/>
      <c r="G1933" s="138"/>
      <c r="H1933" s="138"/>
      <c r="I1933" s="126"/>
      <c r="J1933" s="15"/>
      <c r="K1933" s="15"/>
      <c r="L1933" s="20"/>
      <c r="M1933" s="20"/>
      <c r="N1933" s="126"/>
      <c r="O1933" s="126"/>
      <c r="P1933" s="126"/>
      <c r="Q1933" s="171"/>
      <c r="R1933" s="172"/>
      <c r="S1933" s="172"/>
      <c r="AE1933" s="15"/>
      <c r="AF1933" s="15"/>
      <c r="AG1933" s="15"/>
      <c r="AH1933" s="15"/>
      <c r="AI1933" s="15"/>
      <c r="AJ1933" s="15"/>
      <c r="AK1933" s="15"/>
      <c r="AL1933" s="15"/>
      <c r="AM1933" s="209"/>
      <c r="AN1933" s="15"/>
    </row>
    <row r="1934" s="100" customFormat="1" spans="3:40">
      <c r="C1934" s="136"/>
      <c r="D1934" s="136"/>
      <c r="F1934" s="15"/>
      <c r="G1934" s="138"/>
      <c r="H1934" s="138"/>
      <c r="I1934" s="126"/>
      <c r="J1934" s="15"/>
      <c r="K1934" s="15"/>
      <c r="L1934" s="20"/>
      <c r="M1934" s="20"/>
      <c r="N1934" s="126"/>
      <c r="O1934" s="126"/>
      <c r="P1934" s="126"/>
      <c r="Q1934" s="171"/>
      <c r="R1934" s="172"/>
      <c r="S1934" s="172"/>
      <c r="AE1934" s="15"/>
      <c r="AF1934" s="15"/>
      <c r="AG1934" s="15"/>
      <c r="AH1934" s="15"/>
      <c r="AI1934" s="15"/>
      <c r="AJ1934" s="15"/>
      <c r="AK1934" s="15"/>
      <c r="AL1934" s="15"/>
      <c r="AM1934" s="209"/>
      <c r="AN1934" s="15"/>
    </row>
    <row r="1935" s="100" customFormat="1" spans="3:40">
      <c r="C1935" s="136"/>
      <c r="D1935" s="136"/>
      <c r="F1935" s="15"/>
      <c r="G1935" s="138"/>
      <c r="H1935" s="138"/>
      <c r="I1935" s="126"/>
      <c r="J1935" s="15"/>
      <c r="K1935" s="15"/>
      <c r="L1935" s="20"/>
      <c r="M1935" s="20"/>
      <c r="N1935" s="126"/>
      <c r="O1935" s="126"/>
      <c r="P1935" s="126"/>
      <c r="Q1935" s="171"/>
      <c r="R1935" s="172"/>
      <c r="S1935" s="172"/>
      <c r="AE1935" s="15"/>
      <c r="AF1935" s="15"/>
      <c r="AG1935" s="15"/>
      <c r="AH1935" s="15"/>
      <c r="AI1935" s="15"/>
      <c r="AJ1935" s="15"/>
      <c r="AK1935" s="15"/>
      <c r="AL1935" s="15"/>
      <c r="AM1935" s="209"/>
      <c r="AN1935" s="15"/>
    </row>
    <row r="1936" s="100" customFormat="1" spans="3:40">
      <c r="C1936" s="136"/>
      <c r="D1936" s="136"/>
      <c r="F1936" s="15"/>
      <c r="G1936" s="138"/>
      <c r="H1936" s="138"/>
      <c r="I1936" s="126"/>
      <c r="J1936" s="15"/>
      <c r="K1936" s="15"/>
      <c r="L1936" s="20"/>
      <c r="M1936" s="20"/>
      <c r="N1936" s="126"/>
      <c r="O1936" s="126"/>
      <c r="P1936" s="126"/>
      <c r="Q1936" s="171"/>
      <c r="R1936" s="172"/>
      <c r="S1936" s="172"/>
      <c r="AE1936" s="15"/>
      <c r="AF1936" s="15"/>
      <c r="AG1936" s="15"/>
      <c r="AH1936" s="15"/>
      <c r="AI1936" s="15"/>
      <c r="AJ1936" s="15"/>
      <c r="AK1936" s="15"/>
      <c r="AL1936" s="15"/>
      <c r="AM1936" s="209"/>
      <c r="AN1936" s="15"/>
    </row>
    <row r="1937" s="100" customFormat="1" spans="3:40">
      <c r="C1937" s="136"/>
      <c r="D1937" s="136"/>
      <c r="F1937" s="15"/>
      <c r="G1937" s="138"/>
      <c r="H1937" s="138"/>
      <c r="I1937" s="126"/>
      <c r="J1937" s="15"/>
      <c r="K1937" s="15"/>
      <c r="L1937" s="20"/>
      <c r="M1937" s="20"/>
      <c r="N1937" s="126"/>
      <c r="O1937" s="126"/>
      <c r="P1937" s="126"/>
      <c r="Q1937" s="171"/>
      <c r="R1937" s="172"/>
      <c r="S1937" s="172"/>
      <c r="AE1937" s="15"/>
      <c r="AF1937" s="15"/>
      <c r="AG1937" s="15"/>
      <c r="AH1937" s="15"/>
      <c r="AI1937" s="15"/>
      <c r="AJ1937" s="15"/>
      <c r="AK1937" s="15"/>
      <c r="AL1937" s="15"/>
      <c r="AM1937" s="209"/>
      <c r="AN1937" s="15"/>
    </row>
    <row r="1938" s="100" customFormat="1" spans="3:40">
      <c r="C1938" s="136"/>
      <c r="D1938" s="136"/>
      <c r="F1938" s="15"/>
      <c r="G1938" s="138"/>
      <c r="H1938" s="138"/>
      <c r="I1938" s="126"/>
      <c r="J1938" s="15"/>
      <c r="K1938" s="15"/>
      <c r="L1938" s="20"/>
      <c r="M1938" s="20"/>
      <c r="N1938" s="126"/>
      <c r="O1938" s="126"/>
      <c r="P1938" s="126"/>
      <c r="Q1938" s="171"/>
      <c r="R1938" s="172"/>
      <c r="S1938" s="172"/>
      <c r="AE1938" s="15"/>
      <c r="AF1938" s="15"/>
      <c r="AG1938" s="15"/>
      <c r="AH1938" s="15"/>
      <c r="AI1938" s="15"/>
      <c r="AJ1938" s="15"/>
      <c r="AK1938" s="15"/>
      <c r="AL1938" s="15"/>
      <c r="AM1938" s="209"/>
      <c r="AN1938" s="15"/>
    </row>
    <row r="1939" s="100" customFormat="1" spans="3:40">
      <c r="C1939" s="136"/>
      <c r="D1939" s="136"/>
      <c r="F1939" s="15"/>
      <c r="G1939" s="138"/>
      <c r="H1939" s="138"/>
      <c r="I1939" s="126"/>
      <c r="J1939" s="15"/>
      <c r="K1939" s="15"/>
      <c r="L1939" s="20"/>
      <c r="M1939" s="20"/>
      <c r="N1939" s="126"/>
      <c r="O1939" s="126"/>
      <c r="P1939" s="126"/>
      <c r="Q1939" s="171"/>
      <c r="R1939" s="172"/>
      <c r="S1939" s="172"/>
      <c r="AE1939" s="15"/>
      <c r="AF1939" s="15"/>
      <c r="AG1939" s="15"/>
      <c r="AH1939" s="15"/>
      <c r="AI1939" s="15"/>
      <c r="AJ1939" s="15"/>
      <c r="AK1939" s="15"/>
      <c r="AL1939" s="15"/>
      <c r="AM1939" s="209"/>
      <c r="AN1939" s="15"/>
    </row>
    <row r="1940" s="100" customFormat="1" spans="3:40">
      <c r="C1940" s="136"/>
      <c r="D1940" s="136"/>
      <c r="F1940" s="15"/>
      <c r="G1940" s="138"/>
      <c r="H1940" s="138"/>
      <c r="I1940" s="126"/>
      <c r="J1940" s="15"/>
      <c r="K1940" s="15"/>
      <c r="L1940" s="20"/>
      <c r="M1940" s="20"/>
      <c r="N1940" s="126"/>
      <c r="O1940" s="126"/>
      <c r="P1940" s="126"/>
      <c r="Q1940" s="171"/>
      <c r="R1940" s="172"/>
      <c r="S1940" s="172"/>
      <c r="AE1940" s="15"/>
      <c r="AF1940" s="15"/>
      <c r="AG1940" s="15"/>
      <c r="AH1940" s="15"/>
      <c r="AI1940" s="15"/>
      <c r="AJ1940" s="15"/>
      <c r="AK1940" s="15"/>
      <c r="AL1940" s="15"/>
      <c r="AM1940" s="209"/>
      <c r="AN1940" s="15"/>
    </row>
    <row r="1941" s="100" customFormat="1" spans="3:40">
      <c r="C1941" s="136"/>
      <c r="D1941" s="136"/>
      <c r="F1941" s="15"/>
      <c r="G1941" s="138"/>
      <c r="H1941" s="138"/>
      <c r="I1941" s="126"/>
      <c r="J1941" s="15"/>
      <c r="K1941" s="15"/>
      <c r="L1941" s="20"/>
      <c r="M1941" s="20"/>
      <c r="N1941" s="126"/>
      <c r="O1941" s="126"/>
      <c r="P1941" s="126"/>
      <c r="Q1941" s="171"/>
      <c r="R1941" s="172"/>
      <c r="S1941" s="172"/>
      <c r="AE1941" s="15"/>
      <c r="AF1941" s="15"/>
      <c r="AG1941" s="15"/>
      <c r="AH1941" s="15"/>
      <c r="AI1941" s="15"/>
      <c r="AJ1941" s="15"/>
      <c r="AK1941" s="15"/>
      <c r="AL1941" s="15"/>
      <c r="AM1941" s="209"/>
      <c r="AN1941" s="15"/>
    </row>
    <row r="1942" s="100" customFormat="1" spans="3:40">
      <c r="C1942" s="136"/>
      <c r="D1942" s="136"/>
      <c r="F1942" s="15"/>
      <c r="G1942" s="138"/>
      <c r="H1942" s="138"/>
      <c r="I1942" s="126"/>
      <c r="J1942" s="15"/>
      <c r="K1942" s="15"/>
      <c r="L1942" s="20"/>
      <c r="M1942" s="20"/>
      <c r="N1942" s="126"/>
      <c r="O1942" s="126"/>
      <c r="P1942" s="126"/>
      <c r="Q1942" s="171"/>
      <c r="R1942" s="172"/>
      <c r="S1942" s="172"/>
      <c r="AE1942" s="15"/>
      <c r="AF1942" s="15"/>
      <c r="AG1942" s="15"/>
      <c r="AH1942" s="15"/>
      <c r="AI1942" s="15"/>
      <c r="AJ1942" s="15"/>
      <c r="AK1942" s="15"/>
      <c r="AL1942" s="15"/>
      <c r="AM1942" s="209"/>
      <c r="AN1942" s="15"/>
    </row>
    <row r="1943" s="100" customFormat="1" spans="3:40">
      <c r="C1943" s="136"/>
      <c r="D1943" s="136"/>
      <c r="F1943" s="15"/>
      <c r="G1943" s="138"/>
      <c r="H1943" s="138"/>
      <c r="I1943" s="126"/>
      <c r="J1943" s="15"/>
      <c r="K1943" s="15"/>
      <c r="L1943" s="20"/>
      <c r="M1943" s="20"/>
      <c r="N1943" s="126"/>
      <c r="O1943" s="126"/>
      <c r="P1943" s="126"/>
      <c r="Q1943" s="171"/>
      <c r="R1943" s="172"/>
      <c r="S1943" s="172"/>
      <c r="AE1943" s="15"/>
      <c r="AF1943" s="15"/>
      <c r="AG1943" s="15"/>
      <c r="AH1943" s="15"/>
      <c r="AI1943" s="15"/>
      <c r="AJ1943" s="15"/>
      <c r="AK1943" s="15"/>
      <c r="AL1943" s="15"/>
      <c r="AM1943" s="209"/>
      <c r="AN1943" s="15"/>
    </row>
    <row r="1944" s="100" customFormat="1" spans="3:40">
      <c r="C1944" s="136"/>
      <c r="D1944" s="136"/>
      <c r="F1944" s="15"/>
      <c r="G1944" s="138"/>
      <c r="H1944" s="138"/>
      <c r="I1944" s="126"/>
      <c r="J1944" s="15"/>
      <c r="K1944" s="15"/>
      <c r="L1944" s="20"/>
      <c r="M1944" s="20"/>
      <c r="N1944" s="126"/>
      <c r="O1944" s="126"/>
      <c r="P1944" s="126"/>
      <c r="Q1944" s="171"/>
      <c r="R1944" s="172"/>
      <c r="S1944" s="172"/>
      <c r="AE1944" s="15"/>
      <c r="AF1944" s="15"/>
      <c r="AG1944" s="15"/>
      <c r="AH1944" s="15"/>
      <c r="AI1944" s="15"/>
      <c r="AJ1944" s="15"/>
      <c r="AK1944" s="15"/>
      <c r="AL1944" s="15"/>
      <c r="AM1944" s="209"/>
      <c r="AN1944" s="15"/>
    </row>
    <row r="1945" s="100" customFormat="1" spans="3:40">
      <c r="C1945" s="136"/>
      <c r="D1945" s="136"/>
      <c r="F1945" s="15"/>
      <c r="G1945" s="138"/>
      <c r="H1945" s="138"/>
      <c r="I1945" s="126"/>
      <c r="J1945" s="15"/>
      <c r="K1945" s="15"/>
      <c r="L1945" s="20"/>
      <c r="M1945" s="20"/>
      <c r="N1945" s="126"/>
      <c r="O1945" s="126"/>
      <c r="P1945" s="126"/>
      <c r="Q1945" s="171"/>
      <c r="R1945" s="172"/>
      <c r="S1945" s="172"/>
      <c r="AE1945" s="15"/>
      <c r="AF1945" s="15"/>
      <c r="AG1945" s="15"/>
      <c r="AH1945" s="15"/>
      <c r="AI1945" s="15"/>
      <c r="AJ1945" s="15"/>
      <c r="AK1945" s="15"/>
      <c r="AL1945" s="15"/>
      <c r="AM1945" s="209"/>
      <c r="AN1945" s="15"/>
    </row>
    <row r="1946" s="100" customFormat="1" spans="3:40">
      <c r="C1946" s="136"/>
      <c r="D1946" s="136"/>
      <c r="F1946" s="15"/>
      <c r="G1946" s="138"/>
      <c r="H1946" s="138"/>
      <c r="I1946" s="126"/>
      <c r="J1946" s="15"/>
      <c r="K1946" s="15"/>
      <c r="L1946" s="20"/>
      <c r="M1946" s="20"/>
      <c r="N1946" s="126"/>
      <c r="O1946" s="126"/>
      <c r="P1946" s="126"/>
      <c r="Q1946" s="171"/>
      <c r="R1946" s="172"/>
      <c r="S1946" s="172"/>
      <c r="AE1946" s="15"/>
      <c r="AF1946" s="15"/>
      <c r="AG1946" s="15"/>
      <c r="AH1946" s="15"/>
      <c r="AI1946" s="15"/>
      <c r="AJ1946" s="15"/>
      <c r="AK1946" s="15"/>
      <c r="AL1946" s="15"/>
      <c r="AM1946" s="209"/>
      <c r="AN1946" s="15"/>
    </row>
    <row r="1947" s="100" customFormat="1" spans="3:40">
      <c r="C1947" s="136"/>
      <c r="D1947" s="136"/>
      <c r="F1947" s="15"/>
      <c r="G1947" s="138"/>
      <c r="H1947" s="138"/>
      <c r="I1947" s="126"/>
      <c r="J1947" s="15"/>
      <c r="K1947" s="15"/>
      <c r="L1947" s="20"/>
      <c r="M1947" s="20"/>
      <c r="N1947" s="126"/>
      <c r="O1947" s="126"/>
      <c r="P1947" s="126"/>
      <c r="Q1947" s="171"/>
      <c r="R1947" s="172"/>
      <c r="S1947" s="172"/>
      <c r="AE1947" s="15"/>
      <c r="AF1947" s="15"/>
      <c r="AG1947" s="15"/>
      <c r="AH1947" s="15"/>
      <c r="AI1947" s="15"/>
      <c r="AJ1947" s="15"/>
      <c r="AK1947" s="15"/>
      <c r="AL1947" s="15"/>
      <c r="AM1947" s="209"/>
      <c r="AN1947" s="15"/>
    </row>
    <row r="1948" s="100" customFormat="1" spans="3:40">
      <c r="C1948" s="136"/>
      <c r="D1948" s="136"/>
      <c r="F1948" s="15"/>
      <c r="G1948" s="138"/>
      <c r="H1948" s="138"/>
      <c r="I1948" s="126"/>
      <c r="J1948" s="15"/>
      <c r="K1948" s="15"/>
      <c r="L1948" s="20"/>
      <c r="M1948" s="20"/>
      <c r="N1948" s="126"/>
      <c r="O1948" s="126"/>
      <c r="P1948" s="126"/>
      <c r="Q1948" s="171"/>
      <c r="R1948" s="172"/>
      <c r="S1948" s="172"/>
      <c r="AE1948" s="15"/>
      <c r="AF1948" s="15"/>
      <c r="AG1948" s="15"/>
      <c r="AH1948" s="15"/>
      <c r="AI1948" s="15"/>
      <c r="AJ1948" s="15"/>
      <c r="AK1948" s="15"/>
      <c r="AL1948" s="15"/>
      <c r="AM1948" s="209"/>
      <c r="AN1948" s="15"/>
    </row>
    <row r="1949" s="100" customFormat="1" spans="3:40">
      <c r="C1949" s="136"/>
      <c r="D1949" s="136"/>
      <c r="F1949" s="15"/>
      <c r="G1949" s="138"/>
      <c r="H1949" s="138"/>
      <c r="I1949" s="126"/>
      <c r="J1949" s="15"/>
      <c r="K1949" s="15"/>
      <c r="L1949" s="20"/>
      <c r="M1949" s="20"/>
      <c r="N1949" s="126"/>
      <c r="O1949" s="126"/>
      <c r="P1949" s="126"/>
      <c r="Q1949" s="171"/>
      <c r="R1949" s="172"/>
      <c r="S1949" s="172"/>
      <c r="AE1949" s="15"/>
      <c r="AF1949" s="15"/>
      <c r="AG1949" s="15"/>
      <c r="AH1949" s="15"/>
      <c r="AI1949" s="15"/>
      <c r="AJ1949" s="15"/>
      <c r="AK1949" s="15"/>
      <c r="AL1949" s="15"/>
      <c r="AM1949" s="209"/>
      <c r="AN1949" s="15"/>
    </row>
    <row r="1950" s="100" customFormat="1" spans="3:40">
      <c r="C1950" s="136"/>
      <c r="D1950" s="136"/>
      <c r="F1950" s="15"/>
      <c r="G1950" s="138"/>
      <c r="H1950" s="138"/>
      <c r="I1950" s="126"/>
      <c r="J1950" s="15"/>
      <c r="K1950" s="15"/>
      <c r="L1950" s="20"/>
      <c r="M1950" s="20"/>
      <c r="N1950" s="126"/>
      <c r="O1950" s="126"/>
      <c r="P1950" s="126"/>
      <c r="Q1950" s="171"/>
      <c r="R1950" s="172"/>
      <c r="S1950" s="172"/>
      <c r="AE1950" s="15"/>
      <c r="AF1950" s="15"/>
      <c r="AG1950" s="15"/>
      <c r="AH1950" s="15"/>
      <c r="AI1950" s="15"/>
      <c r="AJ1950" s="15"/>
      <c r="AK1950" s="15"/>
      <c r="AL1950" s="15"/>
      <c r="AM1950" s="209"/>
      <c r="AN1950" s="15"/>
    </row>
    <row r="1951" s="100" customFormat="1" spans="3:40">
      <c r="C1951" s="136"/>
      <c r="D1951" s="136"/>
      <c r="F1951" s="15"/>
      <c r="G1951" s="138"/>
      <c r="H1951" s="138"/>
      <c r="I1951" s="126"/>
      <c r="J1951" s="15"/>
      <c r="K1951" s="15"/>
      <c r="L1951" s="20"/>
      <c r="M1951" s="20"/>
      <c r="N1951" s="126"/>
      <c r="O1951" s="126"/>
      <c r="P1951" s="126"/>
      <c r="Q1951" s="171"/>
      <c r="R1951" s="172"/>
      <c r="S1951" s="172"/>
      <c r="AE1951" s="15"/>
      <c r="AF1951" s="15"/>
      <c r="AG1951" s="15"/>
      <c r="AH1951" s="15"/>
      <c r="AI1951" s="15"/>
      <c r="AJ1951" s="15"/>
      <c r="AK1951" s="15"/>
      <c r="AL1951" s="15"/>
      <c r="AM1951" s="209"/>
      <c r="AN1951" s="15"/>
    </row>
    <row r="1952" s="100" customFormat="1" spans="3:40">
      <c r="C1952" s="136"/>
      <c r="D1952" s="136"/>
      <c r="F1952" s="15"/>
      <c r="G1952" s="138"/>
      <c r="H1952" s="138"/>
      <c r="I1952" s="126"/>
      <c r="J1952" s="15"/>
      <c r="K1952" s="15"/>
      <c r="L1952" s="20"/>
      <c r="M1952" s="20"/>
      <c r="N1952" s="126"/>
      <c r="O1952" s="126"/>
      <c r="P1952" s="126"/>
      <c r="Q1952" s="171"/>
      <c r="R1952" s="172"/>
      <c r="S1952" s="172"/>
      <c r="AE1952" s="15"/>
      <c r="AF1952" s="15"/>
      <c r="AG1952" s="15"/>
      <c r="AH1952" s="15"/>
      <c r="AI1952" s="15"/>
      <c r="AJ1952" s="15"/>
      <c r="AK1952" s="15"/>
      <c r="AL1952" s="15"/>
      <c r="AM1952" s="209"/>
      <c r="AN1952" s="15"/>
    </row>
    <row r="1953" s="100" customFormat="1" spans="3:40">
      <c r="C1953" s="136"/>
      <c r="D1953" s="136"/>
      <c r="F1953" s="15"/>
      <c r="G1953" s="138"/>
      <c r="H1953" s="138"/>
      <c r="I1953" s="126"/>
      <c r="J1953" s="15"/>
      <c r="K1953" s="15"/>
      <c r="L1953" s="20"/>
      <c r="M1953" s="20"/>
      <c r="N1953" s="126"/>
      <c r="O1953" s="126"/>
      <c r="P1953" s="126"/>
      <c r="Q1953" s="171"/>
      <c r="R1953" s="172"/>
      <c r="S1953" s="172"/>
      <c r="AE1953" s="15"/>
      <c r="AF1953" s="15"/>
      <c r="AG1953" s="15"/>
      <c r="AH1953" s="15"/>
      <c r="AI1953" s="15"/>
      <c r="AJ1953" s="15"/>
      <c r="AK1953" s="15"/>
      <c r="AL1953" s="15"/>
      <c r="AM1953" s="209"/>
      <c r="AN1953" s="15"/>
    </row>
    <row r="1954" s="100" customFormat="1" spans="3:40">
      <c r="C1954" s="136"/>
      <c r="D1954" s="136"/>
      <c r="F1954" s="15"/>
      <c r="G1954" s="138"/>
      <c r="H1954" s="138"/>
      <c r="I1954" s="126"/>
      <c r="J1954" s="15"/>
      <c r="K1954" s="15"/>
      <c r="L1954" s="20"/>
      <c r="M1954" s="20"/>
      <c r="N1954" s="126"/>
      <c r="O1954" s="126"/>
      <c r="P1954" s="126"/>
      <c r="Q1954" s="171"/>
      <c r="R1954" s="172"/>
      <c r="S1954" s="172"/>
      <c r="AE1954" s="15"/>
      <c r="AF1954" s="15"/>
      <c r="AG1954" s="15"/>
      <c r="AH1954" s="15"/>
      <c r="AI1954" s="15"/>
      <c r="AJ1954" s="15"/>
      <c r="AK1954" s="15"/>
      <c r="AL1954" s="15"/>
      <c r="AM1954" s="209"/>
      <c r="AN1954" s="15"/>
    </row>
    <row r="1955" s="100" customFormat="1" spans="3:40">
      <c r="C1955" s="136"/>
      <c r="D1955" s="136"/>
      <c r="F1955" s="15"/>
      <c r="G1955" s="138"/>
      <c r="H1955" s="138"/>
      <c r="I1955" s="126"/>
      <c r="J1955" s="15"/>
      <c r="K1955" s="15"/>
      <c r="L1955" s="20"/>
      <c r="M1955" s="20"/>
      <c r="N1955" s="126"/>
      <c r="O1955" s="126"/>
      <c r="P1955" s="126"/>
      <c r="Q1955" s="171"/>
      <c r="R1955" s="172"/>
      <c r="S1955" s="172"/>
      <c r="AE1955" s="15"/>
      <c r="AF1955" s="15"/>
      <c r="AG1955" s="15"/>
      <c r="AH1955" s="15"/>
      <c r="AI1955" s="15"/>
      <c r="AJ1955" s="15"/>
      <c r="AK1955" s="15"/>
      <c r="AL1955" s="15"/>
      <c r="AM1955" s="209"/>
      <c r="AN1955" s="15"/>
    </row>
    <row r="1956" s="100" customFormat="1" spans="3:40">
      <c r="C1956" s="136"/>
      <c r="D1956" s="136"/>
      <c r="F1956" s="15"/>
      <c r="G1956" s="138"/>
      <c r="H1956" s="138"/>
      <c r="I1956" s="126"/>
      <c r="J1956" s="15"/>
      <c r="K1956" s="15"/>
      <c r="L1956" s="20"/>
      <c r="M1956" s="20"/>
      <c r="N1956" s="126"/>
      <c r="O1956" s="126"/>
      <c r="P1956" s="126"/>
      <c r="Q1956" s="171"/>
      <c r="R1956" s="172"/>
      <c r="S1956" s="172"/>
      <c r="AE1956" s="15"/>
      <c r="AF1956" s="15"/>
      <c r="AG1956" s="15"/>
      <c r="AH1956" s="15"/>
      <c r="AI1956" s="15"/>
      <c r="AJ1956" s="15"/>
      <c r="AK1956" s="15"/>
      <c r="AL1956" s="15"/>
      <c r="AM1956" s="209"/>
      <c r="AN1956" s="15"/>
    </row>
    <row r="1957" s="100" customFormat="1" spans="3:40">
      <c r="C1957" s="136"/>
      <c r="D1957" s="136"/>
      <c r="F1957" s="15"/>
      <c r="G1957" s="138"/>
      <c r="H1957" s="138"/>
      <c r="I1957" s="126"/>
      <c r="J1957" s="15"/>
      <c r="K1957" s="15"/>
      <c r="L1957" s="20"/>
      <c r="M1957" s="20"/>
      <c r="N1957" s="126"/>
      <c r="O1957" s="126"/>
      <c r="P1957" s="126"/>
      <c r="Q1957" s="171"/>
      <c r="R1957" s="172"/>
      <c r="S1957" s="172"/>
      <c r="AE1957" s="15"/>
      <c r="AF1957" s="15"/>
      <c r="AG1957" s="15"/>
      <c r="AH1957" s="15"/>
      <c r="AI1957" s="15"/>
      <c r="AJ1957" s="15"/>
      <c r="AK1957" s="15"/>
      <c r="AL1957" s="15"/>
      <c r="AM1957" s="209"/>
      <c r="AN1957" s="15"/>
    </row>
    <row r="1958" s="100" customFormat="1" spans="3:40">
      <c r="C1958" s="136"/>
      <c r="D1958" s="136"/>
      <c r="F1958" s="15"/>
      <c r="G1958" s="138"/>
      <c r="H1958" s="138"/>
      <c r="I1958" s="126"/>
      <c r="J1958" s="15"/>
      <c r="K1958" s="15"/>
      <c r="L1958" s="20"/>
      <c r="M1958" s="20"/>
      <c r="N1958" s="126"/>
      <c r="O1958" s="126"/>
      <c r="P1958" s="126"/>
      <c r="Q1958" s="171"/>
      <c r="R1958" s="172"/>
      <c r="S1958" s="172"/>
      <c r="AE1958" s="15"/>
      <c r="AF1958" s="15"/>
      <c r="AG1958" s="15"/>
      <c r="AH1958" s="15"/>
      <c r="AI1958" s="15"/>
      <c r="AJ1958" s="15"/>
      <c r="AK1958" s="15"/>
      <c r="AL1958" s="15"/>
      <c r="AM1958" s="209"/>
      <c r="AN1958" s="15"/>
    </row>
    <row r="1959" s="100" customFormat="1" spans="3:40">
      <c r="C1959" s="136"/>
      <c r="D1959" s="136"/>
      <c r="F1959" s="15"/>
      <c r="G1959" s="138"/>
      <c r="H1959" s="138"/>
      <c r="I1959" s="126"/>
      <c r="J1959" s="15"/>
      <c r="K1959" s="15"/>
      <c r="L1959" s="20"/>
      <c r="M1959" s="20"/>
      <c r="N1959" s="126"/>
      <c r="O1959" s="126"/>
      <c r="P1959" s="126"/>
      <c r="Q1959" s="171"/>
      <c r="R1959" s="172"/>
      <c r="S1959" s="172"/>
      <c r="AE1959" s="15"/>
      <c r="AF1959" s="15"/>
      <c r="AG1959" s="15"/>
      <c r="AH1959" s="15"/>
      <c r="AI1959" s="15"/>
      <c r="AJ1959" s="15"/>
      <c r="AK1959" s="15"/>
      <c r="AL1959" s="15"/>
      <c r="AM1959" s="209"/>
      <c r="AN1959" s="15"/>
    </row>
    <row r="1960" s="100" customFormat="1" spans="3:40">
      <c r="C1960" s="136"/>
      <c r="D1960" s="136"/>
      <c r="F1960" s="15"/>
      <c r="G1960" s="138"/>
      <c r="H1960" s="138"/>
      <c r="I1960" s="126"/>
      <c r="J1960" s="15"/>
      <c r="K1960" s="15"/>
      <c r="L1960" s="20"/>
      <c r="M1960" s="20"/>
      <c r="N1960" s="126"/>
      <c r="O1960" s="126"/>
      <c r="P1960" s="126"/>
      <c r="Q1960" s="171"/>
      <c r="R1960" s="172"/>
      <c r="S1960" s="172"/>
      <c r="AE1960" s="15"/>
      <c r="AF1960" s="15"/>
      <c r="AG1960" s="15"/>
      <c r="AH1960" s="15"/>
      <c r="AI1960" s="15"/>
      <c r="AJ1960" s="15"/>
      <c r="AK1960" s="15"/>
      <c r="AL1960" s="15"/>
      <c r="AM1960" s="209"/>
      <c r="AN1960" s="15"/>
    </row>
    <row r="1961" s="100" customFormat="1" spans="3:40">
      <c r="C1961" s="136"/>
      <c r="D1961" s="136"/>
      <c r="F1961" s="15"/>
      <c r="G1961" s="138"/>
      <c r="H1961" s="138"/>
      <c r="I1961" s="126"/>
      <c r="J1961" s="15"/>
      <c r="K1961" s="15"/>
      <c r="L1961" s="20"/>
      <c r="M1961" s="20"/>
      <c r="N1961" s="126"/>
      <c r="O1961" s="126"/>
      <c r="P1961" s="126"/>
      <c r="Q1961" s="171"/>
      <c r="R1961" s="172"/>
      <c r="S1961" s="172"/>
      <c r="AE1961" s="15"/>
      <c r="AF1961" s="15"/>
      <c r="AG1961" s="15"/>
      <c r="AH1961" s="15"/>
      <c r="AI1961" s="15"/>
      <c r="AJ1961" s="15"/>
      <c r="AK1961" s="15"/>
      <c r="AL1961" s="15"/>
      <c r="AM1961" s="209"/>
      <c r="AN1961" s="15"/>
    </row>
    <row r="1962" s="100" customFormat="1" spans="3:40">
      <c r="C1962" s="136"/>
      <c r="D1962" s="136"/>
      <c r="F1962" s="15"/>
      <c r="G1962" s="138"/>
      <c r="H1962" s="138"/>
      <c r="I1962" s="126"/>
      <c r="J1962" s="15"/>
      <c r="K1962" s="15"/>
      <c r="L1962" s="20"/>
      <c r="M1962" s="20"/>
      <c r="N1962" s="126"/>
      <c r="O1962" s="126"/>
      <c r="P1962" s="126"/>
      <c r="Q1962" s="171"/>
      <c r="R1962" s="172"/>
      <c r="S1962" s="172"/>
      <c r="AE1962" s="15"/>
      <c r="AF1962" s="15"/>
      <c r="AG1962" s="15"/>
      <c r="AH1962" s="15"/>
      <c r="AI1962" s="15"/>
      <c r="AJ1962" s="15"/>
      <c r="AK1962" s="15"/>
      <c r="AL1962" s="15"/>
      <c r="AM1962" s="209"/>
      <c r="AN1962" s="15"/>
    </row>
    <row r="1963" s="100" customFormat="1" spans="3:40">
      <c r="C1963" s="136"/>
      <c r="D1963" s="136"/>
      <c r="F1963" s="15"/>
      <c r="G1963" s="138"/>
      <c r="H1963" s="138"/>
      <c r="I1963" s="126"/>
      <c r="J1963" s="15"/>
      <c r="K1963" s="15"/>
      <c r="L1963" s="20"/>
      <c r="M1963" s="20"/>
      <c r="N1963" s="126"/>
      <c r="O1963" s="126"/>
      <c r="P1963" s="126"/>
      <c r="Q1963" s="171"/>
      <c r="R1963" s="172"/>
      <c r="S1963" s="172"/>
      <c r="AE1963" s="15"/>
      <c r="AF1963" s="15"/>
      <c r="AG1963" s="15"/>
      <c r="AH1963" s="15"/>
      <c r="AI1963" s="15"/>
      <c r="AJ1963" s="15"/>
      <c r="AK1963" s="15"/>
      <c r="AL1963" s="15"/>
      <c r="AM1963" s="209"/>
      <c r="AN1963" s="15"/>
    </row>
    <row r="1964" s="100" customFormat="1" spans="3:40">
      <c r="C1964" s="136"/>
      <c r="D1964" s="136"/>
      <c r="F1964" s="15"/>
      <c r="G1964" s="138"/>
      <c r="H1964" s="138"/>
      <c r="I1964" s="126"/>
      <c r="J1964" s="15"/>
      <c r="K1964" s="15"/>
      <c r="L1964" s="20"/>
      <c r="M1964" s="20"/>
      <c r="N1964" s="126"/>
      <c r="O1964" s="126"/>
      <c r="P1964" s="126"/>
      <c r="Q1964" s="171"/>
      <c r="R1964" s="172"/>
      <c r="S1964" s="172"/>
      <c r="AE1964" s="15"/>
      <c r="AF1964" s="15"/>
      <c r="AG1964" s="15"/>
      <c r="AH1964" s="15"/>
      <c r="AI1964" s="15"/>
      <c r="AJ1964" s="15"/>
      <c r="AK1964" s="15"/>
      <c r="AL1964" s="15"/>
      <c r="AM1964" s="209"/>
      <c r="AN1964" s="210"/>
    </row>
    <row r="1965" s="100" customFormat="1" spans="3:40">
      <c r="C1965" s="136"/>
      <c r="D1965" s="136"/>
      <c r="F1965" s="15"/>
      <c r="G1965" s="138"/>
      <c r="H1965" s="138"/>
      <c r="I1965" s="126"/>
      <c r="J1965" s="15"/>
      <c r="K1965" s="15"/>
      <c r="L1965" s="20"/>
      <c r="M1965" s="20"/>
      <c r="N1965" s="126"/>
      <c r="O1965" s="126"/>
      <c r="P1965" s="126"/>
      <c r="Q1965" s="171"/>
      <c r="R1965" s="172"/>
      <c r="S1965" s="172"/>
      <c r="AE1965" s="15"/>
      <c r="AF1965" s="15"/>
      <c r="AG1965" s="15"/>
      <c r="AH1965" s="15"/>
      <c r="AI1965" s="15"/>
      <c r="AJ1965" s="15"/>
      <c r="AK1965" s="15"/>
      <c r="AL1965" s="15"/>
      <c r="AM1965" s="209"/>
      <c r="AN1965" s="210"/>
    </row>
    <row r="1966" s="100" customFormat="1" spans="3:40">
      <c r="C1966" s="136"/>
      <c r="D1966" s="136"/>
      <c r="F1966" s="15"/>
      <c r="G1966" s="138"/>
      <c r="H1966" s="138"/>
      <c r="I1966" s="126"/>
      <c r="J1966" s="15"/>
      <c r="K1966" s="15"/>
      <c r="L1966" s="20"/>
      <c r="M1966" s="20"/>
      <c r="N1966" s="126"/>
      <c r="O1966" s="126"/>
      <c r="P1966" s="126"/>
      <c r="Q1966" s="171"/>
      <c r="R1966" s="172"/>
      <c r="S1966" s="172"/>
      <c r="AE1966" s="15"/>
      <c r="AF1966" s="15"/>
      <c r="AG1966" s="15"/>
      <c r="AH1966" s="15"/>
      <c r="AI1966" s="15"/>
      <c r="AJ1966" s="15"/>
      <c r="AK1966" s="15"/>
      <c r="AL1966" s="15"/>
      <c r="AM1966" s="209"/>
      <c r="AN1966" s="210"/>
    </row>
    <row r="1967" s="100" customFormat="1" spans="3:40">
      <c r="C1967" s="136"/>
      <c r="D1967" s="136"/>
      <c r="F1967" s="15"/>
      <c r="G1967" s="138"/>
      <c r="H1967" s="138"/>
      <c r="I1967" s="126"/>
      <c r="J1967" s="15"/>
      <c r="K1967" s="15"/>
      <c r="L1967" s="20"/>
      <c r="M1967" s="20"/>
      <c r="N1967" s="126"/>
      <c r="O1967" s="126"/>
      <c r="P1967" s="126"/>
      <c r="Q1967" s="171"/>
      <c r="R1967" s="172"/>
      <c r="S1967" s="172"/>
      <c r="AE1967" s="15"/>
      <c r="AF1967" s="15"/>
      <c r="AG1967" s="15"/>
      <c r="AH1967" s="15"/>
      <c r="AI1967" s="15"/>
      <c r="AJ1967" s="15"/>
      <c r="AK1967" s="15"/>
      <c r="AL1967" s="15"/>
      <c r="AM1967" s="209"/>
      <c r="AN1967" s="210"/>
    </row>
    <row r="1968" s="100" customFormat="1" spans="3:40">
      <c r="C1968" s="136"/>
      <c r="D1968" s="136"/>
      <c r="F1968" s="15"/>
      <c r="G1968" s="138"/>
      <c r="H1968" s="138"/>
      <c r="I1968" s="126"/>
      <c r="J1968" s="15"/>
      <c r="K1968" s="15"/>
      <c r="L1968" s="20"/>
      <c r="M1968" s="20"/>
      <c r="N1968" s="126"/>
      <c r="O1968" s="126"/>
      <c r="P1968" s="126"/>
      <c r="Q1968" s="171"/>
      <c r="R1968" s="172"/>
      <c r="S1968" s="172"/>
      <c r="AE1968" s="15"/>
      <c r="AF1968" s="15"/>
      <c r="AG1968" s="15"/>
      <c r="AH1968" s="15"/>
      <c r="AI1968" s="15"/>
      <c r="AJ1968" s="15"/>
      <c r="AK1968" s="15"/>
      <c r="AL1968" s="15"/>
      <c r="AM1968" s="209"/>
      <c r="AN1968" s="209"/>
    </row>
    <row r="1969" s="100" customFormat="1" spans="3:40">
      <c r="C1969" s="136"/>
      <c r="D1969" s="136"/>
      <c r="F1969" s="15"/>
      <c r="G1969" s="138"/>
      <c r="H1969" s="138"/>
      <c r="I1969" s="126"/>
      <c r="J1969" s="15"/>
      <c r="K1969" s="15"/>
      <c r="L1969" s="20"/>
      <c r="M1969" s="20"/>
      <c r="N1969" s="126"/>
      <c r="O1969" s="126"/>
      <c r="P1969" s="126"/>
      <c r="Q1969" s="171"/>
      <c r="R1969" s="172"/>
      <c r="S1969" s="172"/>
      <c r="AE1969" s="15"/>
      <c r="AF1969" s="15"/>
      <c r="AG1969" s="15"/>
      <c r="AH1969" s="15"/>
      <c r="AI1969" s="15"/>
      <c r="AJ1969" s="15"/>
      <c r="AK1969" s="15"/>
      <c r="AL1969" s="15"/>
      <c r="AM1969" s="209"/>
      <c r="AN1969" s="15"/>
    </row>
    <row r="1970" s="100" customFormat="1" spans="3:40">
      <c r="C1970" s="136"/>
      <c r="D1970" s="136"/>
      <c r="F1970" s="15"/>
      <c r="G1970" s="138"/>
      <c r="H1970" s="138"/>
      <c r="I1970" s="126"/>
      <c r="J1970" s="15"/>
      <c r="K1970" s="15"/>
      <c r="L1970" s="20"/>
      <c r="M1970" s="20"/>
      <c r="N1970" s="126"/>
      <c r="O1970" s="126"/>
      <c r="P1970" s="126"/>
      <c r="Q1970" s="171"/>
      <c r="R1970" s="172"/>
      <c r="S1970" s="172"/>
      <c r="AE1970" s="15"/>
      <c r="AF1970" s="15"/>
      <c r="AG1970" s="15"/>
      <c r="AH1970" s="15"/>
      <c r="AI1970" s="15"/>
      <c r="AJ1970" s="15"/>
      <c r="AK1970" s="15"/>
      <c r="AL1970" s="15"/>
      <c r="AM1970" s="209"/>
      <c r="AN1970" s="15"/>
    </row>
    <row r="1971" s="100" customFormat="1" spans="3:40">
      <c r="C1971" s="136"/>
      <c r="D1971" s="136"/>
      <c r="F1971" s="15"/>
      <c r="G1971" s="138"/>
      <c r="H1971" s="138"/>
      <c r="I1971" s="126"/>
      <c r="J1971" s="15"/>
      <c r="K1971" s="15"/>
      <c r="L1971" s="20"/>
      <c r="M1971" s="20"/>
      <c r="N1971" s="126"/>
      <c r="O1971" s="126"/>
      <c r="P1971" s="126"/>
      <c r="Q1971" s="171"/>
      <c r="R1971" s="172"/>
      <c r="S1971" s="172"/>
      <c r="AE1971" s="15"/>
      <c r="AF1971" s="15"/>
      <c r="AG1971" s="15"/>
      <c r="AH1971" s="15"/>
      <c r="AI1971" s="15"/>
      <c r="AJ1971" s="15"/>
      <c r="AK1971" s="15"/>
      <c r="AL1971" s="15"/>
      <c r="AM1971" s="209"/>
      <c r="AN1971" s="15"/>
    </row>
    <row r="1972" s="100" customFormat="1" spans="3:40">
      <c r="C1972" s="136"/>
      <c r="D1972" s="136"/>
      <c r="F1972" s="15"/>
      <c r="G1972" s="138"/>
      <c r="H1972" s="138"/>
      <c r="I1972" s="126"/>
      <c r="J1972" s="15"/>
      <c r="K1972" s="15"/>
      <c r="L1972" s="20"/>
      <c r="M1972" s="20"/>
      <c r="N1972" s="126"/>
      <c r="O1972" s="126"/>
      <c r="P1972" s="126"/>
      <c r="Q1972" s="171"/>
      <c r="R1972" s="172"/>
      <c r="S1972" s="172"/>
      <c r="AE1972" s="15"/>
      <c r="AF1972" s="15"/>
      <c r="AG1972" s="15"/>
      <c r="AH1972" s="15"/>
      <c r="AI1972" s="15"/>
      <c r="AJ1972" s="15"/>
      <c r="AK1972" s="15"/>
      <c r="AL1972" s="15"/>
      <c r="AM1972" s="209"/>
      <c r="AN1972" s="209"/>
    </row>
    <row r="1973" s="100" customFormat="1" spans="3:40">
      <c r="C1973" s="136"/>
      <c r="D1973" s="136"/>
      <c r="F1973" s="15"/>
      <c r="G1973" s="138"/>
      <c r="H1973" s="138"/>
      <c r="I1973" s="126"/>
      <c r="J1973" s="15"/>
      <c r="K1973" s="15"/>
      <c r="L1973" s="20"/>
      <c r="M1973" s="20"/>
      <c r="N1973" s="126"/>
      <c r="O1973" s="126"/>
      <c r="P1973" s="126"/>
      <c r="Q1973" s="171"/>
      <c r="R1973" s="172"/>
      <c r="S1973" s="172"/>
      <c r="AE1973" s="15"/>
      <c r="AF1973" s="15"/>
      <c r="AG1973" s="15"/>
      <c r="AH1973" s="15"/>
      <c r="AI1973" s="15"/>
      <c r="AJ1973" s="15"/>
      <c r="AK1973" s="15"/>
      <c r="AL1973" s="15"/>
      <c r="AM1973" s="209"/>
      <c r="AN1973" s="209"/>
    </row>
    <row r="1974" s="100" customFormat="1" spans="3:40">
      <c r="C1974" s="136"/>
      <c r="D1974" s="136"/>
      <c r="F1974" s="15"/>
      <c r="G1974" s="138"/>
      <c r="H1974" s="138"/>
      <c r="I1974" s="126"/>
      <c r="J1974" s="15"/>
      <c r="K1974" s="15"/>
      <c r="L1974" s="20"/>
      <c r="M1974" s="20"/>
      <c r="N1974" s="126"/>
      <c r="O1974" s="126"/>
      <c r="P1974" s="126"/>
      <c r="Q1974" s="171"/>
      <c r="R1974" s="172"/>
      <c r="S1974" s="172"/>
      <c r="AE1974" s="15"/>
      <c r="AF1974" s="15"/>
      <c r="AG1974" s="15"/>
      <c r="AH1974" s="15"/>
      <c r="AI1974" s="15"/>
      <c r="AJ1974" s="15"/>
      <c r="AK1974" s="15"/>
      <c r="AL1974" s="211"/>
      <c r="AM1974" s="209"/>
      <c r="AN1974" s="209"/>
    </row>
    <row r="1975" s="100" customFormat="1" spans="3:40">
      <c r="C1975" s="136"/>
      <c r="D1975" s="136"/>
      <c r="F1975" s="15"/>
      <c r="G1975" s="138"/>
      <c r="H1975" s="138"/>
      <c r="I1975" s="126"/>
      <c r="J1975" s="15"/>
      <c r="K1975" s="15"/>
      <c r="L1975" s="20"/>
      <c r="M1975" s="20"/>
      <c r="N1975" s="126"/>
      <c r="O1975" s="126"/>
      <c r="P1975" s="126"/>
      <c r="Q1975" s="171"/>
      <c r="R1975" s="172"/>
      <c r="S1975" s="172"/>
      <c r="AE1975" s="15"/>
      <c r="AF1975" s="15"/>
      <c r="AG1975" s="15"/>
      <c r="AH1975" s="15"/>
      <c r="AI1975" s="15"/>
      <c r="AJ1975" s="15"/>
      <c r="AK1975" s="15"/>
      <c r="AL1975" s="15"/>
      <c r="AM1975" s="209"/>
      <c r="AN1975" s="209"/>
    </row>
    <row r="1976" s="100" customFormat="1" spans="3:40">
      <c r="C1976" s="136"/>
      <c r="D1976" s="136"/>
      <c r="F1976" s="15"/>
      <c r="G1976" s="138"/>
      <c r="H1976" s="138"/>
      <c r="I1976" s="126"/>
      <c r="J1976" s="15"/>
      <c r="K1976" s="15"/>
      <c r="L1976" s="20"/>
      <c r="M1976" s="20"/>
      <c r="N1976" s="126"/>
      <c r="O1976" s="126"/>
      <c r="P1976" s="126"/>
      <c r="Q1976" s="171"/>
      <c r="R1976" s="172"/>
      <c r="S1976" s="172"/>
      <c r="AE1976" s="15"/>
      <c r="AF1976" s="15"/>
      <c r="AG1976" s="15"/>
      <c r="AH1976" s="15"/>
      <c r="AI1976" s="15"/>
      <c r="AJ1976" s="15"/>
      <c r="AK1976" s="15"/>
      <c r="AL1976" s="15"/>
      <c r="AM1976" s="209"/>
      <c r="AN1976" s="209"/>
    </row>
    <row r="1977" s="100" customFormat="1" spans="3:40">
      <c r="C1977" s="136"/>
      <c r="D1977" s="136"/>
      <c r="F1977" s="15"/>
      <c r="G1977" s="138"/>
      <c r="H1977" s="138"/>
      <c r="I1977" s="126"/>
      <c r="J1977" s="15"/>
      <c r="K1977" s="15"/>
      <c r="L1977" s="20"/>
      <c r="M1977" s="20"/>
      <c r="N1977" s="126"/>
      <c r="O1977" s="126"/>
      <c r="P1977" s="126"/>
      <c r="Q1977" s="171"/>
      <c r="R1977" s="172"/>
      <c r="S1977" s="172"/>
      <c r="AE1977" s="15"/>
      <c r="AF1977" s="15"/>
      <c r="AG1977" s="15"/>
      <c r="AH1977" s="15"/>
      <c r="AI1977" s="15"/>
      <c r="AJ1977" s="15"/>
      <c r="AK1977" s="15"/>
      <c r="AL1977" s="15"/>
      <c r="AM1977" s="209"/>
      <c r="AN1977" s="211"/>
    </row>
    <row r="1978" s="100" customFormat="1" spans="3:40">
      <c r="C1978" s="136"/>
      <c r="D1978" s="136"/>
      <c r="F1978" s="15"/>
      <c r="G1978" s="138"/>
      <c r="H1978" s="138"/>
      <c r="I1978" s="126"/>
      <c r="J1978" s="15"/>
      <c r="K1978" s="15"/>
      <c r="L1978" s="20"/>
      <c r="M1978" s="20"/>
      <c r="N1978" s="126"/>
      <c r="O1978" s="126"/>
      <c r="P1978" s="126"/>
      <c r="Q1978" s="171"/>
      <c r="R1978" s="172"/>
      <c r="S1978" s="172"/>
      <c r="AE1978" s="15"/>
      <c r="AF1978" s="15"/>
      <c r="AG1978" s="15"/>
      <c r="AH1978" s="15"/>
      <c r="AI1978" s="15"/>
      <c r="AJ1978" s="15"/>
      <c r="AK1978" s="15"/>
      <c r="AL1978" s="15"/>
      <c r="AM1978" s="209"/>
      <c r="AN1978" s="15"/>
    </row>
    <row r="1979" s="100" customFormat="1" spans="3:40">
      <c r="C1979" s="136"/>
      <c r="D1979" s="136"/>
      <c r="F1979" s="15"/>
      <c r="G1979" s="138"/>
      <c r="H1979" s="138"/>
      <c r="I1979" s="126"/>
      <c r="J1979" s="15"/>
      <c r="K1979" s="15"/>
      <c r="L1979" s="20"/>
      <c r="M1979" s="20"/>
      <c r="N1979" s="126"/>
      <c r="O1979" s="126"/>
      <c r="P1979" s="126"/>
      <c r="Q1979" s="171"/>
      <c r="R1979" s="172"/>
      <c r="S1979" s="172"/>
      <c r="AE1979" s="15"/>
      <c r="AF1979" s="15"/>
      <c r="AG1979" s="15"/>
      <c r="AH1979" s="15"/>
      <c r="AI1979" s="15"/>
      <c r="AJ1979" s="15"/>
      <c r="AK1979" s="15"/>
      <c r="AL1979" s="15"/>
      <c r="AM1979" s="209"/>
      <c r="AN1979" s="15"/>
    </row>
    <row r="1980" s="100" customFormat="1" spans="3:40">
      <c r="C1980" s="136"/>
      <c r="D1980" s="136"/>
      <c r="F1980" s="15"/>
      <c r="G1980" s="138"/>
      <c r="H1980" s="138"/>
      <c r="I1980" s="126"/>
      <c r="J1980" s="15"/>
      <c r="K1980" s="15"/>
      <c r="L1980" s="20"/>
      <c r="M1980" s="20"/>
      <c r="N1980" s="126"/>
      <c r="O1980" s="126"/>
      <c r="P1980" s="126"/>
      <c r="Q1980" s="171"/>
      <c r="R1980" s="172"/>
      <c r="S1980" s="172"/>
      <c r="AE1980" s="15"/>
      <c r="AF1980" s="15"/>
      <c r="AG1980" s="15"/>
      <c r="AH1980" s="15"/>
      <c r="AI1980" s="15"/>
      <c r="AJ1980" s="15"/>
      <c r="AK1980" s="15"/>
      <c r="AL1980" s="15"/>
      <c r="AM1980" s="209"/>
      <c r="AN1980" s="209"/>
    </row>
    <row r="1981" s="100" customFormat="1" spans="3:40">
      <c r="C1981" s="136"/>
      <c r="D1981" s="136"/>
      <c r="F1981" s="15"/>
      <c r="G1981" s="138"/>
      <c r="H1981" s="138"/>
      <c r="I1981" s="126"/>
      <c r="J1981" s="15"/>
      <c r="K1981" s="15"/>
      <c r="L1981" s="20"/>
      <c r="M1981" s="20"/>
      <c r="N1981" s="126"/>
      <c r="O1981" s="126"/>
      <c r="P1981" s="126"/>
      <c r="Q1981" s="171"/>
      <c r="R1981" s="172"/>
      <c r="S1981" s="172"/>
      <c r="AE1981" s="15"/>
      <c r="AF1981" s="15"/>
      <c r="AG1981" s="15"/>
      <c r="AH1981" s="15"/>
      <c r="AI1981" s="15"/>
      <c r="AJ1981" s="15"/>
      <c r="AK1981" s="15"/>
      <c r="AL1981" s="15"/>
      <c r="AM1981" s="209"/>
      <c r="AN1981" s="15"/>
    </row>
    <row r="1982" s="100" customFormat="1" spans="3:40">
      <c r="C1982" s="136"/>
      <c r="D1982" s="136"/>
      <c r="F1982" s="15"/>
      <c r="G1982" s="138"/>
      <c r="H1982" s="138"/>
      <c r="I1982" s="126"/>
      <c r="J1982" s="15"/>
      <c r="K1982" s="15"/>
      <c r="L1982" s="20"/>
      <c r="M1982" s="20"/>
      <c r="N1982" s="126"/>
      <c r="O1982" s="126"/>
      <c r="P1982" s="126"/>
      <c r="Q1982" s="171"/>
      <c r="R1982" s="172"/>
      <c r="S1982" s="172"/>
      <c r="AE1982" s="15"/>
      <c r="AF1982" s="15"/>
      <c r="AG1982" s="15"/>
      <c r="AH1982" s="15"/>
      <c r="AI1982" s="15"/>
      <c r="AJ1982" s="15"/>
      <c r="AK1982" s="15"/>
      <c r="AL1982" s="15"/>
      <c r="AM1982" s="209"/>
      <c r="AN1982" s="15"/>
    </row>
    <row r="1983" s="100" customFormat="1" spans="3:40">
      <c r="C1983" s="136"/>
      <c r="D1983" s="136"/>
      <c r="F1983" s="15"/>
      <c r="G1983" s="138"/>
      <c r="H1983" s="138"/>
      <c r="I1983" s="126"/>
      <c r="J1983" s="15"/>
      <c r="K1983" s="15"/>
      <c r="L1983" s="20"/>
      <c r="M1983" s="20"/>
      <c r="N1983" s="126"/>
      <c r="O1983" s="126"/>
      <c r="P1983" s="126"/>
      <c r="Q1983" s="171"/>
      <c r="R1983" s="172"/>
      <c r="S1983" s="172"/>
      <c r="AE1983" s="15"/>
      <c r="AF1983" s="15"/>
      <c r="AG1983" s="15"/>
      <c r="AH1983" s="15"/>
      <c r="AI1983" s="15"/>
      <c r="AJ1983" s="15"/>
      <c r="AK1983" s="15"/>
      <c r="AL1983" s="15"/>
      <c r="AM1983" s="209"/>
      <c r="AN1983" s="15"/>
    </row>
    <row r="1984" s="100" customFormat="1" spans="3:40">
      <c r="C1984" s="136"/>
      <c r="D1984" s="136"/>
      <c r="F1984" s="15"/>
      <c r="G1984" s="138"/>
      <c r="H1984" s="138"/>
      <c r="I1984" s="126"/>
      <c r="J1984" s="15"/>
      <c r="K1984" s="15"/>
      <c r="L1984" s="20"/>
      <c r="M1984" s="20"/>
      <c r="N1984" s="126"/>
      <c r="O1984" s="126"/>
      <c r="P1984" s="126"/>
      <c r="Q1984" s="171"/>
      <c r="R1984" s="172"/>
      <c r="S1984" s="172"/>
      <c r="AE1984" s="15"/>
      <c r="AF1984" s="15"/>
      <c r="AG1984" s="15"/>
      <c r="AH1984" s="15"/>
      <c r="AI1984" s="15"/>
      <c r="AJ1984" s="15"/>
      <c r="AK1984" s="15"/>
      <c r="AL1984" s="15"/>
      <c r="AM1984" s="209"/>
      <c r="AN1984" s="15"/>
    </row>
    <row r="1985" s="100" customFormat="1" spans="3:40">
      <c r="C1985" s="136"/>
      <c r="D1985" s="136"/>
      <c r="F1985" s="15"/>
      <c r="G1985" s="138"/>
      <c r="H1985" s="138"/>
      <c r="I1985" s="126"/>
      <c r="J1985" s="15"/>
      <c r="K1985" s="15"/>
      <c r="L1985" s="20"/>
      <c r="M1985" s="20"/>
      <c r="N1985" s="126"/>
      <c r="O1985" s="126"/>
      <c r="P1985" s="126"/>
      <c r="Q1985" s="171"/>
      <c r="R1985" s="172"/>
      <c r="S1985" s="172"/>
      <c r="AE1985" s="15"/>
      <c r="AF1985" s="15"/>
      <c r="AG1985" s="15"/>
      <c r="AH1985" s="15"/>
      <c r="AI1985" s="15"/>
      <c r="AJ1985" s="15"/>
      <c r="AK1985" s="15"/>
      <c r="AL1985" s="15"/>
      <c r="AM1985" s="209"/>
      <c r="AN1985" s="15"/>
    </row>
    <row r="1986" s="100" customFormat="1" spans="3:40">
      <c r="C1986" s="136"/>
      <c r="D1986" s="136"/>
      <c r="F1986" s="15"/>
      <c r="G1986" s="138"/>
      <c r="H1986" s="138"/>
      <c r="I1986" s="126"/>
      <c r="J1986" s="15"/>
      <c r="K1986" s="15"/>
      <c r="L1986" s="20"/>
      <c r="M1986" s="20"/>
      <c r="N1986" s="126"/>
      <c r="O1986" s="126"/>
      <c r="P1986" s="126"/>
      <c r="Q1986" s="171"/>
      <c r="R1986" s="172"/>
      <c r="S1986" s="172"/>
      <c r="AE1986" s="15"/>
      <c r="AF1986" s="15"/>
      <c r="AG1986" s="15"/>
      <c r="AH1986" s="15"/>
      <c r="AI1986" s="15"/>
      <c r="AJ1986" s="15"/>
      <c r="AK1986" s="15"/>
      <c r="AL1986" s="15"/>
      <c r="AM1986" s="209"/>
      <c r="AN1986" s="15"/>
    </row>
    <row r="1987" s="100" customFormat="1" spans="3:40">
      <c r="C1987" s="136"/>
      <c r="D1987" s="136"/>
      <c r="F1987" s="15"/>
      <c r="G1987" s="138"/>
      <c r="H1987" s="138"/>
      <c r="I1987" s="126"/>
      <c r="J1987" s="15"/>
      <c r="K1987" s="15"/>
      <c r="L1987" s="20"/>
      <c r="M1987" s="20"/>
      <c r="N1987" s="126"/>
      <c r="O1987" s="126"/>
      <c r="P1987" s="126"/>
      <c r="Q1987" s="171"/>
      <c r="R1987" s="172"/>
      <c r="S1987" s="172"/>
      <c r="AE1987" s="15"/>
      <c r="AF1987" s="15"/>
      <c r="AG1987" s="15"/>
      <c r="AH1987" s="15"/>
      <c r="AI1987" s="15"/>
      <c r="AJ1987" s="15"/>
      <c r="AK1987" s="15"/>
      <c r="AL1987" s="15"/>
      <c r="AM1987" s="209"/>
      <c r="AN1987" s="15"/>
    </row>
    <row r="1988" s="100" customFormat="1" spans="3:40">
      <c r="C1988" s="136"/>
      <c r="D1988" s="136"/>
      <c r="F1988" s="15"/>
      <c r="G1988" s="138"/>
      <c r="H1988" s="138"/>
      <c r="I1988" s="126"/>
      <c r="J1988" s="15"/>
      <c r="K1988" s="15"/>
      <c r="L1988" s="20"/>
      <c r="M1988" s="20"/>
      <c r="N1988" s="126"/>
      <c r="O1988" s="126"/>
      <c r="P1988" s="126"/>
      <c r="Q1988" s="171"/>
      <c r="R1988" s="172"/>
      <c r="S1988" s="172"/>
      <c r="AE1988" s="15"/>
      <c r="AF1988" s="15"/>
      <c r="AG1988" s="15"/>
      <c r="AH1988" s="15"/>
      <c r="AI1988" s="15"/>
      <c r="AJ1988" s="15"/>
      <c r="AK1988" s="15"/>
      <c r="AL1988" s="15"/>
      <c r="AM1988" s="209"/>
      <c r="AN1988" s="15"/>
    </row>
    <row r="1989" s="100" customFormat="1" spans="3:40">
      <c r="C1989" s="136"/>
      <c r="D1989" s="136"/>
      <c r="F1989" s="15"/>
      <c r="G1989" s="138"/>
      <c r="H1989" s="138"/>
      <c r="I1989" s="126"/>
      <c r="J1989" s="15"/>
      <c r="K1989" s="15"/>
      <c r="L1989" s="20"/>
      <c r="M1989" s="20"/>
      <c r="N1989" s="126"/>
      <c r="O1989" s="126"/>
      <c r="P1989" s="126"/>
      <c r="Q1989" s="171"/>
      <c r="R1989" s="172"/>
      <c r="S1989" s="172"/>
      <c r="AE1989" s="15"/>
      <c r="AF1989" s="15"/>
      <c r="AG1989" s="15"/>
      <c r="AH1989" s="15"/>
      <c r="AI1989" s="15"/>
      <c r="AJ1989" s="15"/>
      <c r="AK1989" s="15"/>
      <c r="AL1989" s="15"/>
      <c r="AM1989" s="209"/>
      <c r="AN1989" s="209"/>
    </row>
    <row r="1990" s="100" customFormat="1" spans="3:40">
      <c r="C1990" s="136"/>
      <c r="D1990" s="136"/>
      <c r="F1990" s="15"/>
      <c r="G1990" s="138"/>
      <c r="H1990" s="138"/>
      <c r="I1990" s="126"/>
      <c r="J1990" s="15"/>
      <c r="K1990" s="15"/>
      <c r="L1990" s="20"/>
      <c r="M1990" s="20"/>
      <c r="N1990" s="126"/>
      <c r="O1990" s="126"/>
      <c r="P1990" s="126"/>
      <c r="Q1990" s="171"/>
      <c r="R1990" s="172"/>
      <c r="S1990" s="172"/>
      <c r="AE1990" s="15"/>
      <c r="AF1990" s="15"/>
      <c r="AG1990" s="15"/>
      <c r="AH1990" s="15"/>
      <c r="AI1990" s="15"/>
      <c r="AJ1990" s="15"/>
      <c r="AK1990" s="15"/>
      <c r="AL1990" s="15"/>
      <c r="AM1990" s="209"/>
      <c r="AN1990" s="15"/>
    </row>
    <row r="1991" s="100" customFormat="1" spans="3:40">
      <c r="C1991" s="136"/>
      <c r="D1991" s="136"/>
      <c r="F1991" s="15"/>
      <c r="G1991" s="138"/>
      <c r="H1991" s="138"/>
      <c r="I1991" s="126"/>
      <c r="J1991" s="15"/>
      <c r="K1991" s="15"/>
      <c r="L1991" s="20"/>
      <c r="M1991" s="20"/>
      <c r="N1991" s="126"/>
      <c r="O1991" s="126"/>
      <c r="P1991" s="126"/>
      <c r="Q1991" s="171"/>
      <c r="R1991" s="172"/>
      <c r="S1991" s="172"/>
      <c r="AE1991" s="15"/>
      <c r="AF1991" s="15"/>
      <c r="AG1991" s="15"/>
      <c r="AH1991" s="15"/>
      <c r="AI1991" s="15"/>
      <c r="AJ1991" s="15"/>
      <c r="AK1991" s="15"/>
      <c r="AL1991" s="15"/>
      <c r="AM1991" s="209"/>
      <c r="AN1991" s="15"/>
    </row>
    <row r="1992" s="100" customFormat="1" spans="3:40">
      <c r="C1992" s="136"/>
      <c r="D1992" s="136"/>
      <c r="F1992" s="15"/>
      <c r="G1992" s="138"/>
      <c r="H1992" s="138"/>
      <c r="I1992" s="126"/>
      <c r="J1992" s="15"/>
      <c r="K1992" s="15"/>
      <c r="L1992" s="20"/>
      <c r="M1992" s="20"/>
      <c r="N1992" s="126"/>
      <c r="O1992" s="126"/>
      <c r="P1992" s="126"/>
      <c r="Q1992" s="171"/>
      <c r="R1992" s="172"/>
      <c r="S1992" s="172"/>
      <c r="AE1992" s="15"/>
      <c r="AF1992" s="15"/>
      <c r="AG1992" s="15"/>
      <c r="AH1992" s="15"/>
      <c r="AI1992" s="15"/>
      <c r="AJ1992" s="15"/>
      <c r="AK1992" s="15"/>
      <c r="AL1992" s="15"/>
      <c r="AM1992" s="209"/>
      <c r="AN1992" s="15"/>
    </row>
    <row r="1993" s="100" customFormat="1" spans="3:40">
      <c r="C1993" s="136"/>
      <c r="D1993" s="136"/>
      <c r="F1993" s="15"/>
      <c r="G1993" s="138"/>
      <c r="H1993" s="138"/>
      <c r="I1993" s="126"/>
      <c r="J1993" s="15"/>
      <c r="K1993" s="15"/>
      <c r="L1993" s="20"/>
      <c r="M1993" s="20"/>
      <c r="N1993" s="126"/>
      <c r="O1993" s="126"/>
      <c r="P1993" s="126"/>
      <c r="Q1993" s="171"/>
      <c r="R1993" s="172"/>
      <c r="S1993" s="172"/>
      <c r="AE1993" s="15"/>
      <c r="AF1993" s="15"/>
      <c r="AG1993" s="15"/>
      <c r="AH1993" s="15"/>
      <c r="AI1993" s="15"/>
      <c r="AJ1993" s="15"/>
      <c r="AK1993" s="15"/>
      <c r="AL1993" s="15"/>
      <c r="AM1993" s="209"/>
      <c r="AN1993" s="15"/>
    </row>
    <row r="1994" s="100" customFormat="1" spans="3:40">
      <c r="C1994" s="136"/>
      <c r="D1994" s="136"/>
      <c r="F1994" s="15"/>
      <c r="G1994" s="138"/>
      <c r="H1994" s="138"/>
      <c r="I1994" s="126"/>
      <c r="J1994" s="15"/>
      <c r="K1994" s="15"/>
      <c r="L1994" s="20"/>
      <c r="M1994" s="20"/>
      <c r="N1994" s="126"/>
      <c r="O1994" s="126"/>
      <c r="P1994" s="126"/>
      <c r="Q1994" s="171"/>
      <c r="R1994" s="172"/>
      <c r="S1994" s="172"/>
      <c r="AE1994" s="15"/>
      <c r="AF1994" s="15"/>
      <c r="AG1994" s="15"/>
      <c r="AH1994" s="15"/>
      <c r="AI1994" s="15"/>
      <c r="AJ1994" s="15"/>
      <c r="AK1994" s="15"/>
      <c r="AL1994" s="15"/>
      <c r="AM1994" s="209"/>
      <c r="AN1994" s="15"/>
    </row>
    <row r="1995" s="100" customFormat="1" spans="3:40">
      <c r="C1995" s="136"/>
      <c r="D1995" s="136"/>
      <c r="F1995" s="15"/>
      <c r="G1995" s="138"/>
      <c r="H1995" s="138"/>
      <c r="I1995" s="126"/>
      <c r="J1995" s="15"/>
      <c r="K1995" s="15"/>
      <c r="L1995" s="20"/>
      <c r="M1995" s="20"/>
      <c r="N1995" s="126"/>
      <c r="O1995" s="126"/>
      <c r="P1995" s="126"/>
      <c r="Q1995" s="171"/>
      <c r="R1995" s="172"/>
      <c r="S1995" s="172"/>
      <c r="AE1995" s="15"/>
      <c r="AF1995" s="15"/>
      <c r="AG1995" s="15"/>
      <c r="AH1995" s="15"/>
      <c r="AI1995" s="15"/>
      <c r="AJ1995" s="15"/>
      <c r="AK1995" s="15"/>
      <c r="AL1995" s="15"/>
      <c r="AM1995" s="209"/>
      <c r="AN1995" s="15"/>
    </row>
    <row r="1996" s="100" customFormat="1" spans="3:40">
      <c r="C1996" s="136"/>
      <c r="D1996" s="136"/>
      <c r="F1996" s="15"/>
      <c r="G1996" s="138"/>
      <c r="H1996" s="138"/>
      <c r="I1996" s="126"/>
      <c r="J1996" s="15"/>
      <c r="K1996" s="15"/>
      <c r="L1996" s="20"/>
      <c r="M1996" s="20"/>
      <c r="N1996" s="126"/>
      <c r="O1996" s="126"/>
      <c r="P1996" s="126"/>
      <c r="Q1996" s="171"/>
      <c r="R1996" s="172"/>
      <c r="S1996" s="172"/>
      <c r="AE1996" s="15"/>
      <c r="AF1996" s="15"/>
      <c r="AG1996" s="15"/>
      <c r="AH1996" s="15"/>
      <c r="AI1996" s="15"/>
      <c r="AJ1996" s="15"/>
      <c r="AK1996" s="15"/>
      <c r="AL1996" s="15"/>
      <c r="AM1996" s="209"/>
      <c r="AN1996" s="209"/>
    </row>
    <row r="1997" s="100" customFormat="1" spans="3:40">
      <c r="C1997" s="136"/>
      <c r="D1997" s="136"/>
      <c r="F1997" s="15"/>
      <c r="G1997" s="138"/>
      <c r="H1997" s="138"/>
      <c r="I1997" s="126"/>
      <c r="J1997" s="15"/>
      <c r="K1997" s="15"/>
      <c r="L1997" s="20"/>
      <c r="M1997" s="20"/>
      <c r="N1997" s="126"/>
      <c r="O1997" s="126"/>
      <c r="P1997" s="126"/>
      <c r="Q1997" s="171"/>
      <c r="R1997" s="172"/>
      <c r="S1997" s="172"/>
      <c r="AE1997" s="15"/>
      <c r="AF1997" s="15"/>
      <c r="AG1997" s="15"/>
      <c r="AH1997" s="15"/>
      <c r="AI1997" s="15"/>
      <c r="AJ1997" s="15"/>
      <c r="AK1997" s="15"/>
      <c r="AL1997" s="15"/>
      <c r="AM1997" s="209"/>
      <c r="AN1997" s="15"/>
    </row>
    <row r="1998" s="100" customFormat="1" spans="3:40">
      <c r="C1998" s="136"/>
      <c r="D1998" s="136"/>
      <c r="F1998" s="15"/>
      <c r="G1998" s="138"/>
      <c r="H1998" s="138"/>
      <c r="I1998" s="126"/>
      <c r="J1998" s="15"/>
      <c r="K1998" s="15"/>
      <c r="L1998" s="20"/>
      <c r="M1998" s="20"/>
      <c r="N1998" s="126"/>
      <c r="O1998" s="126"/>
      <c r="P1998" s="126"/>
      <c r="Q1998" s="171"/>
      <c r="R1998" s="172"/>
      <c r="S1998" s="172"/>
      <c r="AE1998" s="15"/>
      <c r="AF1998" s="15"/>
      <c r="AG1998" s="15"/>
      <c r="AH1998" s="15"/>
      <c r="AI1998" s="15"/>
      <c r="AJ1998" s="15"/>
      <c r="AK1998" s="15"/>
      <c r="AL1998" s="15"/>
      <c r="AM1998" s="209"/>
      <c r="AN1998" s="15"/>
    </row>
    <row r="1999" s="100" customFormat="1" spans="3:40">
      <c r="C1999" s="136"/>
      <c r="D1999" s="136"/>
      <c r="F1999" s="15"/>
      <c r="G1999" s="138"/>
      <c r="H1999" s="138"/>
      <c r="I1999" s="126"/>
      <c r="J1999" s="15"/>
      <c r="K1999" s="15"/>
      <c r="L1999" s="20"/>
      <c r="M1999" s="20"/>
      <c r="N1999" s="126"/>
      <c r="O1999" s="126"/>
      <c r="P1999" s="126"/>
      <c r="Q1999" s="171"/>
      <c r="R1999" s="172"/>
      <c r="S1999" s="172"/>
      <c r="AE1999" s="15"/>
      <c r="AF1999" s="15"/>
      <c r="AG1999" s="15"/>
      <c r="AH1999" s="15"/>
      <c r="AI1999" s="15"/>
      <c r="AJ1999" s="15"/>
      <c r="AK1999" s="15"/>
      <c r="AL1999" s="15"/>
      <c r="AM1999" s="209"/>
      <c r="AN1999" s="15"/>
    </row>
    <row r="2000" s="100" customFormat="1" spans="3:40">
      <c r="C2000" s="136"/>
      <c r="D2000" s="136"/>
      <c r="F2000" s="15"/>
      <c r="G2000" s="138"/>
      <c r="H2000" s="138"/>
      <c r="I2000" s="126"/>
      <c r="J2000" s="15"/>
      <c r="K2000" s="15"/>
      <c r="L2000" s="20"/>
      <c r="M2000" s="20"/>
      <c r="N2000" s="126"/>
      <c r="O2000" s="126"/>
      <c r="P2000" s="126"/>
      <c r="Q2000" s="171"/>
      <c r="R2000" s="172"/>
      <c r="S2000" s="172"/>
      <c r="AE2000" s="15"/>
      <c r="AF2000" s="15"/>
      <c r="AG2000" s="15"/>
      <c r="AH2000" s="15"/>
      <c r="AI2000" s="15"/>
      <c r="AJ2000" s="15"/>
      <c r="AK2000" s="15"/>
      <c r="AL2000" s="15"/>
      <c r="AM2000" s="209"/>
      <c r="AN2000" s="209"/>
    </row>
    <row r="2001" s="100" customFormat="1" spans="3:40">
      <c r="C2001" s="136"/>
      <c r="D2001" s="136"/>
      <c r="F2001" s="15"/>
      <c r="G2001" s="138"/>
      <c r="H2001" s="138"/>
      <c r="I2001" s="126"/>
      <c r="J2001" s="15"/>
      <c r="K2001" s="15"/>
      <c r="L2001" s="20"/>
      <c r="M2001" s="20"/>
      <c r="N2001" s="126"/>
      <c r="O2001" s="126"/>
      <c r="P2001" s="126"/>
      <c r="Q2001" s="171"/>
      <c r="R2001" s="172"/>
      <c r="S2001" s="172"/>
      <c r="AE2001" s="15"/>
      <c r="AF2001" s="15"/>
      <c r="AG2001" s="15"/>
      <c r="AH2001" s="15"/>
      <c r="AI2001" s="15"/>
      <c r="AJ2001" s="15"/>
      <c r="AK2001" s="15"/>
      <c r="AL2001" s="15"/>
      <c r="AM2001" s="209"/>
      <c r="AN2001" s="15"/>
    </row>
    <row r="2002" s="100" customFormat="1" spans="3:40">
      <c r="C2002" s="136"/>
      <c r="D2002" s="136"/>
      <c r="F2002" s="15"/>
      <c r="G2002" s="138"/>
      <c r="H2002" s="138"/>
      <c r="I2002" s="126"/>
      <c r="J2002" s="15"/>
      <c r="K2002" s="15"/>
      <c r="L2002" s="20"/>
      <c r="M2002" s="20"/>
      <c r="N2002" s="126"/>
      <c r="O2002" s="126"/>
      <c r="P2002" s="126"/>
      <c r="Q2002" s="171"/>
      <c r="R2002" s="172"/>
      <c r="S2002" s="172"/>
      <c r="AE2002" s="15"/>
      <c r="AF2002" s="15"/>
      <c r="AG2002" s="15"/>
      <c r="AH2002" s="15"/>
      <c r="AI2002" s="15"/>
      <c r="AJ2002" s="15"/>
      <c r="AK2002" s="15"/>
      <c r="AL2002" s="15"/>
      <c r="AM2002" s="209"/>
      <c r="AN2002" s="15"/>
    </row>
    <row r="2003" s="100" customFormat="1" spans="3:40">
      <c r="C2003" s="136"/>
      <c r="D2003" s="136"/>
      <c r="F2003" s="15"/>
      <c r="G2003" s="138"/>
      <c r="H2003" s="138"/>
      <c r="I2003" s="126"/>
      <c r="J2003" s="15"/>
      <c r="K2003" s="15"/>
      <c r="L2003" s="20"/>
      <c r="M2003" s="20"/>
      <c r="N2003" s="126"/>
      <c r="O2003" s="126"/>
      <c r="P2003" s="126"/>
      <c r="Q2003" s="171"/>
      <c r="R2003" s="172"/>
      <c r="S2003" s="172"/>
      <c r="AE2003" s="15"/>
      <c r="AF2003" s="15"/>
      <c r="AG2003" s="15"/>
      <c r="AH2003" s="15"/>
      <c r="AI2003" s="15"/>
      <c r="AJ2003" s="15"/>
      <c r="AK2003" s="15"/>
      <c r="AL2003" s="15"/>
      <c r="AM2003" s="209"/>
      <c r="AN2003" s="15"/>
    </row>
    <row r="2004" s="100" customFormat="1" spans="3:40">
      <c r="C2004" s="136"/>
      <c r="D2004" s="136"/>
      <c r="F2004" s="15"/>
      <c r="G2004" s="138"/>
      <c r="H2004" s="138"/>
      <c r="I2004" s="126"/>
      <c r="J2004" s="15"/>
      <c r="K2004" s="15"/>
      <c r="L2004" s="20"/>
      <c r="M2004" s="20"/>
      <c r="N2004" s="126"/>
      <c r="O2004" s="126"/>
      <c r="P2004" s="126"/>
      <c r="Q2004" s="171"/>
      <c r="R2004" s="172"/>
      <c r="S2004" s="172"/>
      <c r="AE2004" s="15"/>
      <c r="AF2004" s="15"/>
      <c r="AG2004" s="15"/>
      <c r="AH2004" s="15"/>
      <c r="AI2004" s="15"/>
      <c r="AJ2004" s="15"/>
      <c r="AK2004" s="15"/>
      <c r="AL2004" s="15"/>
      <c r="AM2004" s="209"/>
      <c r="AN2004" s="15"/>
    </row>
    <row r="2005" s="100" customFormat="1" spans="3:40">
      <c r="C2005" s="136"/>
      <c r="D2005" s="136"/>
      <c r="F2005" s="15"/>
      <c r="G2005" s="138"/>
      <c r="H2005" s="138"/>
      <c r="I2005" s="126"/>
      <c r="J2005" s="15"/>
      <c r="K2005" s="15"/>
      <c r="L2005" s="20"/>
      <c r="M2005" s="20"/>
      <c r="N2005" s="126"/>
      <c r="O2005" s="126"/>
      <c r="P2005" s="126"/>
      <c r="Q2005" s="171"/>
      <c r="R2005" s="172"/>
      <c r="S2005" s="172"/>
      <c r="AE2005" s="15"/>
      <c r="AF2005" s="15"/>
      <c r="AG2005" s="15"/>
      <c r="AH2005" s="15"/>
      <c r="AI2005" s="15"/>
      <c r="AJ2005" s="15"/>
      <c r="AK2005" s="15"/>
      <c r="AL2005" s="15"/>
      <c r="AM2005" s="209"/>
      <c r="AN2005" s="15"/>
    </row>
    <row r="2006" s="100" customFormat="1" spans="3:40">
      <c r="C2006" s="136"/>
      <c r="D2006" s="136"/>
      <c r="F2006" s="15"/>
      <c r="G2006" s="138"/>
      <c r="H2006" s="138"/>
      <c r="I2006" s="126"/>
      <c r="J2006" s="15"/>
      <c r="K2006" s="15"/>
      <c r="L2006" s="20"/>
      <c r="M2006" s="20"/>
      <c r="N2006" s="126"/>
      <c r="O2006" s="126"/>
      <c r="P2006" s="126"/>
      <c r="Q2006" s="171"/>
      <c r="R2006" s="172"/>
      <c r="S2006" s="172"/>
      <c r="AE2006" s="15"/>
      <c r="AF2006" s="15"/>
      <c r="AG2006" s="15"/>
      <c r="AH2006" s="15"/>
      <c r="AI2006" s="15"/>
      <c r="AJ2006" s="15"/>
      <c r="AK2006" s="15"/>
      <c r="AL2006" s="15"/>
      <c r="AM2006" s="209"/>
      <c r="AN2006" s="15"/>
    </row>
    <row r="2007" s="100" customFormat="1" spans="3:40">
      <c r="C2007" s="136"/>
      <c r="D2007" s="136"/>
      <c r="F2007" s="15"/>
      <c r="G2007" s="138"/>
      <c r="H2007" s="138"/>
      <c r="I2007" s="126"/>
      <c r="J2007" s="15"/>
      <c r="K2007" s="15"/>
      <c r="L2007" s="20"/>
      <c r="M2007" s="20"/>
      <c r="N2007" s="126"/>
      <c r="O2007" s="126"/>
      <c r="P2007" s="126"/>
      <c r="Q2007" s="171"/>
      <c r="R2007" s="172"/>
      <c r="S2007" s="172"/>
      <c r="AE2007" s="15"/>
      <c r="AF2007" s="15"/>
      <c r="AG2007" s="15"/>
      <c r="AH2007" s="15"/>
      <c r="AI2007" s="15"/>
      <c r="AJ2007" s="15"/>
      <c r="AK2007" s="15"/>
      <c r="AL2007" s="15"/>
      <c r="AM2007" s="209"/>
      <c r="AN2007" s="209"/>
    </row>
    <row r="2008" s="100" customFormat="1" spans="3:40">
      <c r="C2008" s="136"/>
      <c r="D2008" s="136"/>
      <c r="F2008" s="15"/>
      <c r="G2008" s="138"/>
      <c r="H2008" s="138"/>
      <c r="I2008" s="126"/>
      <c r="J2008" s="15"/>
      <c r="K2008" s="15"/>
      <c r="L2008" s="20"/>
      <c r="M2008" s="20"/>
      <c r="N2008" s="126"/>
      <c r="O2008" s="126"/>
      <c r="P2008" s="126"/>
      <c r="Q2008" s="171"/>
      <c r="R2008" s="172"/>
      <c r="S2008" s="172"/>
      <c r="AE2008" s="15"/>
      <c r="AF2008" s="15"/>
      <c r="AG2008" s="15"/>
      <c r="AH2008" s="15"/>
      <c r="AI2008" s="15"/>
      <c r="AJ2008" s="15"/>
      <c r="AK2008" s="15"/>
      <c r="AL2008" s="15"/>
      <c r="AM2008" s="209"/>
      <c r="AN2008" s="209"/>
    </row>
    <row r="2009" s="100" customFormat="1" spans="3:40">
      <c r="C2009" s="136"/>
      <c r="D2009" s="136"/>
      <c r="F2009" s="15"/>
      <c r="G2009" s="138"/>
      <c r="H2009" s="138"/>
      <c r="I2009" s="126"/>
      <c r="J2009" s="15"/>
      <c r="K2009" s="15"/>
      <c r="L2009" s="20"/>
      <c r="M2009" s="20"/>
      <c r="N2009" s="126"/>
      <c r="O2009" s="126"/>
      <c r="P2009" s="126"/>
      <c r="Q2009" s="171"/>
      <c r="R2009" s="172"/>
      <c r="S2009" s="172"/>
      <c r="AE2009" s="15"/>
      <c r="AF2009" s="15"/>
      <c r="AG2009" s="15"/>
      <c r="AH2009" s="15"/>
      <c r="AI2009" s="15"/>
      <c r="AJ2009" s="15"/>
      <c r="AK2009" s="15"/>
      <c r="AL2009" s="15"/>
      <c r="AM2009" s="209"/>
      <c r="AN2009" s="15"/>
    </row>
    <row r="2010" s="100" customFormat="1" spans="3:40">
      <c r="C2010" s="136"/>
      <c r="D2010" s="136"/>
      <c r="F2010" s="15"/>
      <c r="G2010" s="138"/>
      <c r="H2010" s="138"/>
      <c r="I2010" s="126"/>
      <c r="J2010" s="15"/>
      <c r="K2010" s="15"/>
      <c r="L2010" s="20"/>
      <c r="M2010" s="20"/>
      <c r="N2010" s="126"/>
      <c r="O2010" s="126"/>
      <c r="P2010" s="126"/>
      <c r="Q2010" s="171"/>
      <c r="R2010" s="172"/>
      <c r="S2010" s="172"/>
      <c r="AE2010" s="15"/>
      <c r="AF2010" s="15"/>
      <c r="AG2010" s="15"/>
      <c r="AH2010" s="15"/>
      <c r="AI2010" s="15"/>
      <c r="AJ2010" s="15"/>
      <c r="AK2010" s="15"/>
      <c r="AL2010" s="15"/>
      <c r="AM2010" s="209"/>
      <c r="AN2010" s="15"/>
    </row>
    <row r="2011" s="100" customFormat="1" spans="3:40">
      <c r="C2011" s="136"/>
      <c r="D2011" s="136"/>
      <c r="F2011" s="15"/>
      <c r="G2011" s="138"/>
      <c r="H2011" s="138"/>
      <c r="I2011" s="126"/>
      <c r="J2011" s="15"/>
      <c r="K2011" s="15"/>
      <c r="L2011" s="20"/>
      <c r="M2011" s="20"/>
      <c r="N2011" s="126"/>
      <c r="O2011" s="126"/>
      <c r="P2011" s="126"/>
      <c r="Q2011" s="171"/>
      <c r="R2011" s="172"/>
      <c r="S2011" s="172"/>
      <c r="AE2011" s="15"/>
      <c r="AF2011" s="15"/>
      <c r="AG2011" s="15"/>
      <c r="AH2011" s="15"/>
      <c r="AI2011" s="15"/>
      <c r="AJ2011" s="15"/>
      <c r="AK2011" s="15"/>
      <c r="AL2011" s="15"/>
      <c r="AM2011" s="209"/>
      <c r="AN2011" s="15"/>
    </row>
    <row r="2012" s="100" customFormat="1" spans="3:40">
      <c r="C2012" s="136"/>
      <c r="D2012" s="136"/>
      <c r="F2012" s="15"/>
      <c r="G2012" s="138"/>
      <c r="H2012" s="138"/>
      <c r="I2012" s="126"/>
      <c r="J2012" s="15"/>
      <c r="K2012" s="15"/>
      <c r="L2012" s="20"/>
      <c r="M2012" s="20"/>
      <c r="N2012" s="126"/>
      <c r="O2012" s="126"/>
      <c r="P2012" s="126"/>
      <c r="Q2012" s="171"/>
      <c r="R2012" s="172"/>
      <c r="S2012" s="172"/>
      <c r="AE2012" s="15"/>
      <c r="AF2012" s="15"/>
      <c r="AG2012" s="15"/>
      <c r="AH2012" s="15"/>
      <c r="AI2012" s="15"/>
      <c r="AJ2012" s="15"/>
      <c r="AK2012" s="15"/>
      <c r="AL2012" s="15"/>
      <c r="AM2012" s="209"/>
      <c r="AN2012" s="15"/>
    </row>
    <row r="2013" s="100" customFormat="1" spans="3:40">
      <c r="C2013" s="136"/>
      <c r="D2013" s="136"/>
      <c r="F2013" s="15"/>
      <c r="G2013" s="138"/>
      <c r="H2013" s="138"/>
      <c r="I2013" s="126"/>
      <c r="J2013" s="15"/>
      <c r="K2013" s="15"/>
      <c r="L2013" s="20"/>
      <c r="M2013" s="20"/>
      <c r="N2013" s="126"/>
      <c r="O2013" s="126"/>
      <c r="P2013" s="126"/>
      <c r="Q2013" s="171"/>
      <c r="R2013" s="172"/>
      <c r="S2013" s="172"/>
      <c r="AE2013" s="15"/>
      <c r="AF2013" s="15"/>
      <c r="AG2013" s="15"/>
      <c r="AH2013" s="15"/>
      <c r="AI2013" s="15"/>
      <c r="AJ2013" s="15"/>
      <c r="AK2013" s="15"/>
      <c r="AL2013" s="15"/>
      <c r="AM2013" s="209"/>
      <c r="AN2013" s="15"/>
    </row>
    <row r="2014" s="100" customFormat="1" spans="3:40">
      <c r="C2014" s="136"/>
      <c r="D2014" s="136"/>
      <c r="F2014" s="15"/>
      <c r="G2014" s="138"/>
      <c r="H2014" s="138"/>
      <c r="I2014" s="126"/>
      <c r="J2014" s="15"/>
      <c r="K2014" s="15"/>
      <c r="L2014" s="20"/>
      <c r="M2014" s="20"/>
      <c r="N2014" s="126"/>
      <c r="O2014" s="126"/>
      <c r="P2014" s="126"/>
      <c r="Q2014" s="171"/>
      <c r="R2014" s="172"/>
      <c r="S2014" s="172"/>
      <c r="AE2014" s="15"/>
      <c r="AF2014" s="15"/>
      <c r="AG2014" s="15"/>
      <c r="AH2014" s="15"/>
      <c r="AI2014" s="15"/>
      <c r="AJ2014" s="15"/>
      <c r="AK2014" s="15"/>
      <c r="AL2014" s="15"/>
      <c r="AM2014" s="209"/>
      <c r="AN2014" s="209"/>
    </row>
    <row r="2015" s="100" customFormat="1" spans="3:40">
      <c r="C2015" s="136"/>
      <c r="D2015" s="136"/>
      <c r="F2015" s="15"/>
      <c r="G2015" s="138"/>
      <c r="H2015" s="138"/>
      <c r="I2015" s="126"/>
      <c r="J2015" s="15"/>
      <c r="K2015" s="15"/>
      <c r="L2015" s="20"/>
      <c r="M2015" s="20"/>
      <c r="N2015" s="126"/>
      <c r="O2015" s="126"/>
      <c r="P2015" s="126"/>
      <c r="Q2015" s="171"/>
      <c r="R2015" s="172"/>
      <c r="S2015" s="172"/>
      <c r="AE2015" s="15"/>
      <c r="AF2015" s="15"/>
      <c r="AG2015" s="15"/>
      <c r="AH2015" s="15"/>
      <c r="AI2015" s="15"/>
      <c r="AJ2015" s="15"/>
      <c r="AK2015" s="15"/>
      <c r="AL2015" s="15"/>
      <c r="AM2015" s="209"/>
      <c r="AN2015" s="15"/>
    </row>
    <row r="2016" s="100" customFormat="1" spans="3:40">
      <c r="C2016" s="136"/>
      <c r="D2016" s="136"/>
      <c r="F2016" s="15"/>
      <c r="G2016" s="138"/>
      <c r="H2016" s="138"/>
      <c r="I2016" s="126"/>
      <c r="J2016" s="15"/>
      <c r="K2016" s="15"/>
      <c r="L2016" s="20"/>
      <c r="M2016" s="20"/>
      <c r="N2016" s="126"/>
      <c r="O2016" s="126"/>
      <c r="P2016" s="126"/>
      <c r="Q2016" s="171"/>
      <c r="R2016" s="172"/>
      <c r="S2016" s="172"/>
      <c r="AE2016" s="15"/>
      <c r="AF2016" s="15"/>
      <c r="AG2016" s="15"/>
      <c r="AH2016" s="15"/>
      <c r="AI2016" s="15"/>
      <c r="AJ2016" s="15"/>
      <c r="AK2016" s="15"/>
      <c r="AL2016" s="15"/>
      <c r="AM2016" s="209"/>
      <c r="AN2016" s="15"/>
    </row>
    <row r="2017" s="100" customFormat="1" spans="3:40">
      <c r="C2017" s="136"/>
      <c r="D2017" s="136"/>
      <c r="F2017" s="15"/>
      <c r="G2017" s="138"/>
      <c r="H2017" s="138"/>
      <c r="I2017" s="126"/>
      <c r="J2017" s="15"/>
      <c r="K2017" s="15"/>
      <c r="L2017" s="20"/>
      <c r="M2017" s="20"/>
      <c r="N2017" s="126"/>
      <c r="O2017" s="126"/>
      <c r="P2017" s="126"/>
      <c r="Q2017" s="171"/>
      <c r="R2017" s="172"/>
      <c r="S2017" s="172"/>
      <c r="AE2017" s="15"/>
      <c r="AF2017" s="15"/>
      <c r="AG2017" s="15"/>
      <c r="AH2017" s="15"/>
      <c r="AI2017" s="15"/>
      <c r="AJ2017" s="15"/>
      <c r="AK2017" s="15"/>
      <c r="AL2017" s="15"/>
      <c r="AM2017" s="209"/>
      <c r="AN2017" s="15"/>
    </row>
    <row r="2018" s="100" customFormat="1" spans="3:40">
      <c r="C2018" s="136"/>
      <c r="D2018" s="136"/>
      <c r="F2018" s="15"/>
      <c r="G2018" s="138"/>
      <c r="H2018" s="138"/>
      <c r="I2018" s="126"/>
      <c r="J2018" s="15"/>
      <c r="K2018" s="15"/>
      <c r="L2018" s="20"/>
      <c r="M2018" s="20"/>
      <c r="N2018" s="126"/>
      <c r="O2018" s="126"/>
      <c r="P2018" s="126"/>
      <c r="Q2018" s="171"/>
      <c r="R2018" s="172"/>
      <c r="S2018" s="172"/>
      <c r="AE2018" s="15"/>
      <c r="AF2018" s="15"/>
      <c r="AG2018" s="15"/>
      <c r="AH2018" s="15"/>
      <c r="AI2018" s="15"/>
      <c r="AJ2018" s="15"/>
      <c r="AK2018" s="15"/>
      <c r="AL2018" s="211"/>
      <c r="AM2018" s="209"/>
      <c r="AN2018" s="209"/>
    </row>
    <row r="2019" s="100" customFormat="1" spans="3:40">
      <c r="C2019" s="136"/>
      <c r="D2019" s="136"/>
      <c r="F2019" s="15"/>
      <c r="G2019" s="138"/>
      <c r="H2019" s="138"/>
      <c r="I2019" s="126"/>
      <c r="J2019" s="15"/>
      <c r="K2019" s="15"/>
      <c r="L2019" s="20"/>
      <c r="M2019" s="20"/>
      <c r="N2019" s="126"/>
      <c r="O2019" s="126"/>
      <c r="P2019" s="126"/>
      <c r="Q2019" s="171"/>
      <c r="R2019" s="172"/>
      <c r="S2019" s="172"/>
      <c r="AE2019" s="15"/>
      <c r="AF2019" s="15"/>
      <c r="AG2019" s="15"/>
      <c r="AH2019" s="15"/>
      <c r="AI2019" s="15"/>
      <c r="AJ2019" s="15"/>
      <c r="AK2019" s="15"/>
      <c r="AL2019" s="15"/>
      <c r="AM2019" s="209"/>
      <c r="AN2019" s="209"/>
    </row>
    <row r="2020" s="100" customFormat="1" spans="3:40">
      <c r="C2020" s="136"/>
      <c r="D2020" s="136"/>
      <c r="F2020" s="15"/>
      <c r="G2020" s="138"/>
      <c r="H2020" s="138"/>
      <c r="I2020" s="126"/>
      <c r="J2020" s="15"/>
      <c r="K2020" s="15"/>
      <c r="L2020" s="20"/>
      <c r="M2020" s="20"/>
      <c r="N2020" s="126"/>
      <c r="O2020" s="126"/>
      <c r="P2020" s="126"/>
      <c r="Q2020" s="171"/>
      <c r="R2020" s="172"/>
      <c r="S2020" s="172"/>
      <c r="AE2020" s="15"/>
      <c r="AF2020" s="15"/>
      <c r="AG2020" s="15"/>
      <c r="AH2020" s="15"/>
      <c r="AI2020" s="15"/>
      <c r="AJ2020" s="15"/>
      <c r="AK2020" s="15"/>
      <c r="AL2020" s="15"/>
      <c r="AM2020" s="209"/>
      <c r="AN2020" s="209"/>
    </row>
    <row r="2021" s="100" customFormat="1" spans="3:40">
      <c r="C2021" s="136"/>
      <c r="D2021" s="136"/>
      <c r="F2021" s="15"/>
      <c r="G2021" s="138"/>
      <c r="H2021" s="138"/>
      <c r="I2021" s="126"/>
      <c r="J2021" s="15"/>
      <c r="K2021" s="15"/>
      <c r="L2021" s="20"/>
      <c r="M2021" s="20"/>
      <c r="N2021" s="126"/>
      <c r="O2021" s="126"/>
      <c r="P2021" s="126"/>
      <c r="Q2021" s="171"/>
      <c r="R2021" s="172"/>
      <c r="S2021" s="172"/>
      <c r="AE2021" s="15"/>
      <c r="AF2021" s="15"/>
      <c r="AG2021" s="15"/>
      <c r="AH2021" s="15"/>
      <c r="AI2021" s="15"/>
      <c r="AJ2021" s="15"/>
      <c r="AK2021" s="15"/>
      <c r="AL2021" s="15"/>
      <c r="AM2021" s="209"/>
      <c r="AN2021" s="15"/>
    </row>
    <row r="2022" s="100" customFormat="1" spans="3:40">
      <c r="C2022" s="136"/>
      <c r="D2022" s="136"/>
      <c r="F2022" s="15"/>
      <c r="G2022" s="138"/>
      <c r="H2022" s="138"/>
      <c r="I2022" s="126"/>
      <c r="J2022" s="15"/>
      <c r="K2022" s="15"/>
      <c r="L2022" s="20"/>
      <c r="M2022" s="20"/>
      <c r="N2022" s="126"/>
      <c r="O2022" s="126"/>
      <c r="P2022" s="126"/>
      <c r="Q2022" s="171"/>
      <c r="R2022" s="172"/>
      <c r="S2022" s="172"/>
      <c r="AE2022" s="15"/>
      <c r="AF2022" s="15"/>
      <c r="AG2022" s="15"/>
      <c r="AH2022" s="15"/>
      <c r="AI2022" s="15"/>
      <c r="AJ2022" s="15"/>
      <c r="AK2022" s="15"/>
      <c r="AL2022" s="15"/>
      <c r="AM2022" s="209"/>
      <c r="AN2022" s="15"/>
    </row>
    <row r="2023" s="100" customFormat="1" spans="3:40">
      <c r="C2023" s="136"/>
      <c r="D2023" s="136"/>
      <c r="F2023" s="15"/>
      <c r="G2023" s="138"/>
      <c r="H2023" s="138"/>
      <c r="I2023" s="126"/>
      <c r="J2023" s="15"/>
      <c r="K2023" s="15"/>
      <c r="L2023" s="20"/>
      <c r="M2023" s="20"/>
      <c r="N2023" s="126"/>
      <c r="O2023" s="126"/>
      <c r="P2023" s="126"/>
      <c r="Q2023" s="171"/>
      <c r="R2023" s="172"/>
      <c r="S2023" s="172"/>
      <c r="AE2023" s="15"/>
      <c r="AF2023" s="15"/>
      <c r="AG2023" s="15"/>
      <c r="AH2023" s="15"/>
      <c r="AI2023" s="15"/>
      <c r="AJ2023" s="15"/>
      <c r="AK2023" s="15"/>
      <c r="AL2023" s="15"/>
      <c r="AM2023" s="209"/>
      <c r="AN2023" s="209"/>
    </row>
    <row r="2024" s="100" customFormat="1" spans="3:40">
      <c r="C2024" s="136"/>
      <c r="D2024" s="136"/>
      <c r="F2024" s="15"/>
      <c r="G2024" s="138"/>
      <c r="H2024" s="138"/>
      <c r="I2024" s="126"/>
      <c r="J2024" s="15"/>
      <c r="K2024" s="15"/>
      <c r="L2024" s="20"/>
      <c r="M2024" s="20"/>
      <c r="N2024" s="126"/>
      <c r="O2024" s="126"/>
      <c r="P2024" s="126"/>
      <c r="Q2024" s="171"/>
      <c r="R2024" s="172"/>
      <c r="S2024" s="172"/>
      <c r="AE2024" s="15"/>
      <c r="AF2024" s="15"/>
      <c r="AG2024" s="15"/>
      <c r="AH2024" s="15"/>
      <c r="AI2024" s="15"/>
      <c r="AJ2024" s="15"/>
      <c r="AK2024" s="15"/>
      <c r="AL2024" s="211"/>
      <c r="AM2024" s="209"/>
      <c r="AN2024" s="209"/>
    </row>
    <row r="2025" s="100" customFormat="1" spans="3:40">
      <c r="C2025" s="136"/>
      <c r="D2025" s="136"/>
      <c r="F2025" s="15"/>
      <c r="G2025" s="138"/>
      <c r="H2025" s="138"/>
      <c r="I2025" s="126"/>
      <c r="J2025" s="15"/>
      <c r="K2025" s="15"/>
      <c r="L2025" s="20"/>
      <c r="M2025" s="20"/>
      <c r="N2025" s="126"/>
      <c r="O2025" s="126"/>
      <c r="P2025" s="126"/>
      <c r="Q2025" s="171"/>
      <c r="R2025" s="172"/>
      <c r="S2025" s="172"/>
      <c r="AE2025" s="15"/>
      <c r="AF2025" s="15"/>
      <c r="AG2025" s="15"/>
      <c r="AH2025" s="15"/>
      <c r="AI2025" s="15"/>
      <c r="AJ2025" s="15"/>
      <c r="AK2025" s="15"/>
      <c r="AL2025" s="15"/>
      <c r="AM2025" s="209"/>
      <c r="AN2025" s="15"/>
    </row>
    <row r="2026" s="100" customFormat="1" spans="3:40">
      <c r="C2026" s="136"/>
      <c r="D2026" s="136"/>
      <c r="F2026" s="15"/>
      <c r="G2026" s="138"/>
      <c r="H2026" s="138"/>
      <c r="I2026" s="126"/>
      <c r="J2026" s="15"/>
      <c r="K2026" s="15"/>
      <c r="L2026" s="20"/>
      <c r="M2026" s="20"/>
      <c r="N2026" s="126"/>
      <c r="O2026" s="126"/>
      <c r="P2026" s="126"/>
      <c r="Q2026" s="171"/>
      <c r="R2026" s="172"/>
      <c r="S2026" s="172"/>
      <c r="AE2026" s="15"/>
      <c r="AF2026" s="15"/>
      <c r="AG2026" s="15"/>
      <c r="AH2026" s="15"/>
      <c r="AI2026" s="15"/>
      <c r="AJ2026" s="15"/>
      <c r="AK2026" s="15"/>
      <c r="AL2026" s="15"/>
      <c r="AM2026" s="209"/>
      <c r="AN2026" s="15"/>
    </row>
    <row r="2027" s="100" customFormat="1" spans="3:40">
      <c r="C2027" s="136"/>
      <c r="D2027" s="136"/>
      <c r="F2027" s="15"/>
      <c r="G2027" s="138"/>
      <c r="H2027" s="138"/>
      <c r="I2027" s="126"/>
      <c r="J2027" s="15"/>
      <c r="K2027" s="15"/>
      <c r="L2027" s="20"/>
      <c r="M2027" s="20"/>
      <c r="N2027" s="126"/>
      <c r="O2027" s="126"/>
      <c r="P2027" s="126"/>
      <c r="Q2027" s="171"/>
      <c r="R2027" s="172"/>
      <c r="S2027" s="172"/>
      <c r="AE2027" s="15"/>
      <c r="AF2027" s="15"/>
      <c r="AG2027" s="15"/>
      <c r="AH2027" s="15"/>
      <c r="AI2027" s="15"/>
      <c r="AJ2027" s="15"/>
      <c r="AK2027" s="15"/>
      <c r="AL2027" s="15"/>
      <c r="AM2027" s="209"/>
      <c r="AN2027" s="209"/>
    </row>
    <row r="2028" s="100" customFormat="1" spans="3:40">
      <c r="C2028" s="136"/>
      <c r="D2028" s="136"/>
      <c r="F2028" s="15"/>
      <c r="G2028" s="138"/>
      <c r="H2028" s="138"/>
      <c r="I2028" s="126"/>
      <c r="J2028" s="15"/>
      <c r="K2028" s="15"/>
      <c r="L2028" s="20"/>
      <c r="M2028" s="20"/>
      <c r="N2028" s="126"/>
      <c r="O2028" s="126"/>
      <c r="P2028" s="126"/>
      <c r="Q2028" s="171"/>
      <c r="R2028" s="172"/>
      <c r="S2028" s="172"/>
      <c r="AE2028" s="15"/>
      <c r="AF2028" s="15"/>
      <c r="AG2028" s="15"/>
      <c r="AH2028" s="15"/>
      <c r="AI2028" s="15"/>
      <c r="AJ2028" s="15"/>
      <c r="AK2028" s="15"/>
      <c r="AL2028" s="15"/>
      <c r="AM2028" s="209"/>
      <c r="AN2028" s="15"/>
    </row>
    <row r="2029" s="100" customFormat="1" spans="3:40">
      <c r="C2029" s="136"/>
      <c r="D2029" s="136"/>
      <c r="F2029" s="15"/>
      <c r="G2029" s="138"/>
      <c r="H2029" s="138"/>
      <c r="I2029" s="126"/>
      <c r="J2029" s="15"/>
      <c r="K2029" s="15"/>
      <c r="L2029" s="20"/>
      <c r="M2029" s="20"/>
      <c r="N2029" s="126"/>
      <c r="O2029" s="126"/>
      <c r="P2029" s="126"/>
      <c r="Q2029" s="171"/>
      <c r="R2029" s="172"/>
      <c r="S2029" s="172"/>
      <c r="AE2029" s="15"/>
      <c r="AF2029" s="15"/>
      <c r="AG2029" s="15"/>
      <c r="AH2029" s="15"/>
      <c r="AI2029" s="15"/>
      <c r="AJ2029" s="15"/>
      <c r="AK2029" s="15"/>
      <c r="AL2029" s="15"/>
      <c r="AM2029" s="209"/>
      <c r="AN2029" s="15"/>
    </row>
    <row r="2030" s="100" customFormat="1" spans="3:40">
      <c r="C2030" s="136"/>
      <c r="D2030" s="136"/>
      <c r="F2030" s="15"/>
      <c r="G2030" s="138"/>
      <c r="H2030" s="138"/>
      <c r="I2030" s="126"/>
      <c r="J2030" s="15"/>
      <c r="K2030" s="15"/>
      <c r="L2030" s="20"/>
      <c r="M2030" s="20"/>
      <c r="N2030" s="126"/>
      <c r="O2030" s="126"/>
      <c r="P2030" s="126"/>
      <c r="Q2030" s="171"/>
      <c r="R2030" s="172"/>
      <c r="S2030" s="172"/>
      <c r="AE2030" s="15"/>
      <c r="AF2030" s="15"/>
      <c r="AG2030" s="15"/>
      <c r="AH2030" s="15"/>
      <c r="AI2030" s="15"/>
      <c r="AJ2030" s="15"/>
      <c r="AK2030" s="15"/>
      <c r="AL2030" s="15"/>
      <c r="AM2030" s="209"/>
      <c r="AN2030" s="209"/>
    </row>
    <row r="2031" s="100" customFormat="1" spans="3:40">
      <c r="C2031" s="136"/>
      <c r="D2031" s="136"/>
      <c r="F2031" s="15"/>
      <c r="G2031" s="138"/>
      <c r="H2031" s="138"/>
      <c r="I2031" s="126"/>
      <c r="J2031" s="15"/>
      <c r="K2031" s="15"/>
      <c r="L2031" s="20"/>
      <c r="M2031" s="20"/>
      <c r="N2031" s="126"/>
      <c r="O2031" s="126"/>
      <c r="P2031" s="126"/>
      <c r="Q2031" s="171"/>
      <c r="R2031" s="172"/>
      <c r="S2031" s="172"/>
      <c r="AE2031" s="15"/>
      <c r="AF2031" s="15"/>
      <c r="AG2031" s="15"/>
      <c r="AH2031" s="15"/>
      <c r="AI2031" s="15"/>
      <c r="AJ2031" s="15"/>
      <c r="AK2031" s="15"/>
      <c r="AL2031" s="211"/>
      <c r="AM2031" s="209"/>
      <c r="AN2031" s="15"/>
    </row>
    <row r="2032" s="100" customFormat="1" spans="3:40">
      <c r="C2032" s="136"/>
      <c r="D2032" s="136"/>
      <c r="F2032" s="15"/>
      <c r="G2032" s="138"/>
      <c r="H2032" s="138"/>
      <c r="I2032" s="126"/>
      <c r="J2032" s="15"/>
      <c r="K2032" s="15"/>
      <c r="L2032" s="20"/>
      <c r="M2032" s="20"/>
      <c r="N2032" s="126"/>
      <c r="O2032" s="126"/>
      <c r="P2032" s="126"/>
      <c r="Q2032" s="171"/>
      <c r="R2032" s="172"/>
      <c r="S2032" s="172"/>
      <c r="AE2032" s="15"/>
      <c r="AF2032" s="15"/>
      <c r="AG2032" s="15"/>
      <c r="AH2032" s="15"/>
      <c r="AI2032" s="15"/>
      <c r="AJ2032" s="15"/>
      <c r="AK2032" s="15"/>
      <c r="AL2032" s="15"/>
      <c r="AM2032" s="209"/>
      <c r="AN2032" s="15"/>
    </row>
    <row r="2033" s="100" customFormat="1" spans="3:40">
      <c r="C2033" s="136"/>
      <c r="D2033" s="136"/>
      <c r="F2033" s="15"/>
      <c r="G2033" s="138"/>
      <c r="H2033" s="138"/>
      <c r="I2033" s="126"/>
      <c r="J2033" s="15"/>
      <c r="K2033" s="15"/>
      <c r="L2033" s="20"/>
      <c r="M2033" s="20"/>
      <c r="N2033" s="126"/>
      <c r="O2033" s="126"/>
      <c r="P2033" s="126"/>
      <c r="Q2033" s="171"/>
      <c r="R2033" s="172"/>
      <c r="S2033" s="172"/>
      <c r="AE2033" s="15"/>
      <c r="AF2033" s="15"/>
      <c r="AG2033" s="15"/>
      <c r="AH2033" s="15"/>
      <c r="AI2033" s="15"/>
      <c r="AJ2033" s="15"/>
      <c r="AK2033" s="15"/>
      <c r="AL2033" s="15"/>
      <c r="AM2033" s="209"/>
      <c r="AN2033" s="209"/>
    </row>
    <row r="2034" s="100" customFormat="1" spans="3:40">
      <c r="C2034" s="136"/>
      <c r="D2034" s="136"/>
      <c r="F2034" s="15"/>
      <c r="G2034" s="138"/>
      <c r="H2034" s="138"/>
      <c r="I2034" s="126"/>
      <c r="J2034" s="15"/>
      <c r="K2034" s="15"/>
      <c r="L2034" s="20"/>
      <c r="M2034" s="20"/>
      <c r="N2034" s="126"/>
      <c r="O2034" s="126"/>
      <c r="P2034" s="126"/>
      <c r="Q2034" s="171"/>
      <c r="R2034" s="172"/>
      <c r="S2034" s="172"/>
      <c r="AE2034" s="15"/>
      <c r="AF2034" s="15"/>
      <c r="AG2034" s="15"/>
      <c r="AH2034" s="15"/>
      <c r="AI2034" s="15"/>
      <c r="AJ2034" s="15"/>
      <c r="AK2034" s="15"/>
      <c r="AL2034" s="15"/>
      <c r="AM2034" s="209"/>
      <c r="AN2034" s="15"/>
    </row>
    <row r="2035" s="100" customFormat="1" spans="3:40">
      <c r="C2035" s="136"/>
      <c r="D2035" s="136"/>
      <c r="F2035" s="15"/>
      <c r="G2035" s="138"/>
      <c r="H2035" s="138"/>
      <c r="I2035" s="126"/>
      <c r="J2035" s="15"/>
      <c r="K2035" s="15"/>
      <c r="L2035" s="20"/>
      <c r="M2035" s="20"/>
      <c r="N2035" s="126"/>
      <c r="O2035" s="126"/>
      <c r="P2035" s="126"/>
      <c r="Q2035" s="171"/>
      <c r="R2035" s="172"/>
      <c r="S2035" s="172"/>
      <c r="AE2035" s="15"/>
      <c r="AF2035" s="15"/>
      <c r="AG2035" s="15"/>
      <c r="AH2035" s="15"/>
      <c r="AI2035" s="15"/>
      <c r="AJ2035" s="15"/>
      <c r="AK2035" s="15"/>
      <c r="AL2035" s="15"/>
      <c r="AM2035" s="209"/>
      <c r="AN2035" s="209"/>
    </row>
    <row r="2036" s="100" customFormat="1" spans="3:40">
      <c r="C2036" s="136"/>
      <c r="D2036" s="136"/>
      <c r="F2036" s="15"/>
      <c r="G2036" s="138"/>
      <c r="H2036" s="138"/>
      <c r="I2036" s="126"/>
      <c r="J2036" s="15"/>
      <c r="K2036" s="15"/>
      <c r="L2036" s="20"/>
      <c r="M2036" s="20"/>
      <c r="N2036" s="126"/>
      <c r="O2036" s="126"/>
      <c r="P2036" s="126"/>
      <c r="Q2036" s="171"/>
      <c r="R2036" s="172"/>
      <c r="S2036" s="172"/>
      <c r="AE2036" s="15"/>
      <c r="AF2036" s="15"/>
      <c r="AG2036" s="15"/>
      <c r="AH2036" s="15"/>
      <c r="AI2036" s="15"/>
      <c r="AJ2036" s="15"/>
      <c r="AK2036" s="15"/>
      <c r="AL2036" s="211"/>
      <c r="AM2036" s="209"/>
      <c r="AN2036" s="15"/>
    </row>
    <row r="2037" s="100" customFormat="1" spans="3:40">
      <c r="C2037" s="136"/>
      <c r="D2037" s="136"/>
      <c r="F2037" s="15"/>
      <c r="G2037" s="138"/>
      <c r="H2037" s="138"/>
      <c r="I2037" s="126"/>
      <c r="J2037" s="15"/>
      <c r="K2037" s="15"/>
      <c r="L2037" s="20"/>
      <c r="M2037" s="20"/>
      <c r="N2037" s="126"/>
      <c r="O2037" s="126"/>
      <c r="P2037" s="126"/>
      <c r="Q2037" s="171"/>
      <c r="R2037" s="172"/>
      <c r="S2037" s="172"/>
      <c r="AE2037" s="15"/>
      <c r="AF2037" s="15"/>
      <c r="AG2037" s="15"/>
      <c r="AH2037" s="15"/>
      <c r="AI2037" s="15"/>
      <c r="AJ2037" s="15"/>
      <c r="AK2037" s="15"/>
      <c r="AL2037" s="15"/>
      <c r="AM2037" s="209"/>
      <c r="AN2037" s="15"/>
    </row>
    <row r="2038" s="100" customFormat="1" spans="3:40">
      <c r="C2038" s="136"/>
      <c r="D2038" s="136"/>
      <c r="F2038" s="15"/>
      <c r="G2038" s="138"/>
      <c r="H2038" s="138"/>
      <c r="I2038" s="126"/>
      <c r="J2038" s="15"/>
      <c r="K2038" s="15"/>
      <c r="L2038" s="20"/>
      <c r="M2038" s="20"/>
      <c r="N2038" s="126"/>
      <c r="O2038" s="126"/>
      <c r="P2038" s="126"/>
      <c r="Q2038" s="171"/>
      <c r="R2038" s="172"/>
      <c r="S2038" s="172"/>
      <c r="AE2038" s="15"/>
      <c r="AF2038" s="15"/>
      <c r="AG2038" s="15"/>
      <c r="AH2038" s="15"/>
      <c r="AI2038" s="15"/>
      <c r="AJ2038" s="15"/>
      <c r="AK2038" s="15"/>
      <c r="AL2038" s="15"/>
      <c r="AM2038" s="209"/>
      <c r="AN2038" s="15"/>
    </row>
    <row r="2039" s="100" customFormat="1" spans="3:40">
      <c r="C2039" s="136"/>
      <c r="D2039" s="136"/>
      <c r="F2039" s="15"/>
      <c r="G2039" s="138"/>
      <c r="H2039" s="138"/>
      <c r="I2039" s="126"/>
      <c r="J2039" s="15"/>
      <c r="K2039" s="15"/>
      <c r="L2039" s="20"/>
      <c r="M2039" s="20"/>
      <c r="N2039" s="126"/>
      <c r="O2039" s="126"/>
      <c r="P2039" s="126"/>
      <c r="Q2039" s="171"/>
      <c r="R2039" s="172"/>
      <c r="S2039" s="172"/>
      <c r="AE2039" s="15"/>
      <c r="AF2039" s="15"/>
      <c r="AG2039" s="15"/>
      <c r="AH2039" s="15"/>
      <c r="AI2039" s="15"/>
      <c r="AJ2039" s="15"/>
      <c r="AK2039" s="15"/>
      <c r="AL2039" s="15"/>
      <c r="AM2039" s="209"/>
      <c r="AN2039" s="15"/>
    </row>
    <row r="2040" s="100" customFormat="1" spans="3:40">
      <c r="C2040" s="136"/>
      <c r="D2040" s="136"/>
      <c r="F2040" s="15"/>
      <c r="G2040" s="138"/>
      <c r="H2040" s="138"/>
      <c r="I2040" s="126"/>
      <c r="J2040" s="15"/>
      <c r="K2040" s="15"/>
      <c r="L2040" s="20"/>
      <c r="M2040" s="20"/>
      <c r="N2040" s="126"/>
      <c r="O2040" s="126"/>
      <c r="P2040" s="126"/>
      <c r="Q2040" s="171"/>
      <c r="R2040" s="172"/>
      <c r="S2040" s="172"/>
      <c r="AE2040" s="15"/>
      <c r="AF2040" s="15"/>
      <c r="AG2040" s="15"/>
      <c r="AH2040" s="15"/>
      <c r="AI2040" s="15"/>
      <c r="AJ2040" s="15"/>
      <c r="AK2040" s="15"/>
      <c r="AL2040" s="211"/>
      <c r="AM2040" s="209"/>
      <c r="AN2040" s="15"/>
    </row>
    <row r="2041" s="100" customFormat="1" spans="3:40">
      <c r="C2041" s="136"/>
      <c r="D2041" s="136"/>
      <c r="F2041" s="15"/>
      <c r="G2041" s="138"/>
      <c r="H2041" s="138"/>
      <c r="I2041" s="126"/>
      <c r="J2041" s="15"/>
      <c r="K2041" s="15"/>
      <c r="L2041" s="20"/>
      <c r="M2041" s="20"/>
      <c r="N2041" s="126"/>
      <c r="O2041" s="126"/>
      <c r="P2041" s="126"/>
      <c r="Q2041" s="171"/>
      <c r="R2041" s="172"/>
      <c r="S2041" s="172"/>
      <c r="AE2041" s="15"/>
      <c r="AF2041" s="15"/>
      <c r="AG2041" s="15"/>
      <c r="AH2041" s="15"/>
      <c r="AI2041" s="15"/>
      <c r="AJ2041" s="15"/>
      <c r="AK2041" s="15"/>
      <c r="AL2041" s="211"/>
      <c r="AM2041" s="209"/>
      <c r="AN2041" s="15"/>
    </row>
    <row r="2042" s="100" customFormat="1" spans="3:40">
      <c r="C2042" s="136"/>
      <c r="D2042" s="136"/>
      <c r="F2042" s="15"/>
      <c r="G2042" s="138"/>
      <c r="H2042" s="138"/>
      <c r="I2042" s="126"/>
      <c r="J2042" s="15"/>
      <c r="K2042" s="15"/>
      <c r="L2042" s="20"/>
      <c r="M2042" s="20"/>
      <c r="N2042" s="126"/>
      <c r="O2042" s="126"/>
      <c r="P2042" s="126"/>
      <c r="Q2042" s="171"/>
      <c r="R2042" s="172"/>
      <c r="S2042" s="172"/>
      <c r="AE2042" s="15"/>
      <c r="AF2042" s="15"/>
      <c r="AG2042" s="15"/>
      <c r="AH2042" s="15"/>
      <c r="AI2042" s="15"/>
      <c r="AJ2042" s="15"/>
      <c r="AK2042" s="15"/>
      <c r="AL2042" s="211"/>
      <c r="AM2042" s="209"/>
      <c r="AN2042" s="15"/>
    </row>
    <row r="2043" s="100" customFormat="1" spans="3:40">
      <c r="C2043" s="136"/>
      <c r="D2043" s="136"/>
      <c r="F2043" s="15"/>
      <c r="G2043" s="138"/>
      <c r="H2043" s="138"/>
      <c r="I2043" s="126"/>
      <c r="J2043" s="15"/>
      <c r="K2043" s="15"/>
      <c r="L2043" s="20"/>
      <c r="M2043" s="20"/>
      <c r="N2043" s="126"/>
      <c r="O2043" s="126"/>
      <c r="P2043" s="126"/>
      <c r="Q2043" s="171"/>
      <c r="R2043" s="172"/>
      <c r="S2043" s="172"/>
      <c r="AE2043" s="15"/>
      <c r="AF2043" s="15"/>
      <c r="AG2043" s="15"/>
      <c r="AH2043" s="15"/>
      <c r="AI2043" s="15"/>
      <c r="AJ2043" s="15"/>
      <c r="AK2043" s="15"/>
      <c r="AL2043" s="211"/>
      <c r="AM2043" s="209"/>
      <c r="AN2043" s="15"/>
    </row>
    <row r="2044" s="100" customFormat="1" spans="3:40">
      <c r="C2044" s="136"/>
      <c r="D2044" s="136"/>
      <c r="F2044" s="15"/>
      <c r="G2044" s="138"/>
      <c r="H2044" s="138"/>
      <c r="I2044" s="126"/>
      <c r="J2044" s="15"/>
      <c r="K2044" s="15"/>
      <c r="L2044" s="20"/>
      <c r="M2044" s="20"/>
      <c r="N2044" s="126"/>
      <c r="O2044" s="126"/>
      <c r="P2044" s="126"/>
      <c r="Q2044" s="171"/>
      <c r="R2044" s="172"/>
      <c r="S2044" s="172"/>
      <c r="AE2044" s="15"/>
      <c r="AF2044" s="15"/>
      <c r="AG2044" s="15"/>
      <c r="AH2044" s="15"/>
      <c r="AI2044" s="15"/>
      <c r="AJ2044" s="15"/>
      <c r="AK2044" s="15"/>
      <c r="AL2044" s="211"/>
      <c r="AM2044" s="209"/>
      <c r="AN2044" s="15"/>
    </row>
    <row r="2045" s="100" customFormat="1" spans="3:40">
      <c r="C2045" s="136"/>
      <c r="D2045" s="136"/>
      <c r="F2045" s="15"/>
      <c r="G2045" s="138"/>
      <c r="H2045" s="138"/>
      <c r="I2045" s="126"/>
      <c r="J2045" s="15"/>
      <c r="K2045" s="15"/>
      <c r="L2045" s="20"/>
      <c r="M2045" s="20"/>
      <c r="N2045" s="126"/>
      <c r="O2045" s="126"/>
      <c r="P2045" s="126"/>
      <c r="Q2045" s="171"/>
      <c r="R2045" s="172"/>
      <c r="S2045" s="172"/>
      <c r="AE2045" s="15"/>
      <c r="AF2045" s="15"/>
      <c r="AG2045" s="15"/>
      <c r="AH2045" s="15"/>
      <c r="AI2045" s="15"/>
      <c r="AJ2045" s="15"/>
      <c r="AK2045" s="15"/>
      <c r="AL2045" s="211"/>
      <c r="AM2045" s="209"/>
      <c r="AN2045" s="15"/>
    </row>
    <row r="2046" s="100" customFormat="1" spans="3:40">
      <c r="C2046" s="136"/>
      <c r="D2046" s="136"/>
      <c r="F2046" s="15"/>
      <c r="G2046" s="138"/>
      <c r="H2046" s="138"/>
      <c r="I2046" s="126"/>
      <c r="J2046" s="15"/>
      <c r="K2046" s="15"/>
      <c r="L2046" s="20"/>
      <c r="M2046" s="20"/>
      <c r="N2046" s="126"/>
      <c r="O2046" s="126"/>
      <c r="P2046" s="126"/>
      <c r="Q2046" s="171"/>
      <c r="R2046" s="172"/>
      <c r="S2046" s="172"/>
      <c r="AE2046" s="15"/>
      <c r="AF2046" s="15"/>
      <c r="AG2046" s="15"/>
      <c r="AH2046" s="15"/>
      <c r="AI2046" s="15"/>
      <c r="AJ2046" s="15"/>
      <c r="AK2046" s="15"/>
      <c r="AL2046" s="211"/>
      <c r="AM2046" s="209"/>
      <c r="AN2046" s="15"/>
    </row>
    <row r="2047" s="100" customFormat="1" spans="3:40">
      <c r="C2047" s="136"/>
      <c r="D2047" s="136"/>
      <c r="F2047" s="15"/>
      <c r="G2047" s="138"/>
      <c r="H2047" s="138"/>
      <c r="I2047" s="126"/>
      <c r="J2047" s="15"/>
      <c r="K2047" s="15"/>
      <c r="L2047" s="20"/>
      <c r="M2047" s="20"/>
      <c r="N2047" s="126"/>
      <c r="O2047" s="126"/>
      <c r="P2047" s="126"/>
      <c r="Q2047" s="171"/>
      <c r="R2047" s="172"/>
      <c r="S2047" s="172"/>
      <c r="AE2047" s="15"/>
      <c r="AF2047" s="15"/>
      <c r="AG2047" s="15"/>
      <c r="AH2047" s="15"/>
      <c r="AI2047" s="15"/>
      <c r="AJ2047" s="15"/>
      <c r="AK2047" s="15"/>
      <c r="AL2047" s="15"/>
      <c r="AM2047" s="209"/>
      <c r="AN2047" s="15"/>
    </row>
    <row r="2048" s="100" customFormat="1" spans="3:40">
      <c r="C2048" s="136"/>
      <c r="D2048" s="136"/>
      <c r="F2048" s="15"/>
      <c r="G2048" s="138"/>
      <c r="H2048" s="138"/>
      <c r="I2048" s="126"/>
      <c r="J2048" s="15"/>
      <c r="K2048" s="15"/>
      <c r="L2048" s="20"/>
      <c r="M2048" s="20"/>
      <c r="N2048" s="126"/>
      <c r="O2048" s="126"/>
      <c r="P2048" s="126"/>
      <c r="Q2048" s="171"/>
      <c r="R2048" s="172"/>
      <c r="S2048" s="172"/>
      <c r="AE2048" s="15"/>
      <c r="AF2048" s="15"/>
      <c r="AG2048" s="15"/>
      <c r="AH2048" s="15"/>
      <c r="AI2048" s="15"/>
      <c r="AJ2048" s="15"/>
      <c r="AK2048" s="15"/>
      <c r="AL2048" s="211"/>
      <c r="AM2048" s="209"/>
      <c r="AN2048" s="15"/>
    </row>
    <row r="2049" s="100" customFormat="1" spans="3:40">
      <c r="C2049" s="136"/>
      <c r="D2049" s="136"/>
      <c r="F2049" s="15"/>
      <c r="G2049" s="138"/>
      <c r="H2049" s="138"/>
      <c r="I2049" s="126"/>
      <c r="J2049" s="15"/>
      <c r="K2049" s="15"/>
      <c r="L2049" s="20"/>
      <c r="M2049" s="20"/>
      <c r="N2049" s="126"/>
      <c r="O2049" s="126"/>
      <c r="P2049" s="126"/>
      <c r="Q2049" s="171"/>
      <c r="R2049" s="172"/>
      <c r="S2049" s="172"/>
      <c r="AE2049" s="15"/>
      <c r="AF2049" s="15"/>
      <c r="AG2049" s="15"/>
      <c r="AH2049" s="15"/>
      <c r="AI2049" s="15"/>
      <c r="AJ2049" s="15"/>
      <c r="AK2049" s="15"/>
      <c r="AL2049" s="15"/>
      <c r="AM2049" s="209"/>
      <c r="AN2049" s="15"/>
    </row>
    <row r="2050" s="100" customFormat="1" spans="3:40">
      <c r="C2050" s="136"/>
      <c r="D2050" s="136"/>
      <c r="F2050" s="15"/>
      <c r="G2050" s="138"/>
      <c r="H2050" s="138"/>
      <c r="I2050" s="126"/>
      <c r="J2050" s="15"/>
      <c r="K2050" s="15"/>
      <c r="L2050" s="20"/>
      <c r="M2050" s="20"/>
      <c r="N2050" s="126"/>
      <c r="O2050" s="126"/>
      <c r="P2050" s="126"/>
      <c r="Q2050" s="171"/>
      <c r="R2050" s="172"/>
      <c r="S2050" s="172"/>
      <c r="AE2050" s="15"/>
      <c r="AF2050" s="15"/>
      <c r="AG2050" s="15"/>
      <c r="AH2050" s="15"/>
      <c r="AI2050" s="15"/>
      <c r="AJ2050" s="15"/>
      <c r="AK2050" s="15"/>
      <c r="AL2050" s="15"/>
      <c r="AM2050" s="209"/>
      <c r="AN2050" s="210"/>
    </row>
    <row r="2051" s="100" customFormat="1" spans="3:40">
      <c r="C2051" s="136"/>
      <c r="D2051" s="136"/>
      <c r="F2051" s="15"/>
      <c r="G2051" s="138"/>
      <c r="H2051" s="138"/>
      <c r="I2051" s="126"/>
      <c r="J2051" s="15"/>
      <c r="K2051" s="15"/>
      <c r="L2051" s="20"/>
      <c r="M2051" s="20"/>
      <c r="N2051" s="126"/>
      <c r="O2051" s="126"/>
      <c r="P2051" s="126"/>
      <c r="Q2051" s="171"/>
      <c r="R2051" s="172"/>
      <c r="S2051" s="172"/>
      <c r="AE2051" s="15"/>
      <c r="AF2051" s="15"/>
      <c r="AG2051" s="15"/>
      <c r="AH2051" s="15"/>
      <c r="AI2051" s="15"/>
      <c r="AJ2051" s="15"/>
      <c r="AK2051" s="15"/>
      <c r="AL2051" s="15"/>
      <c r="AM2051" s="209"/>
      <c r="AN2051" s="210"/>
    </row>
    <row r="2052" s="100" customFormat="1" spans="3:40">
      <c r="C2052" s="136"/>
      <c r="D2052" s="136"/>
      <c r="F2052" s="15"/>
      <c r="G2052" s="138"/>
      <c r="H2052" s="138"/>
      <c r="I2052" s="126"/>
      <c r="J2052" s="15"/>
      <c r="K2052" s="15"/>
      <c r="L2052" s="20"/>
      <c r="M2052" s="20"/>
      <c r="N2052" s="126"/>
      <c r="O2052" s="126"/>
      <c r="P2052" s="126"/>
      <c r="Q2052" s="171"/>
      <c r="R2052" s="172"/>
      <c r="S2052" s="172"/>
      <c r="AE2052" s="15"/>
      <c r="AF2052" s="15"/>
      <c r="AG2052" s="15"/>
      <c r="AH2052" s="15"/>
      <c r="AI2052" s="15"/>
      <c r="AJ2052" s="15"/>
      <c r="AK2052" s="15"/>
      <c r="AL2052" s="15"/>
      <c r="AM2052" s="209"/>
      <c r="AN2052" s="15"/>
    </row>
    <row r="2053" s="100" customFormat="1" spans="3:40">
      <c r="C2053" s="136"/>
      <c r="D2053" s="136"/>
      <c r="F2053" s="15"/>
      <c r="G2053" s="138"/>
      <c r="H2053" s="138"/>
      <c r="I2053" s="126"/>
      <c r="J2053" s="15"/>
      <c r="K2053" s="15"/>
      <c r="L2053" s="20"/>
      <c r="M2053" s="20"/>
      <c r="N2053" s="126"/>
      <c r="O2053" s="126"/>
      <c r="P2053" s="126"/>
      <c r="Q2053" s="171"/>
      <c r="R2053" s="172"/>
      <c r="S2053" s="172"/>
      <c r="AE2053" s="15"/>
      <c r="AF2053" s="15"/>
      <c r="AG2053" s="15"/>
      <c r="AH2053" s="15"/>
      <c r="AI2053" s="15"/>
      <c r="AJ2053" s="15"/>
      <c r="AK2053" s="15"/>
      <c r="AL2053" s="15"/>
      <c r="AM2053" s="209"/>
      <c r="AN2053" s="209"/>
    </row>
    <row r="2054" s="100" customFormat="1" spans="3:40">
      <c r="C2054" s="136"/>
      <c r="D2054" s="136"/>
      <c r="F2054" s="15"/>
      <c r="G2054" s="138"/>
      <c r="H2054" s="138"/>
      <c r="I2054" s="126"/>
      <c r="J2054" s="15"/>
      <c r="K2054" s="15"/>
      <c r="L2054" s="20"/>
      <c r="M2054" s="20"/>
      <c r="N2054" s="126"/>
      <c r="O2054" s="126"/>
      <c r="P2054" s="126"/>
      <c r="Q2054" s="171"/>
      <c r="R2054" s="172"/>
      <c r="S2054" s="172"/>
      <c r="AE2054" s="15"/>
      <c r="AF2054" s="15"/>
      <c r="AG2054" s="15"/>
      <c r="AH2054" s="15"/>
      <c r="AI2054" s="15"/>
      <c r="AJ2054" s="15"/>
      <c r="AK2054" s="15"/>
      <c r="AL2054" s="211"/>
      <c r="AM2054" s="209"/>
      <c r="AN2054" s="210"/>
    </row>
    <row r="2055" s="100" customFormat="1" spans="3:40">
      <c r="C2055" s="136"/>
      <c r="D2055" s="136"/>
      <c r="F2055" s="15"/>
      <c r="G2055" s="138"/>
      <c r="H2055" s="138"/>
      <c r="I2055" s="126"/>
      <c r="J2055" s="15"/>
      <c r="K2055" s="15"/>
      <c r="L2055" s="20"/>
      <c r="M2055" s="20"/>
      <c r="N2055" s="126"/>
      <c r="O2055" s="126"/>
      <c r="P2055" s="126"/>
      <c r="Q2055" s="171"/>
      <c r="R2055" s="172"/>
      <c r="S2055" s="172"/>
      <c r="AE2055" s="15"/>
      <c r="AF2055" s="15"/>
      <c r="AG2055" s="15"/>
      <c r="AH2055" s="15"/>
      <c r="AI2055" s="15"/>
      <c r="AJ2055" s="15"/>
      <c r="AK2055" s="15"/>
      <c r="AL2055" s="15"/>
      <c r="AM2055" s="209"/>
      <c r="AN2055" s="15"/>
    </row>
    <row r="2056" s="100" customFormat="1" spans="3:40">
      <c r="C2056" s="136"/>
      <c r="D2056" s="136"/>
      <c r="F2056" s="15"/>
      <c r="G2056" s="138"/>
      <c r="H2056" s="138"/>
      <c r="I2056" s="126"/>
      <c r="J2056" s="15"/>
      <c r="K2056" s="15"/>
      <c r="L2056" s="20"/>
      <c r="M2056" s="20"/>
      <c r="N2056" s="126"/>
      <c r="O2056" s="126"/>
      <c r="P2056" s="126"/>
      <c r="Q2056" s="171"/>
      <c r="R2056" s="172"/>
      <c r="S2056" s="172"/>
      <c r="AE2056" s="15"/>
      <c r="AF2056" s="15"/>
      <c r="AG2056" s="15"/>
      <c r="AH2056" s="15"/>
      <c r="AI2056" s="15"/>
      <c r="AJ2056" s="15"/>
      <c r="AK2056" s="15"/>
      <c r="AL2056" s="15"/>
      <c r="AM2056" s="209"/>
      <c r="AN2056" s="15"/>
    </row>
    <row r="2057" s="100" customFormat="1" spans="3:40">
      <c r="C2057" s="136"/>
      <c r="D2057" s="136"/>
      <c r="F2057" s="15"/>
      <c r="G2057" s="138"/>
      <c r="H2057" s="138"/>
      <c r="I2057" s="126"/>
      <c r="J2057" s="15"/>
      <c r="K2057" s="15"/>
      <c r="L2057" s="20"/>
      <c r="M2057" s="20"/>
      <c r="N2057" s="126"/>
      <c r="O2057" s="126"/>
      <c r="P2057" s="126"/>
      <c r="Q2057" s="171"/>
      <c r="R2057" s="172"/>
      <c r="S2057" s="172"/>
      <c r="AE2057" s="15"/>
      <c r="AF2057" s="15"/>
      <c r="AG2057" s="15"/>
      <c r="AH2057" s="15"/>
      <c r="AI2057" s="15"/>
      <c r="AJ2057" s="15"/>
      <c r="AK2057" s="15"/>
      <c r="AL2057" s="15"/>
      <c r="AM2057" s="209"/>
      <c r="AN2057" s="210"/>
    </row>
    <row r="2058" s="100" customFormat="1" spans="3:40">
      <c r="C2058" s="136"/>
      <c r="D2058" s="136"/>
      <c r="F2058" s="15"/>
      <c r="G2058" s="138"/>
      <c r="H2058" s="138"/>
      <c r="I2058" s="126"/>
      <c r="J2058" s="15"/>
      <c r="K2058" s="15"/>
      <c r="L2058" s="20"/>
      <c r="M2058" s="20"/>
      <c r="N2058" s="126"/>
      <c r="O2058" s="126"/>
      <c r="P2058" s="126"/>
      <c r="Q2058" s="171"/>
      <c r="R2058" s="172"/>
      <c r="S2058" s="172"/>
      <c r="AE2058" s="15"/>
      <c r="AF2058" s="15"/>
      <c r="AG2058" s="15"/>
      <c r="AH2058" s="15"/>
      <c r="AI2058" s="212"/>
      <c r="AJ2058" s="15"/>
      <c r="AK2058" s="15"/>
      <c r="AL2058" s="15"/>
      <c r="AM2058" s="209"/>
      <c r="AN2058" s="209"/>
    </row>
    <row r="2059" s="100" customFormat="1" spans="3:40">
      <c r="C2059" s="136"/>
      <c r="D2059" s="136"/>
      <c r="F2059" s="15"/>
      <c r="G2059" s="138"/>
      <c r="H2059" s="138"/>
      <c r="I2059" s="126"/>
      <c r="J2059" s="15"/>
      <c r="K2059" s="15"/>
      <c r="L2059" s="20"/>
      <c r="M2059" s="20"/>
      <c r="N2059" s="126"/>
      <c r="O2059" s="126"/>
      <c r="P2059" s="126"/>
      <c r="Q2059" s="171"/>
      <c r="R2059" s="172"/>
      <c r="S2059" s="172"/>
      <c r="AE2059" s="15"/>
      <c r="AF2059" s="15"/>
      <c r="AG2059" s="15"/>
      <c r="AH2059" s="15"/>
      <c r="AI2059" s="15"/>
      <c r="AJ2059" s="15"/>
      <c r="AK2059" s="15"/>
      <c r="AL2059" s="15"/>
      <c r="AM2059" s="209"/>
      <c r="AN2059" s="209"/>
    </row>
    <row r="2060" s="100" customFormat="1" spans="3:40">
      <c r="C2060" s="136"/>
      <c r="D2060" s="136"/>
      <c r="F2060" s="15"/>
      <c r="G2060" s="138"/>
      <c r="H2060" s="138"/>
      <c r="I2060" s="126"/>
      <c r="J2060" s="15"/>
      <c r="K2060" s="15"/>
      <c r="L2060" s="20"/>
      <c r="M2060" s="20"/>
      <c r="N2060" s="126"/>
      <c r="O2060" s="126"/>
      <c r="P2060" s="126"/>
      <c r="Q2060" s="171"/>
      <c r="R2060" s="172"/>
      <c r="S2060" s="172"/>
      <c r="AE2060" s="15"/>
      <c r="AF2060" s="15"/>
      <c r="AG2060" s="15"/>
      <c r="AH2060" s="15"/>
      <c r="AI2060" s="15"/>
      <c r="AJ2060" s="15"/>
      <c r="AK2060" s="15"/>
      <c r="AL2060" s="15"/>
      <c r="AM2060" s="209"/>
      <c r="AN2060" s="210"/>
    </row>
    <row r="2061" s="100" customFormat="1" spans="3:40">
      <c r="C2061" s="136"/>
      <c r="D2061" s="136"/>
      <c r="F2061" s="15"/>
      <c r="G2061" s="138"/>
      <c r="H2061" s="138"/>
      <c r="I2061" s="126"/>
      <c r="J2061" s="15"/>
      <c r="K2061" s="15"/>
      <c r="L2061" s="20"/>
      <c r="M2061" s="20"/>
      <c r="N2061" s="126"/>
      <c r="O2061" s="126"/>
      <c r="P2061" s="126"/>
      <c r="Q2061" s="171"/>
      <c r="R2061" s="172"/>
      <c r="S2061" s="172"/>
      <c r="AE2061" s="15"/>
      <c r="AF2061" s="15"/>
      <c r="AG2061" s="15"/>
      <c r="AH2061" s="15"/>
      <c r="AI2061" s="15"/>
      <c r="AJ2061" s="15"/>
      <c r="AK2061" s="15"/>
      <c r="AL2061" s="15"/>
      <c r="AM2061" s="209"/>
      <c r="AN2061" s="15"/>
    </row>
    <row r="2062" s="100" customFormat="1" spans="3:40">
      <c r="C2062" s="136"/>
      <c r="D2062" s="136"/>
      <c r="F2062" s="15"/>
      <c r="G2062" s="138"/>
      <c r="H2062" s="138"/>
      <c r="I2062" s="126"/>
      <c r="J2062" s="15"/>
      <c r="K2062" s="15"/>
      <c r="L2062" s="20"/>
      <c r="M2062" s="20"/>
      <c r="N2062" s="126"/>
      <c r="O2062" s="126"/>
      <c r="P2062" s="126"/>
      <c r="Q2062" s="171"/>
      <c r="R2062" s="172"/>
      <c r="S2062" s="172"/>
      <c r="AE2062" s="15"/>
      <c r="AF2062" s="15"/>
      <c r="AG2062" s="15"/>
      <c r="AH2062" s="15"/>
      <c r="AI2062" s="15"/>
      <c r="AJ2062" s="15"/>
      <c r="AK2062" s="15"/>
      <c r="AL2062" s="15"/>
      <c r="AM2062" s="209"/>
      <c r="AN2062" s="209"/>
    </row>
    <row r="2063" s="100" customFormat="1" spans="3:40">
      <c r="C2063" s="136"/>
      <c r="D2063" s="136"/>
      <c r="F2063" s="15"/>
      <c r="G2063" s="138"/>
      <c r="H2063" s="138"/>
      <c r="I2063" s="126"/>
      <c r="J2063" s="15"/>
      <c r="K2063" s="15"/>
      <c r="L2063" s="20"/>
      <c r="M2063" s="20"/>
      <c r="N2063" s="126"/>
      <c r="O2063" s="126"/>
      <c r="P2063" s="126"/>
      <c r="Q2063" s="171"/>
      <c r="R2063" s="172"/>
      <c r="S2063" s="172"/>
      <c r="AE2063" s="15"/>
      <c r="AF2063" s="15"/>
      <c r="AG2063" s="15"/>
      <c r="AH2063" s="15"/>
      <c r="AI2063" s="15"/>
      <c r="AJ2063" s="15"/>
      <c r="AK2063" s="15"/>
      <c r="AL2063" s="15"/>
      <c r="AM2063" s="209"/>
      <c r="AN2063" s="15"/>
    </row>
    <row r="2064" s="100" customFormat="1" spans="3:40">
      <c r="C2064" s="136"/>
      <c r="D2064" s="136"/>
      <c r="F2064" s="15"/>
      <c r="G2064" s="138"/>
      <c r="H2064" s="138"/>
      <c r="I2064" s="126"/>
      <c r="J2064" s="15"/>
      <c r="K2064" s="15"/>
      <c r="L2064" s="20"/>
      <c r="M2064" s="20"/>
      <c r="N2064" s="126"/>
      <c r="O2064" s="126"/>
      <c r="P2064" s="126"/>
      <c r="Q2064" s="171"/>
      <c r="R2064" s="172"/>
      <c r="S2064" s="172"/>
      <c r="AE2064" s="15"/>
      <c r="AF2064" s="15"/>
      <c r="AG2064" s="15"/>
      <c r="AH2064" s="15"/>
      <c r="AI2064" s="15"/>
      <c r="AJ2064" s="15"/>
      <c r="AK2064" s="15"/>
      <c r="AL2064" s="15"/>
      <c r="AM2064" s="209"/>
      <c r="AN2064" s="210"/>
    </row>
    <row r="2065" s="100" customFormat="1" spans="3:40">
      <c r="C2065" s="136"/>
      <c r="D2065" s="136"/>
      <c r="F2065" s="15"/>
      <c r="G2065" s="138"/>
      <c r="H2065" s="138"/>
      <c r="I2065" s="126"/>
      <c r="J2065" s="15"/>
      <c r="K2065" s="15"/>
      <c r="L2065" s="20"/>
      <c r="M2065" s="20"/>
      <c r="N2065" s="126"/>
      <c r="O2065" s="126"/>
      <c r="P2065" s="126"/>
      <c r="Q2065" s="171"/>
      <c r="R2065" s="172"/>
      <c r="S2065" s="172"/>
      <c r="AE2065" s="15"/>
      <c r="AF2065" s="15"/>
      <c r="AG2065" s="15"/>
      <c r="AH2065" s="15"/>
      <c r="AI2065" s="15"/>
      <c r="AJ2065" s="15"/>
      <c r="AK2065" s="15"/>
      <c r="AL2065" s="15"/>
      <c r="AM2065" s="209"/>
      <c r="AN2065" s="15"/>
    </row>
    <row r="2066" s="100" customFormat="1" spans="3:40">
      <c r="C2066" s="136"/>
      <c r="D2066" s="136"/>
      <c r="F2066" s="15"/>
      <c r="G2066" s="138"/>
      <c r="H2066" s="138"/>
      <c r="I2066" s="126"/>
      <c r="J2066" s="15"/>
      <c r="K2066" s="15"/>
      <c r="L2066" s="20"/>
      <c r="M2066" s="20"/>
      <c r="N2066" s="126"/>
      <c r="O2066" s="126"/>
      <c r="P2066" s="126"/>
      <c r="Q2066" s="171"/>
      <c r="R2066" s="172"/>
      <c r="S2066" s="172"/>
      <c r="AE2066" s="15"/>
      <c r="AF2066" s="15"/>
      <c r="AG2066" s="15"/>
      <c r="AH2066" s="15"/>
      <c r="AI2066" s="15"/>
      <c r="AJ2066" s="15"/>
      <c r="AK2066" s="15"/>
      <c r="AL2066" s="15"/>
      <c r="AM2066" s="209"/>
      <c r="AN2066" s="15"/>
    </row>
    <row r="2067" s="100" customFormat="1" spans="3:40">
      <c r="C2067" s="136"/>
      <c r="D2067" s="136"/>
      <c r="F2067" s="15"/>
      <c r="G2067" s="138"/>
      <c r="H2067" s="138"/>
      <c r="I2067" s="126"/>
      <c r="J2067" s="15"/>
      <c r="K2067" s="15"/>
      <c r="L2067" s="20"/>
      <c r="M2067" s="20"/>
      <c r="N2067" s="126"/>
      <c r="O2067" s="126"/>
      <c r="P2067" s="126"/>
      <c r="Q2067" s="171"/>
      <c r="R2067" s="172"/>
      <c r="S2067" s="172"/>
      <c r="AE2067" s="15"/>
      <c r="AF2067" s="15"/>
      <c r="AG2067" s="15"/>
      <c r="AH2067" s="15"/>
      <c r="AI2067" s="15"/>
      <c r="AJ2067" s="15"/>
      <c r="AK2067" s="15"/>
      <c r="AL2067" s="15"/>
      <c r="AM2067" s="209"/>
      <c r="AN2067" s="15"/>
    </row>
    <row r="2068" s="100" customFormat="1" spans="3:40">
      <c r="C2068" s="136"/>
      <c r="D2068" s="136"/>
      <c r="F2068" s="15"/>
      <c r="G2068" s="138"/>
      <c r="H2068" s="138"/>
      <c r="I2068" s="126"/>
      <c r="J2068" s="15"/>
      <c r="K2068" s="15"/>
      <c r="L2068" s="20"/>
      <c r="M2068" s="20"/>
      <c r="N2068" s="126"/>
      <c r="O2068" s="126"/>
      <c r="P2068" s="126"/>
      <c r="Q2068" s="171"/>
      <c r="R2068" s="172"/>
      <c r="S2068" s="172"/>
      <c r="AE2068" s="15"/>
      <c r="AF2068" s="15"/>
      <c r="AG2068" s="15"/>
      <c r="AH2068" s="15"/>
      <c r="AI2068" s="15"/>
      <c r="AJ2068" s="15"/>
      <c r="AK2068" s="15"/>
      <c r="AL2068" s="15"/>
      <c r="AM2068" s="209"/>
      <c r="AN2068" s="209"/>
    </row>
    <row r="2069" s="100" customFormat="1" spans="3:40">
      <c r="C2069" s="136"/>
      <c r="D2069" s="136"/>
      <c r="F2069" s="15"/>
      <c r="G2069" s="138"/>
      <c r="H2069" s="138"/>
      <c r="I2069" s="126"/>
      <c r="J2069" s="15"/>
      <c r="K2069" s="15"/>
      <c r="L2069" s="20"/>
      <c r="M2069" s="20"/>
      <c r="N2069" s="126"/>
      <c r="O2069" s="126"/>
      <c r="P2069" s="126"/>
      <c r="Q2069" s="171"/>
      <c r="R2069" s="172"/>
      <c r="S2069" s="172"/>
      <c r="AE2069" s="15"/>
      <c r="AF2069" s="15"/>
      <c r="AG2069" s="15"/>
      <c r="AH2069" s="15"/>
      <c r="AI2069" s="15"/>
      <c r="AJ2069" s="15"/>
      <c r="AK2069" s="15"/>
      <c r="AL2069" s="15"/>
      <c r="AM2069" s="209"/>
      <c r="AN2069" s="209"/>
    </row>
    <row r="2070" s="100" customFormat="1" spans="3:40">
      <c r="C2070" s="136"/>
      <c r="D2070" s="136"/>
      <c r="F2070" s="15"/>
      <c r="G2070" s="138"/>
      <c r="H2070" s="138"/>
      <c r="I2070" s="126"/>
      <c r="J2070" s="15"/>
      <c r="K2070" s="15"/>
      <c r="L2070" s="20"/>
      <c r="M2070" s="20"/>
      <c r="N2070" s="126"/>
      <c r="O2070" s="126"/>
      <c r="P2070" s="126"/>
      <c r="Q2070" s="171"/>
      <c r="R2070" s="172"/>
      <c r="S2070" s="172"/>
      <c r="AE2070" s="15"/>
      <c r="AF2070" s="15"/>
      <c r="AG2070" s="15"/>
      <c r="AH2070" s="15"/>
      <c r="AI2070" s="15"/>
      <c r="AJ2070" s="15"/>
      <c r="AK2070" s="15"/>
      <c r="AL2070" s="211"/>
      <c r="AM2070" s="209"/>
      <c r="AN2070" s="211"/>
    </row>
    <row r="2071" s="100" customFormat="1" spans="3:40">
      <c r="C2071" s="136"/>
      <c r="D2071" s="136"/>
      <c r="F2071" s="15"/>
      <c r="G2071" s="138"/>
      <c r="H2071" s="138"/>
      <c r="I2071" s="126"/>
      <c r="J2071" s="15"/>
      <c r="K2071" s="15"/>
      <c r="L2071" s="20"/>
      <c r="M2071" s="20"/>
      <c r="N2071" s="126"/>
      <c r="O2071" s="126"/>
      <c r="P2071" s="126"/>
      <c r="Q2071" s="171"/>
      <c r="R2071" s="172"/>
      <c r="S2071" s="172"/>
      <c r="AE2071" s="15"/>
      <c r="AF2071" s="15"/>
      <c r="AG2071" s="15"/>
      <c r="AH2071" s="15"/>
      <c r="AI2071" s="15"/>
      <c r="AJ2071" s="15"/>
      <c r="AK2071" s="15"/>
      <c r="AL2071" s="15"/>
      <c r="AM2071" s="209"/>
      <c r="AN2071" s="209"/>
    </row>
    <row r="2072" s="100" customFormat="1" spans="3:40">
      <c r="C2072" s="136"/>
      <c r="D2072" s="136"/>
      <c r="F2072" s="15"/>
      <c r="G2072" s="138"/>
      <c r="H2072" s="138"/>
      <c r="I2072" s="126"/>
      <c r="J2072" s="15"/>
      <c r="K2072" s="15"/>
      <c r="L2072" s="20"/>
      <c r="M2072" s="20"/>
      <c r="N2072" s="126"/>
      <c r="O2072" s="126"/>
      <c r="P2072" s="126"/>
      <c r="Q2072" s="171"/>
      <c r="R2072" s="172"/>
      <c r="S2072" s="172"/>
      <c r="AE2072" s="15"/>
      <c r="AF2072" s="15"/>
      <c r="AG2072" s="15"/>
      <c r="AH2072" s="15"/>
      <c r="AI2072" s="15"/>
      <c r="AJ2072" s="15"/>
      <c r="AK2072" s="15"/>
      <c r="AL2072" s="15"/>
      <c r="AM2072" s="209"/>
      <c r="AN2072" s="209"/>
    </row>
    <row r="2073" s="100" customFormat="1" spans="3:40">
      <c r="C2073" s="136"/>
      <c r="D2073" s="136"/>
      <c r="F2073" s="15"/>
      <c r="G2073" s="138"/>
      <c r="H2073" s="138"/>
      <c r="I2073" s="126"/>
      <c r="J2073" s="15"/>
      <c r="K2073" s="15"/>
      <c r="L2073" s="20"/>
      <c r="M2073" s="20"/>
      <c r="N2073" s="126"/>
      <c r="O2073" s="126"/>
      <c r="P2073" s="126"/>
      <c r="Q2073" s="171"/>
      <c r="R2073" s="172"/>
      <c r="S2073" s="172"/>
      <c r="AE2073" s="15"/>
      <c r="AF2073" s="15"/>
      <c r="AG2073" s="15"/>
      <c r="AH2073" s="15"/>
      <c r="AI2073" s="15"/>
      <c r="AJ2073" s="15"/>
      <c r="AK2073" s="15"/>
      <c r="AL2073" s="15"/>
      <c r="AM2073" s="209"/>
      <c r="AN2073" s="209"/>
    </row>
    <row r="2074" s="100" customFormat="1" spans="3:40">
      <c r="C2074" s="136"/>
      <c r="D2074" s="136"/>
      <c r="F2074" s="15"/>
      <c r="G2074" s="138"/>
      <c r="H2074" s="138"/>
      <c r="I2074" s="126"/>
      <c r="J2074" s="15"/>
      <c r="K2074" s="15"/>
      <c r="L2074" s="20"/>
      <c r="M2074" s="20"/>
      <c r="N2074" s="126"/>
      <c r="O2074" s="126"/>
      <c r="P2074" s="126"/>
      <c r="Q2074" s="171"/>
      <c r="R2074" s="172"/>
      <c r="S2074" s="172"/>
      <c r="AE2074" s="15"/>
      <c r="AF2074" s="15"/>
      <c r="AG2074" s="15"/>
      <c r="AH2074" s="15"/>
      <c r="AI2074" s="15"/>
      <c r="AJ2074" s="15"/>
      <c r="AK2074" s="15"/>
      <c r="AL2074" s="15"/>
      <c r="AM2074" s="209"/>
      <c r="AN2074" s="209"/>
    </row>
    <row r="2075" s="100" customFormat="1" spans="3:40">
      <c r="C2075" s="136"/>
      <c r="D2075" s="136"/>
      <c r="F2075" s="15"/>
      <c r="G2075" s="138"/>
      <c r="H2075" s="138"/>
      <c r="I2075" s="126"/>
      <c r="J2075" s="15"/>
      <c r="K2075" s="15"/>
      <c r="L2075" s="20"/>
      <c r="M2075" s="20"/>
      <c r="N2075" s="126"/>
      <c r="O2075" s="126"/>
      <c r="P2075" s="126"/>
      <c r="Q2075" s="171"/>
      <c r="R2075" s="172"/>
      <c r="S2075" s="172"/>
      <c r="AE2075" s="15"/>
      <c r="AF2075" s="15"/>
      <c r="AG2075" s="15"/>
      <c r="AH2075" s="15"/>
      <c r="AI2075" s="15"/>
      <c r="AJ2075" s="15"/>
      <c r="AK2075" s="15"/>
      <c r="AL2075" s="15"/>
      <c r="AM2075" s="209"/>
      <c r="AN2075" s="209"/>
    </row>
    <row r="2076" s="100" customFormat="1" spans="3:40">
      <c r="C2076" s="136"/>
      <c r="D2076" s="136"/>
      <c r="F2076" s="15"/>
      <c r="G2076" s="138"/>
      <c r="H2076" s="138"/>
      <c r="I2076" s="126"/>
      <c r="J2076" s="15"/>
      <c r="K2076" s="15"/>
      <c r="L2076" s="20"/>
      <c r="M2076" s="20"/>
      <c r="N2076" s="126"/>
      <c r="O2076" s="126"/>
      <c r="P2076" s="126"/>
      <c r="Q2076" s="171"/>
      <c r="R2076" s="172"/>
      <c r="S2076" s="172"/>
      <c r="AE2076" s="15"/>
      <c r="AF2076" s="15"/>
      <c r="AG2076" s="15"/>
      <c r="AH2076" s="15"/>
      <c r="AI2076" s="15"/>
      <c r="AJ2076" s="15"/>
      <c r="AK2076" s="15"/>
      <c r="AL2076" s="15"/>
      <c r="AM2076" s="209"/>
      <c r="AN2076" s="209"/>
    </row>
    <row r="2077" s="100" customFormat="1" spans="3:40">
      <c r="C2077" s="136"/>
      <c r="D2077" s="136"/>
      <c r="F2077" s="15"/>
      <c r="G2077" s="138"/>
      <c r="H2077" s="138"/>
      <c r="I2077" s="126"/>
      <c r="J2077" s="15"/>
      <c r="K2077" s="15"/>
      <c r="L2077" s="20"/>
      <c r="M2077" s="20"/>
      <c r="N2077" s="126"/>
      <c r="O2077" s="126"/>
      <c r="P2077" s="126"/>
      <c r="Q2077" s="171"/>
      <c r="R2077" s="172"/>
      <c r="S2077" s="172"/>
      <c r="AE2077" s="15"/>
      <c r="AF2077" s="15"/>
      <c r="AG2077" s="15"/>
      <c r="AH2077" s="15"/>
      <c r="AI2077" s="15"/>
      <c r="AJ2077" s="15"/>
      <c r="AK2077" s="15"/>
      <c r="AL2077" s="15"/>
      <c r="AM2077" s="209"/>
      <c r="AN2077" s="209"/>
    </row>
    <row r="2078" s="100" customFormat="1" spans="3:40">
      <c r="C2078" s="136"/>
      <c r="D2078" s="136"/>
      <c r="F2078" s="15"/>
      <c r="G2078" s="138"/>
      <c r="H2078" s="138"/>
      <c r="I2078" s="126"/>
      <c r="J2078" s="15"/>
      <c r="K2078" s="15"/>
      <c r="L2078" s="20"/>
      <c r="M2078" s="20"/>
      <c r="N2078" s="126"/>
      <c r="O2078" s="126"/>
      <c r="P2078" s="126"/>
      <c r="Q2078" s="171"/>
      <c r="R2078" s="172"/>
      <c r="S2078" s="172"/>
      <c r="AE2078" s="15"/>
      <c r="AF2078" s="15"/>
      <c r="AG2078" s="15"/>
      <c r="AH2078" s="15"/>
      <c r="AI2078" s="15"/>
      <c r="AJ2078" s="15"/>
      <c r="AK2078" s="15"/>
      <c r="AL2078" s="15"/>
      <c r="AM2078" s="209"/>
      <c r="AN2078" s="209"/>
    </row>
    <row r="2079" s="100" customFormat="1" spans="3:40">
      <c r="C2079" s="136"/>
      <c r="D2079" s="136"/>
      <c r="F2079" s="15"/>
      <c r="G2079" s="138"/>
      <c r="H2079" s="138"/>
      <c r="I2079" s="126"/>
      <c r="J2079" s="15"/>
      <c r="K2079" s="15"/>
      <c r="L2079" s="20"/>
      <c r="M2079" s="20"/>
      <c r="N2079" s="126"/>
      <c r="O2079" s="126"/>
      <c r="P2079" s="126"/>
      <c r="Q2079" s="171"/>
      <c r="R2079" s="172"/>
      <c r="S2079" s="172"/>
      <c r="AE2079" s="15"/>
      <c r="AF2079" s="15"/>
      <c r="AG2079" s="15"/>
      <c r="AH2079" s="15"/>
      <c r="AI2079" s="15"/>
      <c r="AJ2079" s="15"/>
      <c r="AK2079" s="15"/>
      <c r="AL2079" s="15"/>
      <c r="AM2079" s="209"/>
      <c r="AN2079" s="15"/>
    </row>
    <row r="2080" s="100" customFormat="1" spans="3:40">
      <c r="C2080" s="136"/>
      <c r="D2080" s="136"/>
      <c r="F2080" s="15"/>
      <c r="G2080" s="138"/>
      <c r="H2080" s="138"/>
      <c r="I2080" s="126"/>
      <c r="J2080" s="15"/>
      <c r="K2080" s="15"/>
      <c r="L2080" s="20"/>
      <c r="M2080" s="20"/>
      <c r="N2080" s="126"/>
      <c r="O2080" s="126"/>
      <c r="P2080" s="126"/>
      <c r="Q2080" s="171"/>
      <c r="R2080" s="172"/>
      <c r="S2080" s="172"/>
      <c r="AE2080" s="15"/>
      <c r="AF2080" s="15"/>
      <c r="AG2080" s="15"/>
      <c r="AH2080" s="15"/>
      <c r="AI2080" s="15"/>
      <c r="AJ2080" s="15"/>
      <c r="AK2080" s="15"/>
      <c r="AL2080" s="15"/>
      <c r="AM2080" s="209"/>
      <c r="AN2080" s="209"/>
    </row>
    <row r="2081" s="100" customFormat="1" spans="3:40">
      <c r="C2081" s="136"/>
      <c r="D2081" s="136"/>
      <c r="F2081" s="15"/>
      <c r="G2081" s="138"/>
      <c r="H2081" s="138"/>
      <c r="I2081" s="126"/>
      <c r="J2081" s="15"/>
      <c r="K2081" s="15"/>
      <c r="L2081" s="20"/>
      <c r="M2081" s="20"/>
      <c r="N2081" s="126"/>
      <c r="O2081" s="126"/>
      <c r="P2081" s="126"/>
      <c r="Q2081" s="171"/>
      <c r="R2081" s="172"/>
      <c r="S2081" s="172"/>
      <c r="AE2081" s="15"/>
      <c r="AF2081" s="15"/>
      <c r="AG2081" s="15"/>
      <c r="AH2081" s="15"/>
      <c r="AI2081" s="15"/>
      <c r="AJ2081" s="15"/>
      <c r="AK2081" s="15"/>
      <c r="AL2081" s="15"/>
      <c r="AM2081" s="209"/>
      <c r="AN2081" s="15"/>
    </row>
    <row r="2082" s="100" customFormat="1" spans="3:40">
      <c r="C2082" s="136"/>
      <c r="D2082" s="136"/>
      <c r="F2082" s="15"/>
      <c r="G2082" s="138"/>
      <c r="H2082" s="138"/>
      <c r="I2082" s="126"/>
      <c r="J2082" s="15"/>
      <c r="K2082" s="15"/>
      <c r="L2082" s="20"/>
      <c r="M2082" s="20"/>
      <c r="N2082" s="126"/>
      <c r="O2082" s="126"/>
      <c r="P2082" s="126"/>
      <c r="Q2082" s="171"/>
      <c r="R2082" s="172"/>
      <c r="S2082" s="172"/>
      <c r="AE2082" s="15"/>
      <c r="AF2082" s="15"/>
      <c r="AG2082" s="15"/>
      <c r="AH2082" s="15"/>
      <c r="AI2082" s="15"/>
      <c r="AJ2082" s="15"/>
      <c r="AK2082" s="15"/>
      <c r="AL2082" s="15"/>
      <c r="AM2082" s="209"/>
      <c r="AN2082" s="209"/>
    </row>
    <row r="2083" s="100" customFormat="1" spans="3:40">
      <c r="C2083" s="136"/>
      <c r="D2083" s="136"/>
      <c r="F2083" s="15"/>
      <c r="G2083" s="138"/>
      <c r="H2083" s="138"/>
      <c r="I2083" s="126"/>
      <c r="J2083" s="15"/>
      <c r="K2083" s="15"/>
      <c r="L2083" s="20"/>
      <c r="M2083" s="20"/>
      <c r="N2083" s="126"/>
      <c r="O2083" s="126"/>
      <c r="P2083" s="126"/>
      <c r="Q2083" s="171"/>
      <c r="R2083" s="172"/>
      <c r="S2083" s="172"/>
      <c r="AE2083" s="15"/>
      <c r="AF2083" s="15"/>
      <c r="AG2083" s="15"/>
      <c r="AH2083" s="15"/>
      <c r="AI2083" s="15"/>
      <c r="AJ2083" s="15"/>
      <c r="AK2083" s="15"/>
      <c r="AL2083" s="15"/>
      <c r="AM2083" s="209"/>
      <c r="AN2083" s="15"/>
    </row>
    <row r="2084" s="100" customFormat="1" spans="3:40">
      <c r="C2084" s="136"/>
      <c r="D2084" s="136"/>
      <c r="F2084" s="15"/>
      <c r="G2084" s="138"/>
      <c r="H2084" s="138"/>
      <c r="I2084" s="126"/>
      <c r="J2084" s="15"/>
      <c r="K2084" s="15"/>
      <c r="L2084" s="20"/>
      <c r="M2084" s="20"/>
      <c r="N2084" s="126"/>
      <c r="O2084" s="126"/>
      <c r="P2084" s="126"/>
      <c r="Q2084" s="171"/>
      <c r="R2084" s="172"/>
      <c r="S2084" s="172"/>
      <c r="AE2084" s="15"/>
      <c r="AF2084" s="15"/>
      <c r="AG2084" s="15"/>
      <c r="AH2084" s="15"/>
      <c r="AI2084" s="15"/>
      <c r="AJ2084" s="15"/>
      <c r="AK2084" s="15"/>
      <c r="AL2084" s="15"/>
      <c r="AM2084" s="209"/>
      <c r="AN2084" s="209"/>
    </row>
    <row r="2085" s="100" customFormat="1" spans="3:40">
      <c r="C2085" s="136"/>
      <c r="D2085" s="136"/>
      <c r="F2085" s="15"/>
      <c r="G2085" s="138"/>
      <c r="H2085" s="138"/>
      <c r="I2085" s="126"/>
      <c r="J2085" s="15"/>
      <c r="K2085" s="15"/>
      <c r="L2085" s="20"/>
      <c r="M2085" s="20"/>
      <c r="N2085" s="126"/>
      <c r="O2085" s="126"/>
      <c r="P2085" s="126"/>
      <c r="Q2085" s="171"/>
      <c r="R2085" s="172"/>
      <c r="S2085" s="172"/>
      <c r="AE2085" s="15"/>
      <c r="AF2085" s="15"/>
      <c r="AG2085" s="15"/>
      <c r="AH2085" s="15"/>
      <c r="AI2085" s="15"/>
      <c r="AJ2085" s="15"/>
      <c r="AK2085" s="15"/>
      <c r="AL2085" s="15"/>
      <c r="AM2085" s="209"/>
      <c r="AN2085" s="15"/>
    </row>
    <row r="2086" s="100" customFormat="1" spans="3:40">
      <c r="C2086" s="136"/>
      <c r="D2086" s="136"/>
      <c r="F2086" s="15"/>
      <c r="G2086" s="138"/>
      <c r="H2086" s="138"/>
      <c r="I2086" s="126"/>
      <c r="J2086" s="15"/>
      <c r="K2086" s="15"/>
      <c r="L2086" s="20"/>
      <c r="M2086" s="20"/>
      <c r="N2086" s="126"/>
      <c r="O2086" s="126"/>
      <c r="P2086" s="126"/>
      <c r="Q2086" s="171"/>
      <c r="R2086" s="172"/>
      <c r="S2086" s="172"/>
      <c r="AE2086" s="15"/>
      <c r="AF2086" s="15"/>
      <c r="AG2086" s="15"/>
      <c r="AH2086" s="15"/>
      <c r="AI2086" s="15"/>
      <c r="AJ2086" s="15"/>
      <c r="AK2086" s="15"/>
      <c r="AL2086" s="15"/>
      <c r="AM2086" s="209"/>
      <c r="AN2086" s="15"/>
    </row>
    <row r="2087" s="100" customFormat="1" spans="3:40">
      <c r="C2087" s="136"/>
      <c r="D2087" s="136"/>
      <c r="F2087" s="15"/>
      <c r="G2087" s="138"/>
      <c r="H2087" s="138"/>
      <c r="I2087" s="126"/>
      <c r="J2087" s="15"/>
      <c r="K2087" s="15"/>
      <c r="L2087" s="20"/>
      <c r="M2087" s="20"/>
      <c r="N2087" s="126"/>
      <c r="O2087" s="126"/>
      <c r="P2087" s="126"/>
      <c r="Q2087" s="171"/>
      <c r="R2087" s="172"/>
      <c r="S2087" s="172"/>
      <c r="AE2087" s="15"/>
      <c r="AF2087" s="15"/>
      <c r="AG2087" s="15"/>
      <c r="AH2087" s="15"/>
      <c r="AI2087" s="15"/>
      <c r="AJ2087" s="15"/>
      <c r="AK2087" s="15"/>
      <c r="AL2087" s="211"/>
      <c r="AM2087" s="209"/>
      <c r="AN2087" s="15"/>
    </row>
    <row r="2088" s="100" customFormat="1" spans="3:40">
      <c r="C2088" s="136"/>
      <c r="D2088" s="136"/>
      <c r="F2088" s="15"/>
      <c r="G2088" s="138"/>
      <c r="H2088" s="138"/>
      <c r="I2088" s="126"/>
      <c r="J2088" s="15"/>
      <c r="K2088" s="15"/>
      <c r="L2088" s="20"/>
      <c r="M2088" s="20"/>
      <c r="N2088" s="126"/>
      <c r="O2088" s="126"/>
      <c r="P2088" s="126"/>
      <c r="Q2088" s="171"/>
      <c r="R2088" s="172"/>
      <c r="S2088" s="172"/>
      <c r="AE2088" s="15"/>
      <c r="AF2088" s="15"/>
      <c r="AG2088" s="15"/>
      <c r="AH2088" s="15"/>
      <c r="AI2088" s="15"/>
      <c r="AJ2088" s="15"/>
      <c r="AK2088" s="15"/>
      <c r="AL2088" s="211"/>
      <c r="AM2088" s="209"/>
      <c r="AN2088" s="15"/>
    </row>
    <row r="2089" s="100" customFormat="1" spans="3:40">
      <c r="C2089" s="136"/>
      <c r="D2089" s="136"/>
      <c r="F2089" s="15"/>
      <c r="G2089" s="138"/>
      <c r="H2089" s="138"/>
      <c r="I2089" s="126"/>
      <c r="J2089" s="15"/>
      <c r="K2089" s="15"/>
      <c r="L2089" s="20"/>
      <c r="M2089" s="20"/>
      <c r="N2089" s="126"/>
      <c r="O2089" s="126"/>
      <c r="P2089" s="126"/>
      <c r="Q2089" s="171"/>
      <c r="R2089" s="172"/>
      <c r="S2089" s="172"/>
      <c r="AE2089" s="15"/>
      <c r="AF2089" s="15"/>
      <c r="AG2089" s="15"/>
      <c r="AH2089" s="15"/>
      <c r="AI2089" s="15"/>
      <c r="AJ2089" s="15"/>
      <c r="AK2089" s="15"/>
      <c r="AL2089" s="15"/>
      <c r="AM2089" s="209"/>
      <c r="AN2089" s="209"/>
    </row>
    <row r="2090" s="100" customFormat="1" spans="3:40">
      <c r="C2090" s="136"/>
      <c r="D2090" s="136"/>
      <c r="F2090" s="15"/>
      <c r="G2090" s="138"/>
      <c r="H2090" s="138"/>
      <c r="I2090" s="126"/>
      <c r="J2090" s="15"/>
      <c r="K2090" s="15"/>
      <c r="L2090" s="20"/>
      <c r="M2090" s="20"/>
      <c r="N2090" s="126"/>
      <c r="O2090" s="126"/>
      <c r="P2090" s="126"/>
      <c r="Q2090" s="171"/>
      <c r="R2090" s="172"/>
      <c r="S2090" s="172"/>
      <c r="AE2090" s="15"/>
      <c r="AF2090" s="15"/>
      <c r="AG2090" s="15"/>
      <c r="AH2090" s="15"/>
      <c r="AI2090" s="15"/>
      <c r="AJ2090" s="15"/>
      <c r="AK2090" s="15"/>
      <c r="AL2090" s="15"/>
      <c r="AM2090" s="209"/>
      <c r="AN2090" s="209"/>
    </row>
    <row r="2091" s="100" customFormat="1" spans="3:40">
      <c r="C2091" s="136"/>
      <c r="D2091" s="136"/>
      <c r="F2091" s="15"/>
      <c r="G2091" s="138"/>
      <c r="H2091" s="138"/>
      <c r="I2091" s="126"/>
      <c r="J2091" s="15"/>
      <c r="K2091" s="15"/>
      <c r="L2091" s="20"/>
      <c r="M2091" s="20"/>
      <c r="N2091" s="126"/>
      <c r="O2091" s="126"/>
      <c r="P2091" s="126"/>
      <c r="Q2091" s="171"/>
      <c r="R2091" s="172"/>
      <c r="S2091" s="172"/>
      <c r="AE2091" s="15"/>
      <c r="AF2091" s="15"/>
      <c r="AG2091" s="15"/>
      <c r="AH2091" s="15"/>
      <c r="AI2091" s="15"/>
      <c r="AJ2091" s="15"/>
      <c r="AK2091" s="15"/>
      <c r="AL2091" s="15"/>
      <c r="AM2091" s="209"/>
      <c r="AN2091" s="211"/>
    </row>
    <row r="2092" s="100" customFormat="1" spans="3:40">
      <c r="C2092" s="136"/>
      <c r="D2092" s="136"/>
      <c r="F2092" s="15"/>
      <c r="G2092" s="138"/>
      <c r="H2092" s="138"/>
      <c r="I2092" s="126"/>
      <c r="J2092" s="15"/>
      <c r="K2092" s="15"/>
      <c r="L2092" s="20"/>
      <c r="M2092" s="20"/>
      <c r="N2092" s="126"/>
      <c r="O2092" s="126"/>
      <c r="P2092" s="126"/>
      <c r="Q2092" s="171"/>
      <c r="R2092" s="172"/>
      <c r="S2092" s="172"/>
      <c r="AE2092" s="15"/>
      <c r="AF2092" s="15"/>
      <c r="AG2092" s="15"/>
      <c r="AH2092" s="15"/>
      <c r="AI2092" s="15"/>
      <c r="AJ2092" s="15"/>
      <c r="AK2092" s="15"/>
      <c r="AL2092" s="15"/>
      <c r="AM2092" s="209"/>
      <c r="AN2092" s="15"/>
    </row>
    <row r="2093" s="100" customFormat="1" spans="3:40">
      <c r="C2093" s="136"/>
      <c r="D2093" s="136"/>
      <c r="F2093" s="15"/>
      <c r="G2093" s="138"/>
      <c r="H2093" s="138"/>
      <c r="I2093" s="126"/>
      <c r="J2093" s="15"/>
      <c r="K2093" s="15"/>
      <c r="L2093" s="20"/>
      <c r="M2093" s="20"/>
      <c r="N2093" s="126"/>
      <c r="O2093" s="126"/>
      <c r="P2093" s="126"/>
      <c r="Q2093" s="171"/>
      <c r="R2093" s="172"/>
      <c r="S2093" s="172"/>
      <c r="AE2093" s="15"/>
      <c r="AF2093" s="15"/>
      <c r="AG2093" s="15"/>
      <c r="AH2093" s="15"/>
      <c r="AI2093" s="15"/>
      <c r="AJ2093" s="15"/>
      <c r="AK2093" s="15"/>
      <c r="AL2093" s="211"/>
      <c r="AM2093" s="209"/>
      <c r="AN2093" s="15"/>
    </row>
    <row r="2094" s="100" customFormat="1" spans="3:40">
      <c r="C2094" s="136"/>
      <c r="D2094" s="136"/>
      <c r="F2094" s="15"/>
      <c r="G2094" s="138"/>
      <c r="H2094" s="138"/>
      <c r="I2094" s="126"/>
      <c r="J2094" s="15"/>
      <c r="K2094" s="15"/>
      <c r="L2094" s="20"/>
      <c r="M2094" s="20"/>
      <c r="N2094" s="126"/>
      <c r="O2094" s="126"/>
      <c r="P2094" s="126"/>
      <c r="Q2094" s="171"/>
      <c r="R2094" s="172"/>
      <c r="S2094" s="172"/>
      <c r="AE2094" s="15"/>
      <c r="AF2094" s="15"/>
      <c r="AG2094" s="15"/>
      <c r="AH2094" s="15"/>
      <c r="AI2094" s="15"/>
      <c r="AJ2094" s="15"/>
      <c r="AK2094" s="15"/>
      <c r="AL2094" s="15"/>
      <c r="AM2094" s="209"/>
      <c r="AN2094" s="209"/>
    </row>
    <row r="2095" s="100" customFormat="1" spans="3:40">
      <c r="C2095" s="136"/>
      <c r="D2095" s="136"/>
      <c r="F2095" s="15"/>
      <c r="G2095" s="138"/>
      <c r="H2095" s="138"/>
      <c r="I2095" s="126"/>
      <c r="J2095" s="15"/>
      <c r="K2095" s="15"/>
      <c r="L2095" s="20"/>
      <c r="M2095" s="20"/>
      <c r="N2095" s="126"/>
      <c r="O2095" s="126"/>
      <c r="P2095" s="126"/>
      <c r="Q2095" s="171"/>
      <c r="R2095" s="172"/>
      <c r="S2095" s="172"/>
      <c r="AE2095" s="15"/>
      <c r="AF2095" s="15"/>
      <c r="AG2095" s="15"/>
      <c r="AH2095" s="15"/>
      <c r="AI2095" s="15"/>
      <c r="AJ2095" s="15"/>
      <c r="AK2095" s="15"/>
      <c r="AL2095" s="15"/>
      <c r="AM2095" s="209"/>
      <c r="AN2095" s="210"/>
    </row>
    <row r="2096" s="100" customFormat="1" spans="3:40">
      <c r="C2096" s="136"/>
      <c r="D2096" s="136"/>
      <c r="F2096" s="15"/>
      <c r="G2096" s="138"/>
      <c r="H2096" s="138"/>
      <c r="I2096" s="126"/>
      <c r="J2096" s="15"/>
      <c r="K2096" s="15"/>
      <c r="L2096" s="20"/>
      <c r="M2096" s="20"/>
      <c r="N2096" s="126"/>
      <c r="O2096" s="126"/>
      <c r="P2096" s="126"/>
      <c r="Q2096" s="171"/>
      <c r="R2096" s="172"/>
      <c r="S2096" s="172"/>
      <c r="AE2096" s="15"/>
      <c r="AF2096" s="15"/>
      <c r="AG2096" s="15"/>
      <c r="AH2096" s="15"/>
      <c r="AI2096" s="15"/>
      <c r="AJ2096" s="15"/>
      <c r="AK2096" s="15"/>
      <c r="AL2096" s="15"/>
      <c r="AM2096" s="209"/>
      <c r="AN2096" s="210"/>
    </row>
    <row r="2097" s="100" customFormat="1" spans="3:40">
      <c r="C2097" s="136"/>
      <c r="D2097" s="136"/>
      <c r="F2097" s="15"/>
      <c r="G2097" s="138"/>
      <c r="H2097" s="138"/>
      <c r="I2097" s="126"/>
      <c r="J2097" s="15"/>
      <c r="K2097" s="15"/>
      <c r="L2097" s="20"/>
      <c r="M2097" s="20"/>
      <c r="N2097" s="126"/>
      <c r="O2097" s="126"/>
      <c r="P2097" s="126"/>
      <c r="Q2097" s="171"/>
      <c r="R2097" s="172"/>
      <c r="S2097" s="172"/>
      <c r="AE2097" s="15"/>
      <c r="AF2097" s="15"/>
      <c r="AG2097" s="15"/>
      <c r="AH2097" s="15"/>
      <c r="AI2097" s="15"/>
      <c r="AJ2097" s="15"/>
      <c r="AK2097" s="15"/>
      <c r="AL2097" s="15"/>
      <c r="AM2097" s="209"/>
      <c r="AN2097" s="210"/>
    </row>
    <row r="2098" s="100" customFormat="1" spans="3:40">
      <c r="C2098" s="136"/>
      <c r="D2098" s="136"/>
      <c r="F2098" s="15"/>
      <c r="G2098" s="138"/>
      <c r="H2098" s="138"/>
      <c r="I2098" s="126"/>
      <c r="J2098" s="15"/>
      <c r="K2098" s="15"/>
      <c r="L2098" s="20"/>
      <c r="M2098" s="20"/>
      <c r="N2098" s="126"/>
      <c r="O2098" s="126"/>
      <c r="P2098" s="126"/>
      <c r="Q2098" s="171"/>
      <c r="R2098" s="172"/>
      <c r="S2098" s="172"/>
      <c r="AE2098" s="15"/>
      <c r="AF2098" s="15"/>
      <c r="AG2098" s="15"/>
      <c r="AH2098" s="15"/>
      <c r="AI2098" s="15"/>
      <c r="AJ2098" s="15"/>
      <c r="AK2098" s="15"/>
      <c r="AL2098" s="15"/>
      <c r="AM2098" s="209"/>
      <c r="AN2098" s="15"/>
    </row>
    <row r="2099" s="100" customFormat="1" spans="3:40">
      <c r="C2099" s="136"/>
      <c r="D2099" s="136"/>
      <c r="F2099" s="15"/>
      <c r="G2099" s="138"/>
      <c r="H2099" s="138"/>
      <c r="I2099" s="126"/>
      <c r="J2099" s="15"/>
      <c r="K2099" s="15"/>
      <c r="L2099" s="20"/>
      <c r="M2099" s="20"/>
      <c r="N2099" s="126"/>
      <c r="O2099" s="126"/>
      <c r="P2099" s="126"/>
      <c r="Q2099" s="171"/>
      <c r="R2099" s="172"/>
      <c r="S2099" s="172"/>
      <c r="AE2099" s="15"/>
      <c r="AF2099" s="15"/>
      <c r="AG2099" s="15"/>
      <c r="AH2099" s="15"/>
      <c r="AI2099" s="15"/>
      <c r="AJ2099" s="15"/>
      <c r="AK2099" s="15"/>
      <c r="AL2099" s="15"/>
      <c r="AM2099" s="209"/>
      <c r="AN2099" s="210"/>
    </row>
    <row r="2100" s="100" customFormat="1" spans="3:40">
      <c r="C2100" s="136"/>
      <c r="D2100" s="136"/>
      <c r="F2100" s="15"/>
      <c r="G2100" s="138"/>
      <c r="H2100" s="138"/>
      <c r="I2100" s="126"/>
      <c r="J2100" s="15"/>
      <c r="K2100" s="15"/>
      <c r="L2100" s="20"/>
      <c r="M2100" s="20"/>
      <c r="N2100" s="126"/>
      <c r="O2100" s="126"/>
      <c r="P2100" s="126"/>
      <c r="Q2100" s="171"/>
      <c r="R2100" s="172"/>
      <c r="S2100" s="172"/>
      <c r="AE2100" s="15"/>
      <c r="AF2100" s="15"/>
      <c r="AG2100" s="15"/>
      <c r="AH2100" s="15"/>
      <c r="AI2100" s="15"/>
      <c r="AJ2100" s="15"/>
      <c r="AK2100" s="15"/>
      <c r="AL2100" s="15"/>
      <c r="AM2100" s="209"/>
      <c r="AN2100" s="210"/>
    </row>
    <row r="2101" s="100" customFormat="1" spans="3:40">
      <c r="C2101" s="136"/>
      <c r="D2101" s="136"/>
      <c r="F2101" s="15"/>
      <c r="G2101" s="138"/>
      <c r="H2101" s="138"/>
      <c r="I2101" s="126"/>
      <c r="J2101" s="15"/>
      <c r="K2101" s="15"/>
      <c r="L2101" s="20"/>
      <c r="M2101" s="20"/>
      <c r="N2101" s="126"/>
      <c r="O2101" s="126"/>
      <c r="P2101" s="126"/>
      <c r="Q2101" s="171"/>
      <c r="R2101" s="172"/>
      <c r="S2101" s="172"/>
      <c r="AE2101" s="15"/>
      <c r="AF2101" s="15"/>
      <c r="AG2101" s="15"/>
      <c r="AH2101" s="15"/>
      <c r="AI2101" s="15"/>
      <c r="AJ2101" s="15"/>
      <c r="AK2101" s="15"/>
      <c r="AL2101" s="15"/>
      <c r="AM2101" s="209"/>
      <c r="AN2101" s="210"/>
    </row>
    <row r="2102" s="100" customFormat="1" spans="3:40">
      <c r="C2102" s="136"/>
      <c r="D2102" s="136"/>
      <c r="F2102" s="15"/>
      <c r="G2102" s="138"/>
      <c r="H2102" s="138"/>
      <c r="I2102" s="126"/>
      <c r="J2102" s="15"/>
      <c r="K2102" s="15"/>
      <c r="L2102" s="20"/>
      <c r="M2102" s="20"/>
      <c r="N2102" s="126"/>
      <c r="O2102" s="126"/>
      <c r="P2102" s="126"/>
      <c r="Q2102" s="171"/>
      <c r="R2102" s="172"/>
      <c r="S2102" s="172"/>
      <c r="AE2102" s="15"/>
      <c r="AF2102" s="15"/>
      <c r="AG2102" s="15"/>
      <c r="AH2102" s="15"/>
      <c r="AI2102" s="15"/>
      <c r="AJ2102" s="15"/>
      <c r="AK2102" s="15"/>
      <c r="AL2102" s="15"/>
      <c r="AM2102" s="209"/>
      <c r="AN2102" s="210"/>
    </row>
    <row r="2103" s="100" customFormat="1" spans="3:40">
      <c r="C2103" s="136"/>
      <c r="D2103" s="136"/>
      <c r="F2103" s="15"/>
      <c r="G2103" s="138"/>
      <c r="H2103" s="138"/>
      <c r="I2103" s="126"/>
      <c r="J2103" s="15"/>
      <c r="K2103" s="15"/>
      <c r="L2103" s="20"/>
      <c r="M2103" s="20"/>
      <c r="N2103" s="126"/>
      <c r="O2103" s="126"/>
      <c r="P2103" s="126"/>
      <c r="Q2103" s="171"/>
      <c r="R2103" s="172"/>
      <c r="S2103" s="172"/>
      <c r="AE2103" s="15"/>
      <c r="AF2103" s="15"/>
      <c r="AG2103" s="15"/>
      <c r="AH2103" s="15"/>
      <c r="AI2103" s="15"/>
      <c r="AJ2103" s="15"/>
      <c r="AK2103" s="15"/>
      <c r="AL2103" s="15"/>
      <c r="AM2103" s="209"/>
      <c r="AN2103" s="15"/>
    </row>
    <row r="2104" s="100" customFormat="1" spans="3:40">
      <c r="C2104" s="136"/>
      <c r="D2104" s="136"/>
      <c r="F2104" s="15"/>
      <c r="G2104" s="138"/>
      <c r="H2104" s="138"/>
      <c r="I2104" s="126"/>
      <c r="J2104" s="15"/>
      <c r="K2104" s="15"/>
      <c r="L2104" s="20"/>
      <c r="M2104" s="20"/>
      <c r="N2104" s="126"/>
      <c r="O2104" s="126"/>
      <c r="P2104" s="126"/>
      <c r="Q2104" s="171"/>
      <c r="R2104" s="172"/>
      <c r="S2104" s="172"/>
      <c r="AE2104" s="15"/>
      <c r="AF2104" s="15"/>
      <c r="AG2104" s="15"/>
      <c r="AH2104" s="15"/>
      <c r="AI2104" s="15"/>
      <c r="AJ2104" s="15"/>
      <c r="AK2104" s="15"/>
      <c r="AL2104" s="15"/>
      <c r="AM2104" s="209"/>
      <c r="AN2104" s="210"/>
    </row>
    <row r="2105" s="100" customFormat="1" spans="3:40">
      <c r="C2105" s="136"/>
      <c r="D2105" s="136"/>
      <c r="F2105" s="15"/>
      <c r="G2105" s="138"/>
      <c r="H2105" s="138"/>
      <c r="I2105" s="126"/>
      <c r="J2105" s="15"/>
      <c r="K2105" s="15"/>
      <c r="L2105" s="20"/>
      <c r="M2105" s="20"/>
      <c r="N2105" s="126"/>
      <c r="O2105" s="126"/>
      <c r="P2105" s="126"/>
      <c r="Q2105" s="171"/>
      <c r="R2105" s="172"/>
      <c r="S2105" s="172"/>
      <c r="AE2105" s="15"/>
      <c r="AF2105" s="15"/>
      <c r="AG2105" s="15"/>
      <c r="AH2105" s="15"/>
      <c r="AI2105" s="15"/>
      <c r="AJ2105" s="15"/>
      <c r="AK2105" s="15"/>
      <c r="AL2105" s="209"/>
      <c r="AM2105" s="209"/>
      <c r="AN2105" s="210"/>
    </row>
    <row r="2106" s="100" customFormat="1" spans="3:40">
      <c r="C2106" s="136"/>
      <c r="D2106" s="136"/>
      <c r="F2106" s="15"/>
      <c r="G2106" s="138"/>
      <c r="H2106" s="138"/>
      <c r="I2106" s="126"/>
      <c r="J2106" s="15"/>
      <c r="K2106" s="15"/>
      <c r="L2106" s="20"/>
      <c r="M2106" s="20"/>
      <c r="N2106" s="126"/>
      <c r="O2106" s="126"/>
      <c r="P2106" s="126"/>
      <c r="Q2106" s="171"/>
      <c r="R2106" s="172"/>
      <c r="S2106" s="172"/>
      <c r="AE2106" s="15"/>
      <c r="AF2106" s="15"/>
      <c r="AG2106" s="15"/>
      <c r="AH2106" s="15"/>
      <c r="AI2106" s="15"/>
      <c r="AJ2106" s="15"/>
      <c r="AK2106" s="15"/>
      <c r="AL2106" s="15"/>
      <c r="AM2106" s="209"/>
      <c r="AN2106" s="210"/>
    </row>
    <row r="2107" s="100" customFormat="1" spans="3:40">
      <c r="C2107" s="136"/>
      <c r="D2107" s="136"/>
      <c r="F2107" s="15"/>
      <c r="G2107" s="138"/>
      <c r="H2107" s="138"/>
      <c r="I2107" s="126"/>
      <c r="J2107" s="15"/>
      <c r="K2107" s="15"/>
      <c r="L2107" s="20"/>
      <c r="M2107" s="20"/>
      <c r="N2107" s="126"/>
      <c r="O2107" s="126"/>
      <c r="P2107" s="126"/>
      <c r="Q2107" s="171"/>
      <c r="R2107" s="172"/>
      <c r="S2107" s="172"/>
      <c r="AE2107" s="15"/>
      <c r="AF2107" s="15"/>
      <c r="AG2107" s="15"/>
      <c r="AH2107" s="15"/>
      <c r="AI2107" s="15"/>
      <c r="AJ2107" s="15"/>
      <c r="AK2107" s="15"/>
      <c r="AL2107" s="15"/>
      <c r="AM2107" s="209"/>
      <c r="AN2107" s="210"/>
    </row>
    <row r="2108" s="100" customFormat="1" spans="3:40">
      <c r="C2108" s="136"/>
      <c r="D2108" s="136"/>
      <c r="F2108" s="15"/>
      <c r="G2108" s="138"/>
      <c r="H2108" s="138"/>
      <c r="I2108" s="126"/>
      <c r="J2108" s="15"/>
      <c r="K2108" s="15"/>
      <c r="L2108" s="20"/>
      <c r="M2108" s="20"/>
      <c r="N2108" s="126"/>
      <c r="O2108" s="126"/>
      <c r="P2108" s="126"/>
      <c r="Q2108" s="171"/>
      <c r="R2108" s="172"/>
      <c r="S2108" s="172"/>
      <c r="AE2108" s="15"/>
      <c r="AF2108" s="15"/>
      <c r="AG2108" s="15"/>
      <c r="AH2108" s="15"/>
      <c r="AI2108" s="15"/>
      <c r="AJ2108" s="15"/>
      <c r="AK2108" s="15"/>
      <c r="AL2108" s="15"/>
      <c r="AM2108" s="209"/>
      <c r="AN2108" s="210"/>
    </row>
    <row r="2109" s="100" customFormat="1" spans="3:40">
      <c r="C2109" s="136"/>
      <c r="D2109" s="136"/>
      <c r="F2109" s="15"/>
      <c r="G2109" s="138"/>
      <c r="H2109" s="138"/>
      <c r="I2109" s="126"/>
      <c r="J2109" s="15"/>
      <c r="K2109" s="15"/>
      <c r="L2109" s="20"/>
      <c r="M2109" s="20"/>
      <c r="N2109" s="126"/>
      <c r="O2109" s="126"/>
      <c r="P2109" s="126"/>
      <c r="Q2109" s="171"/>
      <c r="R2109" s="172"/>
      <c r="S2109" s="172"/>
      <c r="AE2109" s="15"/>
      <c r="AF2109" s="15"/>
      <c r="AG2109" s="15"/>
      <c r="AH2109" s="15"/>
      <c r="AI2109" s="15"/>
      <c r="AJ2109" s="15"/>
      <c r="AK2109" s="15"/>
      <c r="AL2109" s="15"/>
      <c r="AM2109" s="209"/>
      <c r="AN2109" s="210"/>
    </row>
    <row r="2110" s="100" customFormat="1" spans="3:40">
      <c r="C2110" s="136"/>
      <c r="D2110" s="136"/>
      <c r="F2110" s="15"/>
      <c r="G2110" s="138"/>
      <c r="H2110" s="138"/>
      <c r="I2110" s="126"/>
      <c r="J2110" s="15"/>
      <c r="K2110" s="15"/>
      <c r="L2110" s="20"/>
      <c r="M2110" s="20"/>
      <c r="N2110" s="126"/>
      <c r="O2110" s="126"/>
      <c r="P2110" s="126"/>
      <c r="Q2110" s="171"/>
      <c r="R2110" s="172"/>
      <c r="S2110" s="172"/>
      <c r="AE2110" s="15"/>
      <c r="AF2110" s="15"/>
      <c r="AG2110" s="15"/>
      <c r="AH2110" s="15"/>
      <c r="AI2110" s="15"/>
      <c r="AJ2110" s="15"/>
      <c r="AK2110" s="15"/>
      <c r="AL2110" s="15"/>
      <c r="AM2110" s="209"/>
      <c r="AN2110" s="15"/>
    </row>
    <row r="2111" s="100" customFormat="1" spans="3:40">
      <c r="C2111" s="136"/>
      <c r="D2111" s="136"/>
      <c r="F2111" s="15"/>
      <c r="G2111" s="138"/>
      <c r="H2111" s="138"/>
      <c r="I2111" s="126"/>
      <c r="J2111" s="15"/>
      <c r="K2111" s="15"/>
      <c r="L2111" s="20"/>
      <c r="M2111" s="20"/>
      <c r="N2111" s="126"/>
      <c r="O2111" s="126"/>
      <c r="P2111" s="126"/>
      <c r="Q2111" s="171"/>
      <c r="R2111" s="172"/>
      <c r="S2111" s="172"/>
      <c r="AE2111" s="15"/>
      <c r="AF2111" s="15"/>
      <c r="AG2111" s="15"/>
      <c r="AH2111" s="15"/>
      <c r="AI2111" s="15"/>
      <c r="AJ2111" s="15"/>
      <c r="AK2111" s="15"/>
      <c r="AL2111" s="15"/>
      <c r="AM2111" s="209"/>
      <c r="AN2111" s="210"/>
    </row>
    <row r="2112" s="100" customFormat="1" spans="3:40">
      <c r="C2112" s="136"/>
      <c r="D2112" s="136"/>
      <c r="F2112" s="15"/>
      <c r="G2112" s="138"/>
      <c r="H2112" s="138"/>
      <c r="I2112" s="126"/>
      <c r="J2112" s="15"/>
      <c r="K2112" s="15"/>
      <c r="L2112" s="20"/>
      <c r="M2112" s="20"/>
      <c r="N2112" s="126"/>
      <c r="O2112" s="126"/>
      <c r="P2112" s="126"/>
      <c r="Q2112" s="171"/>
      <c r="R2112" s="172"/>
      <c r="S2112" s="172"/>
      <c r="AE2112" s="15"/>
      <c r="AF2112" s="15"/>
      <c r="AG2112" s="15"/>
      <c r="AH2112" s="15"/>
      <c r="AI2112" s="15"/>
      <c r="AJ2112" s="15"/>
      <c r="AK2112" s="15"/>
      <c r="AL2112" s="15"/>
      <c r="AM2112" s="209"/>
      <c r="AN2112" s="210"/>
    </row>
    <row r="2113" s="100" customFormat="1" spans="3:40">
      <c r="C2113" s="136"/>
      <c r="D2113" s="136"/>
      <c r="F2113" s="15"/>
      <c r="G2113" s="138"/>
      <c r="H2113" s="138"/>
      <c r="I2113" s="126"/>
      <c r="J2113" s="15"/>
      <c r="K2113" s="15"/>
      <c r="L2113" s="20"/>
      <c r="M2113" s="20"/>
      <c r="N2113" s="126"/>
      <c r="O2113" s="126"/>
      <c r="P2113" s="126"/>
      <c r="Q2113" s="171"/>
      <c r="R2113" s="172"/>
      <c r="S2113" s="172"/>
      <c r="AE2113" s="15"/>
      <c r="AF2113" s="15"/>
      <c r="AG2113" s="15"/>
      <c r="AH2113" s="15"/>
      <c r="AI2113" s="15"/>
      <c r="AJ2113" s="15"/>
      <c r="AK2113" s="15"/>
      <c r="AL2113" s="15"/>
      <c r="AM2113" s="209"/>
      <c r="AN2113" s="210"/>
    </row>
    <row r="2114" s="100" customFormat="1" spans="3:40">
      <c r="C2114" s="136"/>
      <c r="D2114" s="136"/>
      <c r="F2114" s="15"/>
      <c r="G2114" s="138"/>
      <c r="H2114" s="138"/>
      <c r="I2114" s="126"/>
      <c r="J2114" s="15"/>
      <c r="K2114" s="15"/>
      <c r="L2114" s="20"/>
      <c r="M2114" s="20"/>
      <c r="N2114" s="126"/>
      <c r="O2114" s="126"/>
      <c r="P2114" s="126"/>
      <c r="Q2114" s="171"/>
      <c r="R2114" s="172"/>
      <c r="S2114" s="172"/>
      <c r="AE2114" s="15"/>
      <c r="AF2114" s="15"/>
      <c r="AG2114" s="15"/>
      <c r="AH2114" s="15"/>
      <c r="AI2114" s="15"/>
      <c r="AJ2114" s="15"/>
      <c r="AK2114" s="15"/>
      <c r="AL2114" s="15"/>
      <c r="AM2114" s="209"/>
      <c r="AN2114" s="210"/>
    </row>
    <row r="2115" s="100" customFormat="1" spans="3:40">
      <c r="C2115" s="136"/>
      <c r="D2115" s="136"/>
      <c r="F2115" s="15"/>
      <c r="G2115" s="138"/>
      <c r="H2115" s="138"/>
      <c r="I2115" s="126"/>
      <c r="J2115" s="15"/>
      <c r="K2115" s="15"/>
      <c r="L2115" s="20"/>
      <c r="M2115" s="20"/>
      <c r="N2115" s="126"/>
      <c r="O2115" s="126"/>
      <c r="P2115" s="126"/>
      <c r="Q2115" s="171"/>
      <c r="R2115" s="172"/>
      <c r="S2115" s="172"/>
      <c r="AE2115" s="15"/>
      <c r="AF2115" s="15"/>
      <c r="AG2115" s="15"/>
      <c r="AH2115" s="15"/>
      <c r="AI2115" s="212"/>
      <c r="AJ2115" s="15"/>
      <c r="AK2115" s="15"/>
      <c r="AL2115" s="15"/>
      <c r="AM2115" s="209"/>
      <c r="AN2115" s="210"/>
    </row>
    <row r="2116" s="100" customFormat="1" spans="3:40">
      <c r="C2116" s="136"/>
      <c r="D2116" s="136"/>
      <c r="F2116" s="15"/>
      <c r="G2116" s="138"/>
      <c r="H2116" s="138"/>
      <c r="I2116" s="126"/>
      <c r="J2116" s="15"/>
      <c r="K2116" s="15"/>
      <c r="L2116" s="20"/>
      <c r="M2116" s="20"/>
      <c r="N2116" s="126"/>
      <c r="O2116" s="126"/>
      <c r="P2116" s="126"/>
      <c r="Q2116" s="171"/>
      <c r="R2116" s="172"/>
      <c r="S2116" s="172"/>
      <c r="AE2116" s="15"/>
      <c r="AF2116" s="15"/>
      <c r="AG2116" s="15"/>
      <c r="AH2116" s="15"/>
      <c r="AI2116" s="15"/>
      <c r="AJ2116" s="15"/>
      <c r="AK2116" s="15"/>
      <c r="AL2116" s="15"/>
      <c r="AM2116" s="209"/>
      <c r="AN2116" s="210"/>
    </row>
    <row r="2117" s="100" customFormat="1" spans="3:40">
      <c r="C2117" s="136"/>
      <c r="D2117" s="136"/>
      <c r="F2117" s="15"/>
      <c r="G2117" s="138"/>
      <c r="H2117" s="138"/>
      <c r="I2117" s="126"/>
      <c r="J2117" s="15"/>
      <c r="K2117" s="15"/>
      <c r="L2117" s="20"/>
      <c r="M2117" s="20"/>
      <c r="N2117" s="126"/>
      <c r="O2117" s="126"/>
      <c r="P2117" s="126"/>
      <c r="Q2117" s="171"/>
      <c r="R2117" s="172"/>
      <c r="S2117" s="172"/>
      <c r="AE2117" s="15"/>
      <c r="AF2117" s="15"/>
      <c r="AG2117" s="15"/>
      <c r="AH2117" s="15"/>
      <c r="AI2117" s="15"/>
      <c r="AJ2117" s="15"/>
      <c r="AK2117" s="15"/>
      <c r="AL2117" s="209"/>
      <c r="AM2117" s="209"/>
      <c r="AN2117" s="210"/>
    </row>
    <row r="2118" s="100" customFormat="1" spans="3:40">
      <c r="C2118" s="136"/>
      <c r="D2118" s="136"/>
      <c r="F2118" s="15"/>
      <c r="G2118" s="138"/>
      <c r="H2118" s="138"/>
      <c r="I2118" s="126"/>
      <c r="J2118" s="15"/>
      <c r="K2118" s="15"/>
      <c r="L2118" s="20"/>
      <c r="M2118" s="20"/>
      <c r="N2118" s="126"/>
      <c r="O2118" s="126"/>
      <c r="P2118" s="126"/>
      <c r="Q2118" s="171"/>
      <c r="R2118" s="172"/>
      <c r="S2118" s="172"/>
      <c r="AE2118" s="15"/>
      <c r="AF2118" s="15"/>
      <c r="AG2118" s="15"/>
      <c r="AH2118" s="15"/>
      <c r="AI2118" s="15"/>
      <c r="AJ2118" s="15"/>
      <c r="AK2118" s="15"/>
      <c r="AL2118" s="209"/>
      <c r="AM2118" s="209"/>
      <c r="AN2118" s="210"/>
    </row>
    <row r="2119" s="100" customFormat="1" spans="3:40">
      <c r="C2119" s="136"/>
      <c r="D2119" s="136"/>
      <c r="F2119" s="15"/>
      <c r="G2119" s="138"/>
      <c r="H2119" s="138"/>
      <c r="I2119" s="126"/>
      <c r="J2119" s="15"/>
      <c r="K2119" s="15"/>
      <c r="L2119" s="20"/>
      <c r="M2119" s="20"/>
      <c r="N2119" s="126"/>
      <c r="O2119" s="126"/>
      <c r="P2119" s="126"/>
      <c r="Q2119" s="171"/>
      <c r="R2119" s="172"/>
      <c r="S2119" s="172"/>
      <c r="AE2119" s="15"/>
      <c r="AF2119" s="15"/>
      <c r="AG2119" s="15"/>
      <c r="AH2119" s="15"/>
      <c r="AI2119" s="15"/>
      <c r="AJ2119" s="15"/>
      <c r="AK2119" s="15"/>
      <c r="AL2119" s="209"/>
      <c r="AM2119" s="209"/>
      <c r="AN2119" s="210"/>
    </row>
    <row r="2120" s="100" customFormat="1" spans="3:40">
      <c r="C2120" s="136"/>
      <c r="D2120" s="136"/>
      <c r="F2120" s="15"/>
      <c r="G2120" s="138"/>
      <c r="H2120" s="138"/>
      <c r="I2120" s="126"/>
      <c r="J2120" s="15"/>
      <c r="K2120" s="15"/>
      <c r="L2120" s="20"/>
      <c r="M2120" s="20"/>
      <c r="N2120" s="126"/>
      <c r="O2120" s="126"/>
      <c r="P2120" s="126"/>
      <c r="Q2120" s="171"/>
      <c r="R2120" s="172"/>
      <c r="S2120" s="172"/>
      <c r="AE2120" s="15"/>
      <c r="AF2120" s="15"/>
      <c r="AG2120" s="15"/>
      <c r="AH2120" s="15"/>
      <c r="AI2120" s="15"/>
      <c r="AJ2120" s="15"/>
      <c r="AK2120" s="15"/>
      <c r="AL2120" s="15"/>
      <c r="AM2120" s="209"/>
      <c r="AN2120" s="210"/>
    </row>
    <row r="2121" s="100" customFormat="1" spans="3:40">
      <c r="C2121" s="136"/>
      <c r="D2121" s="136"/>
      <c r="F2121" s="15"/>
      <c r="G2121" s="138"/>
      <c r="H2121" s="138"/>
      <c r="I2121" s="126"/>
      <c r="J2121" s="15"/>
      <c r="K2121" s="15"/>
      <c r="L2121" s="20"/>
      <c r="M2121" s="20"/>
      <c r="N2121" s="126"/>
      <c r="O2121" s="126"/>
      <c r="P2121" s="126"/>
      <c r="Q2121" s="171"/>
      <c r="R2121" s="172"/>
      <c r="S2121" s="172"/>
      <c r="AE2121" s="15"/>
      <c r="AF2121" s="15"/>
      <c r="AG2121" s="15"/>
      <c r="AH2121" s="15"/>
      <c r="AI2121" s="15"/>
      <c r="AJ2121" s="15"/>
      <c r="AK2121" s="15"/>
      <c r="AL2121" s="15"/>
      <c r="AM2121" s="209"/>
      <c r="AN2121" s="210"/>
    </row>
    <row r="2122" s="100" customFormat="1" spans="3:40">
      <c r="C2122" s="136"/>
      <c r="D2122" s="136"/>
      <c r="F2122" s="15"/>
      <c r="G2122" s="138"/>
      <c r="H2122" s="138"/>
      <c r="I2122" s="126"/>
      <c r="J2122" s="15"/>
      <c r="K2122" s="15"/>
      <c r="L2122" s="20"/>
      <c r="M2122" s="20"/>
      <c r="N2122" s="126"/>
      <c r="O2122" s="126"/>
      <c r="P2122" s="126"/>
      <c r="Q2122" s="171"/>
      <c r="R2122" s="172"/>
      <c r="S2122" s="172"/>
      <c r="AE2122" s="15"/>
      <c r="AF2122" s="15"/>
      <c r="AG2122" s="15"/>
      <c r="AH2122" s="15"/>
      <c r="AI2122" s="15"/>
      <c r="AJ2122" s="15"/>
      <c r="AK2122" s="15"/>
      <c r="AL2122" s="15"/>
      <c r="AM2122" s="209"/>
      <c r="AN2122" s="210"/>
    </row>
    <row r="2123" s="100" customFormat="1" spans="3:40">
      <c r="C2123" s="136"/>
      <c r="D2123" s="136"/>
      <c r="F2123" s="15"/>
      <c r="G2123" s="138"/>
      <c r="H2123" s="138"/>
      <c r="I2123" s="126"/>
      <c r="J2123" s="15"/>
      <c r="K2123" s="15"/>
      <c r="L2123" s="20"/>
      <c r="M2123" s="20"/>
      <c r="N2123" s="126"/>
      <c r="O2123" s="126"/>
      <c r="P2123" s="126"/>
      <c r="Q2123" s="171"/>
      <c r="R2123" s="172"/>
      <c r="S2123" s="172"/>
      <c r="AE2123" s="15"/>
      <c r="AF2123" s="15"/>
      <c r="AG2123" s="15"/>
      <c r="AH2123" s="15"/>
      <c r="AI2123" s="15"/>
      <c r="AJ2123" s="15"/>
      <c r="AK2123" s="15"/>
      <c r="AL2123" s="209"/>
      <c r="AM2123" s="209"/>
      <c r="AN2123" s="210"/>
    </row>
    <row r="2124" s="100" customFormat="1" spans="3:40">
      <c r="C2124" s="136"/>
      <c r="D2124" s="136"/>
      <c r="F2124" s="15"/>
      <c r="G2124" s="138"/>
      <c r="H2124" s="138"/>
      <c r="I2124" s="126"/>
      <c r="J2124" s="15"/>
      <c r="K2124" s="15"/>
      <c r="L2124" s="20"/>
      <c r="M2124" s="20"/>
      <c r="N2124" s="126"/>
      <c r="O2124" s="126"/>
      <c r="P2124" s="126"/>
      <c r="Q2124" s="171"/>
      <c r="R2124" s="172"/>
      <c r="S2124" s="172"/>
      <c r="AE2124" s="15"/>
      <c r="AF2124" s="15"/>
      <c r="AG2124" s="15"/>
      <c r="AH2124" s="15"/>
      <c r="AI2124" s="15"/>
      <c r="AJ2124" s="15"/>
      <c r="AK2124" s="15"/>
      <c r="AL2124" s="209"/>
      <c r="AM2124" s="15"/>
      <c r="AN2124" s="210"/>
    </row>
    <row r="2125" s="100" customFormat="1" spans="3:40">
      <c r="C2125" s="136"/>
      <c r="D2125" s="136"/>
      <c r="F2125" s="15"/>
      <c r="G2125" s="138"/>
      <c r="H2125" s="138"/>
      <c r="I2125" s="126"/>
      <c r="J2125" s="15"/>
      <c r="K2125" s="15"/>
      <c r="L2125" s="20"/>
      <c r="M2125" s="20"/>
      <c r="N2125" s="126"/>
      <c r="O2125" s="126"/>
      <c r="P2125" s="126"/>
      <c r="Q2125" s="171"/>
      <c r="R2125" s="172"/>
      <c r="S2125" s="172"/>
      <c r="AE2125" s="15"/>
      <c r="AF2125" s="15"/>
      <c r="AG2125" s="15"/>
      <c r="AH2125" s="15"/>
      <c r="AI2125" s="15"/>
      <c r="AJ2125" s="15"/>
      <c r="AK2125" s="15"/>
      <c r="AL2125" s="209"/>
      <c r="AM2125" s="209"/>
      <c r="AN2125" s="210"/>
    </row>
    <row r="2126" s="100" customFormat="1" spans="3:40">
      <c r="C2126" s="136"/>
      <c r="D2126" s="136"/>
      <c r="F2126" s="15"/>
      <c r="G2126" s="138"/>
      <c r="H2126" s="138"/>
      <c r="I2126" s="126"/>
      <c r="J2126" s="15"/>
      <c r="K2126" s="15"/>
      <c r="L2126" s="20"/>
      <c r="M2126" s="20"/>
      <c r="N2126" s="126"/>
      <c r="O2126" s="126"/>
      <c r="P2126" s="126"/>
      <c r="Q2126" s="171"/>
      <c r="R2126" s="172"/>
      <c r="S2126" s="172"/>
      <c r="AE2126" s="15"/>
      <c r="AF2126" s="15"/>
      <c r="AG2126" s="15"/>
      <c r="AH2126" s="15"/>
      <c r="AI2126" s="15"/>
      <c r="AJ2126" s="15"/>
      <c r="AK2126" s="15"/>
      <c r="AL2126" s="209"/>
      <c r="AM2126" s="15"/>
      <c r="AN2126" s="210"/>
    </row>
    <row r="2127" s="100" customFormat="1" spans="3:40">
      <c r="C2127" s="136"/>
      <c r="D2127" s="136"/>
      <c r="F2127" s="15"/>
      <c r="G2127" s="138"/>
      <c r="H2127" s="138"/>
      <c r="I2127" s="126"/>
      <c r="J2127" s="15"/>
      <c r="K2127" s="15"/>
      <c r="L2127" s="20"/>
      <c r="M2127" s="20"/>
      <c r="N2127" s="126"/>
      <c r="O2127" s="126"/>
      <c r="P2127" s="126"/>
      <c r="Q2127" s="171"/>
      <c r="R2127" s="172"/>
      <c r="S2127" s="172"/>
      <c r="AE2127" s="15"/>
      <c r="AF2127" s="15"/>
      <c r="AG2127" s="15"/>
      <c r="AH2127" s="15"/>
      <c r="AI2127" s="15"/>
      <c r="AJ2127" s="15"/>
      <c r="AK2127" s="15"/>
      <c r="AL2127" s="209"/>
      <c r="AM2127" s="15"/>
      <c r="AN2127" s="210"/>
    </row>
    <row r="2128" s="100" customFormat="1" spans="3:40">
      <c r="C2128" s="136"/>
      <c r="D2128" s="136"/>
      <c r="F2128" s="15"/>
      <c r="G2128" s="138"/>
      <c r="H2128" s="138"/>
      <c r="I2128" s="126"/>
      <c r="J2128" s="15"/>
      <c r="K2128" s="15"/>
      <c r="L2128" s="20"/>
      <c r="M2128" s="20"/>
      <c r="N2128" s="126"/>
      <c r="O2128" s="126"/>
      <c r="P2128" s="126"/>
      <c r="Q2128" s="171"/>
      <c r="R2128" s="172"/>
      <c r="S2128" s="172"/>
      <c r="AE2128" s="15"/>
      <c r="AF2128" s="15"/>
      <c r="AG2128" s="15"/>
      <c r="AH2128" s="15"/>
      <c r="AI2128" s="15"/>
      <c r="AJ2128" s="15"/>
      <c r="AK2128" s="15"/>
      <c r="AL2128" s="209"/>
      <c r="AM2128" s="15"/>
      <c r="AN2128" s="210"/>
    </row>
    <row r="2129" s="100" customFormat="1" spans="3:40">
      <c r="C2129" s="136"/>
      <c r="D2129" s="136"/>
      <c r="F2129" s="15"/>
      <c r="G2129" s="138"/>
      <c r="H2129" s="138"/>
      <c r="I2129" s="126"/>
      <c r="J2129" s="15"/>
      <c r="K2129" s="15"/>
      <c r="L2129" s="20"/>
      <c r="M2129" s="20"/>
      <c r="N2129" s="126"/>
      <c r="O2129" s="126"/>
      <c r="P2129" s="126"/>
      <c r="Q2129" s="171"/>
      <c r="R2129" s="172"/>
      <c r="S2129" s="172"/>
      <c r="AE2129" s="15"/>
      <c r="AF2129" s="15"/>
      <c r="AG2129" s="15"/>
      <c r="AH2129" s="15"/>
      <c r="AI2129" s="15"/>
      <c r="AJ2129" s="15"/>
      <c r="AK2129" s="15"/>
      <c r="AL2129" s="209"/>
      <c r="AM2129" s="209"/>
      <c r="AN2129" s="210"/>
    </row>
    <row r="2130" s="100" customFormat="1" spans="3:40">
      <c r="C2130" s="136"/>
      <c r="D2130" s="136"/>
      <c r="F2130" s="15"/>
      <c r="G2130" s="138"/>
      <c r="H2130" s="138"/>
      <c r="I2130" s="126"/>
      <c r="J2130" s="15"/>
      <c r="K2130" s="15"/>
      <c r="L2130" s="20"/>
      <c r="M2130" s="20"/>
      <c r="N2130" s="126"/>
      <c r="O2130" s="126"/>
      <c r="P2130" s="126"/>
      <c r="Q2130" s="171"/>
      <c r="R2130" s="172"/>
      <c r="S2130" s="172"/>
      <c r="AE2130" s="15"/>
      <c r="AF2130" s="15"/>
      <c r="AG2130" s="15"/>
      <c r="AH2130" s="15"/>
      <c r="AI2130" s="15"/>
      <c r="AJ2130" s="15"/>
      <c r="AK2130" s="15"/>
      <c r="AL2130" s="15"/>
      <c r="AM2130" s="209"/>
      <c r="AN2130" s="210"/>
    </row>
    <row r="2131" s="100" customFormat="1" spans="3:40">
      <c r="C2131" s="136"/>
      <c r="D2131" s="136"/>
      <c r="F2131" s="15"/>
      <c r="G2131" s="138"/>
      <c r="H2131" s="138"/>
      <c r="I2131" s="126"/>
      <c r="J2131" s="15"/>
      <c r="K2131" s="15"/>
      <c r="L2131" s="20"/>
      <c r="M2131" s="20"/>
      <c r="N2131" s="126"/>
      <c r="O2131" s="126"/>
      <c r="P2131" s="126"/>
      <c r="Q2131" s="171"/>
      <c r="R2131" s="172"/>
      <c r="S2131" s="172"/>
      <c r="AE2131" s="15"/>
      <c r="AF2131" s="15"/>
      <c r="AG2131" s="15"/>
      <c r="AH2131" s="15"/>
      <c r="AI2131" s="15"/>
      <c r="AJ2131" s="15"/>
      <c r="AK2131" s="15"/>
      <c r="AL2131" s="209"/>
      <c r="AM2131" s="209"/>
      <c r="AN2131" s="210"/>
    </row>
    <row r="2132" s="100" customFormat="1" spans="3:40">
      <c r="C2132" s="136"/>
      <c r="D2132" s="136"/>
      <c r="F2132" s="15"/>
      <c r="G2132" s="138"/>
      <c r="H2132" s="138"/>
      <c r="I2132" s="126"/>
      <c r="J2132" s="15"/>
      <c r="K2132" s="15"/>
      <c r="L2132" s="20"/>
      <c r="M2132" s="20"/>
      <c r="N2132" s="126"/>
      <c r="O2132" s="126"/>
      <c r="P2132" s="126"/>
      <c r="Q2132" s="171"/>
      <c r="R2132" s="172"/>
      <c r="S2132" s="172"/>
      <c r="AE2132" s="15"/>
      <c r="AF2132" s="15"/>
      <c r="AG2132" s="15"/>
      <c r="AH2132" s="15"/>
      <c r="AI2132" s="15"/>
      <c r="AJ2132" s="15"/>
      <c r="AK2132" s="15"/>
      <c r="AL2132" s="209"/>
      <c r="AM2132" s="209"/>
      <c r="AN2132" s="210"/>
    </row>
    <row r="2133" s="100" customFormat="1" spans="3:40">
      <c r="C2133" s="136"/>
      <c r="D2133" s="136"/>
      <c r="F2133" s="15"/>
      <c r="G2133" s="138"/>
      <c r="H2133" s="138"/>
      <c r="I2133" s="126"/>
      <c r="J2133" s="15"/>
      <c r="K2133" s="15"/>
      <c r="L2133" s="20"/>
      <c r="M2133" s="20"/>
      <c r="N2133" s="126"/>
      <c r="O2133" s="126"/>
      <c r="P2133" s="126"/>
      <c r="Q2133" s="171"/>
      <c r="R2133" s="172"/>
      <c r="S2133" s="172"/>
      <c r="AE2133" s="15"/>
      <c r="AF2133" s="15"/>
      <c r="AG2133" s="15"/>
      <c r="AH2133" s="15"/>
      <c r="AI2133" s="15"/>
      <c r="AJ2133" s="15"/>
      <c r="AK2133" s="15"/>
      <c r="AL2133" s="15"/>
      <c r="AM2133" s="209"/>
      <c r="AN2133" s="210"/>
    </row>
    <row r="2134" s="100" customFormat="1" spans="3:40">
      <c r="C2134" s="136"/>
      <c r="D2134" s="136"/>
      <c r="F2134" s="15"/>
      <c r="G2134" s="138"/>
      <c r="H2134" s="138"/>
      <c r="I2134" s="126"/>
      <c r="J2134" s="15"/>
      <c r="K2134" s="15"/>
      <c r="L2134" s="20"/>
      <c r="M2134" s="20"/>
      <c r="N2134" s="126"/>
      <c r="O2134" s="126"/>
      <c r="P2134" s="126"/>
      <c r="Q2134" s="171"/>
      <c r="R2134" s="172"/>
      <c r="S2134" s="172"/>
      <c r="AE2134" s="15"/>
      <c r="AF2134" s="15"/>
      <c r="AG2134" s="15"/>
      <c r="AH2134" s="15"/>
      <c r="AI2134" s="15"/>
      <c r="AJ2134" s="15"/>
      <c r="AK2134" s="15"/>
      <c r="AL2134" s="211"/>
      <c r="AM2134" s="209"/>
      <c r="AN2134" s="209"/>
    </row>
    <row r="2135" s="100" customFormat="1" spans="3:40">
      <c r="C2135" s="136"/>
      <c r="D2135" s="136"/>
      <c r="F2135" s="15"/>
      <c r="G2135" s="138"/>
      <c r="H2135" s="138"/>
      <c r="I2135" s="126"/>
      <c r="J2135" s="15"/>
      <c r="K2135" s="15"/>
      <c r="L2135" s="20"/>
      <c r="M2135" s="20"/>
      <c r="N2135" s="126"/>
      <c r="O2135" s="126"/>
      <c r="P2135" s="126"/>
      <c r="Q2135" s="171"/>
      <c r="R2135" s="172"/>
      <c r="S2135" s="172"/>
      <c r="AE2135" s="15"/>
      <c r="AF2135" s="15"/>
      <c r="AG2135" s="15"/>
      <c r="AH2135" s="15"/>
      <c r="AI2135" s="15"/>
      <c r="AJ2135" s="15"/>
      <c r="AK2135" s="15"/>
      <c r="AL2135" s="211"/>
      <c r="AM2135" s="209"/>
      <c r="AN2135" s="15"/>
    </row>
    <row r="2136" s="100" customFormat="1" spans="3:40">
      <c r="C2136" s="136"/>
      <c r="D2136" s="136"/>
      <c r="F2136" s="15"/>
      <c r="G2136" s="138"/>
      <c r="H2136" s="138"/>
      <c r="I2136" s="126"/>
      <c r="J2136" s="15"/>
      <c r="K2136" s="15"/>
      <c r="L2136" s="20"/>
      <c r="M2136" s="20"/>
      <c r="N2136" s="126"/>
      <c r="O2136" s="126"/>
      <c r="P2136" s="126"/>
      <c r="Q2136" s="171"/>
      <c r="R2136" s="172"/>
      <c r="S2136" s="172"/>
      <c r="AE2136" s="15"/>
      <c r="AF2136" s="15"/>
      <c r="AG2136" s="15"/>
      <c r="AH2136" s="15"/>
      <c r="AI2136" s="15"/>
      <c r="AJ2136" s="15"/>
      <c r="AK2136" s="15"/>
      <c r="AL2136" s="211"/>
      <c r="AM2136" s="209"/>
      <c r="AN2136" s="210"/>
    </row>
    <row r="2137" s="100" customFormat="1" spans="3:40">
      <c r="C2137" s="136"/>
      <c r="D2137" s="136"/>
      <c r="F2137" s="15"/>
      <c r="G2137" s="138"/>
      <c r="H2137" s="138"/>
      <c r="I2137" s="126"/>
      <c r="J2137" s="15"/>
      <c r="K2137" s="15"/>
      <c r="L2137" s="20"/>
      <c r="M2137" s="20"/>
      <c r="N2137" s="126"/>
      <c r="O2137" s="126"/>
      <c r="P2137" s="126"/>
      <c r="Q2137" s="171"/>
      <c r="R2137" s="172"/>
      <c r="S2137" s="172"/>
      <c r="AE2137" s="15"/>
      <c r="AF2137" s="15"/>
      <c r="AG2137" s="15"/>
      <c r="AH2137" s="15"/>
      <c r="AI2137" s="15"/>
      <c r="AJ2137" s="15"/>
      <c r="AK2137" s="15"/>
      <c r="AL2137" s="211"/>
      <c r="AM2137" s="209"/>
      <c r="AN2137" s="15"/>
    </row>
    <row r="2138" s="100" customFormat="1" spans="3:40">
      <c r="C2138" s="136"/>
      <c r="D2138" s="136"/>
      <c r="F2138" s="15"/>
      <c r="G2138" s="138"/>
      <c r="H2138" s="138"/>
      <c r="I2138" s="126"/>
      <c r="J2138" s="15"/>
      <c r="K2138" s="15"/>
      <c r="L2138" s="20"/>
      <c r="M2138" s="20"/>
      <c r="N2138" s="126"/>
      <c r="O2138" s="126"/>
      <c r="P2138" s="126"/>
      <c r="Q2138" s="171"/>
      <c r="R2138" s="172"/>
      <c r="S2138" s="172"/>
      <c r="AE2138" s="15"/>
      <c r="AF2138" s="15"/>
      <c r="AG2138" s="15"/>
      <c r="AH2138" s="15"/>
      <c r="AI2138" s="15"/>
      <c r="AJ2138" s="15"/>
      <c r="AK2138" s="15"/>
      <c r="AL2138" s="211"/>
      <c r="AM2138" s="209"/>
      <c r="AN2138" s="15"/>
    </row>
    <row r="2139" s="100" customFormat="1" spans="3:40">
      <c r="C2139" s="136"/>
      <c r="D2139" s="136"/>
      <c r="F2139" s="15"/>
      <c r="G2139" s="138"/>
      <c r="H2139" s="138"/>
      <c r="I2139" s="126"/>
      <c r="J2139" s="15"/>
      <c r="K2139" s="15"/>
      <c r="L2139" s="20"/>
      <c r="M2139" s="20"/>
      <c r="N2139" s="126"/>
      <c r="O2139" s="126"/>
      <c r="P2139" s="126"/>
      <c r="Q2139" s="171"/>
      <c r="R2139" s="172"/>
      <c r="S2139" s="172"/>
      <c r="AE2139" s="15"/>
      <c r="AF2139" s="15"/>
      <c r="AG2139" s="15"/>
      <c r="AH2139" s="15"/>
      <c r="AI2139" s="15"/>
      <c r="AJ2139" s="15"/>
      <c r="AK2139" s="15"/>
      <c r="AL2139" s="209"/>
      <c r="AM2139" s="209"/>
      <c r="AN2139" s="210"/>
    </row>
    <row r="2140" s="100" customFormat="1" spans="3:40">
      <c r="C2140" s="136"/>
      <c r="D2140" s="136"/>
      <c r="F2140" s="15"/>
      <c r="G2140" s="138"/>
      <c r="H2140" s="138"/>
      <c r="I2140" s="126"/>
      <c r="J2140" s="15"/>
      <c r="K2140" s="15"/>
      <c r="L2140" s="20"/>
      <c r="M2140" s="20"/>
      <c r="N2140" s="126"/>
      <c r="O2140" s="126"/>
      <c r="P2140" s="126"/>
      <c r="Q2140" s="171"/>
      <c r="R2140" s="172"/>
      <c r="S2140" s="172"/>
      <c r="AE2140" s="15"/>
      <c r="AF2140" s="15"/>
      <c r="AG2140" s="15"/>
      <c r="AH2140" s="15"/>
      <c r="AI2140" s="15"/>
      <c r="AJ2140" s="15"/>
      <c r="AK2140" s="15"/>
      <c r="AL2140" s="209"/>
      <c r="AM2140" s="209"/>
      <c r="AN2140" s="210"/>
    </row>
    <row r="2141" s="100" customFormat="1" spans="3:40">
      <c r="C2141" s="136"/>
      <c r="D2141" s="136"/>
      <c r="F2141" s="15"/>
      <c r="G2141" s="138"/>
      <c r="H2141" s="138"/>
      <c r="I2141" s="126"/>
      <c r="J2141" s="15"/>
      <c r="K2141" s="15"/>
      <c r="L2141" s="20"/>
      <c r="M2141" s="20"/>
      <c r="N2141" s="126"/>
      <c r="O2141" s="126"/>
      <c r="P2141" s="126"/>
      <c r="Q2141" s="171"/>
      <c r="R2141" s="172"/>
      <c r="S2141" s="172"/>
      <c r="AE2141" s="15"/>
      <c r="AF2141" s="15"/>
      <c r="AG2141" s="15"/>
      <c r="AH2141" s="15"/>
      <c r="AI2141" s="15"/>
      <c r="AJ2141" s="15"/>
      <c r="AK2141" s="15"/>
      <c r="AL2141" s="15"/>
      <c r="AM2141" s="209"/>
      <c r="AN2141" s="210"/>
    </row>
    <row r="2142" s="100" customFormat="1" spans="3:40">
      <c r="C2142" s="136"/>
      <c r="D2142" s="136"/>
      <c r="F2142" s="15"/>
      <c r="G2142" s="138"/>
      <c r="H2142" s="138"/>
      <c r="I2142" s="126"/>
      <c r="J2142" s="15"/>
      <c r="K2142" s="15"/>
      <c r="L2142" s="20"/>
      <c r="M2142" s="20"/>
      <c r="N2142" s="126"/>
      <c r="O2142" s="126"/>
      <c r="P2142" s="126"/>
      <c r="Q2142" s="171"/>
      <c r="R2142" s="172"/>
      <c r="S2142" s="172"/>
      <c r="AE2142" s="15"/>
      <c r="AF2142" s="15"/>
      <c r="AG2142" s="15"/>
      <c r="AH2142" s="15"/>
      <c r="AI2142" s="15"/>
      <c r="AJ2142" s="15"/>
      <c r="AK2142" s="15"/>
      <c r="AL2142" s="15"/>
      <c r="AM2142" s="209"/>
      <c r="AN2142" s="210"/>
    </row>
    <row r="2143" s="100" customFormat="1" spans="3:40">
      <c r="C2143" s="136"/>
      <c r="D2143" s="136"/>
      <c r="F2143" s="15"/>
      <c r="G2143" s="138"/>
      <c r="H2143" s="138"/>
      <c r="I2143" s="126"/>
      <c r="J2143" s="15"/>
      <c r="K2143" s="15"/>
      <c r="L2143" s="20"/>
      <c r="M2143" s="20"/>
      <c r="N2143" s="126"/>
      <c r="O2143" s="126"/>
      <c r="P2143" s="126"/>
      <c r="Q2143" s="171"/>
      <c r="R2143" s="172"/>
      <c r="S2143" s="172"/>
      <c r="AE2143" s="15"/>
      <c r="AF2143" s="15"/>
      <c r="AG2143" s="15"/>
      <c r="AH2143" s="15"/>
      <c r="AI2143" s="15"/>
      <c r="AJ2143" s="15"/>
      <c r="AK2143" s="15"/>
      <c r="AL2143" s="15"/>
      <c r="AM2143" s="209"/>
      <c r="AN2143" s="210"/>
    </row>
    <row r="2144" s="100" customFormat="1" spans="3:40">
      <c r="C2144" s="136"/>
      <c r="D2144" s="136"/>
      <c r="F2144" s="15"/>
      <c r="G2144" s="138"/>
      <c r="H2144" s="138"/>
      <c r="I2144" s="126"/>
      <c r="J2144" s="15"/>
      <c r="K2144" s="15"/>
      <c r="L2144" s="20"/>
      <c r="M2144" s="20"/>
      <c r="N2144" s="126"/>
      <c r="O2144" s="126"/>
      <c r="P2144" s="126"/>
      <c r="Q2144" s="171"/>
      <c r="R2144" s="172"/>
      <c r="S2144" s="172"/>
      <c r="AE2144" s="15"/>
      <c r="AF2144" s="15"/>
      <c r="AG2144" s="15"/>
      <c r="AH2144" s="15"/>
      <c r="AI2144" s="15"/>
      <c r="AJ2144" s="15"/>
      <c r="AK2144" s="15"/>
      <c r="AL2144" s="15"/>
      <c r="AM2144" s="209"/>
      <c r="AN2144" s="210"/>
    </row>
    <row r="2145" s="100" customFormat="1" spans="3:40">
      <c r="C2145" s="136"/>
      <c r="D2145" s="136"/>
      <c r="F2145" s="15"/>
      <c r="G2145" s="138"/>
      <c r="H2145" s="138"/>
      <c r="I2145" s="126"/>
      <c r="J2145" s="15"/>
      <c r="K2145" s="15"/>
      <c r="L2145" s="20"/>
      <c r="M2145" s="20"/>
      <c r="N2145" s="126"/>
      <c r="O2145" s="126"/>
      <c r="P2145" s="126"/>
      <c r="Q2145" s="171"/>
      <c r="R2145" s="172"/>
      <c r="S2145" s="172"/>
      <c r="AE2145" s="15"/>
      <c r="AF2145" s="15"/>
      <c r="AG2145" s="15"/>
      <c r="AH2145" s="15"/>
      <c r="AI2145" s="15"/>
      <c r="AJ2145" s="15"/>
      <c r="AK2145" s="15"/>
      <c r="AL2145" s="15"/>
      <c r="AM2145" s="209"/>
      <c r="AN2145" s="210"/>
    </row>
    <row r="2146" s="100" customFormat="1" spans="3:40">
      <c r="C2146" s="136"/>
      <c r="D2146" s="136"/>
      <c r="F2146" s="15"/>
      <c r="G2146" s="138"/>
      <c r="H2146" s="138"/>
      <c r="I2146" s="126"/>
      <c r="J2146" s="15"/>
      <c r="K2146" s="15"/>
      <c r="L2146" s="20"/>
      <c r="M2146" s="20"/>
      <c r="N2146" s="126"/>
      <c r="O2146" s="126"/>
      <c r="P2146" s="126"/>
      <c r="Q2146" s="171"/>
      <c r="R2146" s="172"/>
      <c r="S2146" s="172"/>
      <c r="AE2146" s="15"/>
      <c r="AF2146" s="15"/>
      <c r="AG2146" s="15"/>
      <c r="AH2146" s="15"/>
      <c r="AI2146" s="15"/>
      <c r="AJ2146" s="15"/>
      <c r="AK2146" s="15"/>
      <c r="AL2146" s="15"/>
      <c r="AM2146" s="209"/>
      <c r="AN2146" s="210"/>
    </row>
    <row r="2147" s="100" customFormat="1" spans="3:40">
      <c r="C2147" s="136"/>
      <c r="D2147" s="136"/>
      <c r="F2147" s="15"/>
      <c r="G2147" s="138"/>
      <c r="H2147" s="138"/>
      <c r="I2147" s="126"/>
      <c r="J2147" s="15"/>
      <c r="K2147" s="15"/>
      <c r="L2147" s="20"/>
      <c r="M2147" s="20"/>
      <c r="N2147" s="126"/>
      <c r="O2147" s="126"/>
      <c r="P2147" s="126"/>
      <c r="Q2147" s="171"/>
      <c r="R2147" s="172"/>
      <c r="S2147" s="172"/>
      <c r="AE2147" s="15"/>
      <c r="AF2147" s="15"/>
      <c r="AG2147" s="15"/>
      <c r="AH2147" s="15"/>
      <c r="AI2147" s="15"/>
      <c r="AJ2147" s="15"/>
      <c r="AK2147" s="15"/>
      <c r="AL2147" s="15"/>
      <c r="AM2147" s="209"/>
      <c r="AN2147" s="210"/>
    </row>
    <row r="2148" s="100" customFormat="1" spans="3:40">
      <c r="C2148" s="136"/>
      <c r="D2148" s="136"/>
      <c r="F2148" s="15"/>
      <c r="G2148" s="138"/>
      <c r="H2148" s="138"/>
      <c r="I2148" s="126"/>
      <c r="J2148" s="15"/>
      <c r="K2148" s="15"/>
      <c r="L2148" s="20"/>
      <c r="M2148" s="20"/>
      <c r="N2148" s="126"/>
      <c r="O2148" s="126"/>
      <c r="P2148" s="126"/>
      <c r="Q2148" s="171"/>
      <c r="R2148" s="172"/>
      <c r="S2148" s="172"/>
      <c r="AE2148" s="15"/>
      <c r="AF2148" s="15"/>
      <c r="AG2148" s="15"/>
      <c r="AH2148" s="15"/>
      <c r="AI2148" s="15"/>
      <c r="AJ2148" s="15"/>
      <c r="AK2148" s="15"/>
      <c r="AL2148" s="15"/>
      <c r="AM2148" s="209"/>
      <c r="AN2148" s="210"/>
    </row>
    <row r="2149" s="100" customFormat="1" spans="3:40">
      <c r="C2149" s="136"/>
      <c r="D2149" s="136"/>
      <c r="F2149" s="15"/>
      <c r="G2149" s="138"/>
      <c r="H2149" s="138"/>
      <c r="I2149" s="126"/>
      <c r="J2149" s="15"/>
      <c r="K2149" s="15"/>
      <c r="L2149" s="20"/>
      <c r="M2149" s="20"/>
      <c r="N2149" s="126"/>
      <c r="O2149" s="126"/>
      <c r="P2149" s="126"/>
      <c r="Q2149" s="171"/>
      <c r="R2149" s="172"/>
      <c r="S2149" s="172"/>
      <c r="AE2149" s="15"/>
      <c r="AF2149" s="15"/>
      <c r="AG2149" s="15"/>
      <c r="AH2149" s="15"/>
      <c r="AI2149" s="15"/>
      <c r="AJ2149" s="15"/>
      <c r="AK2149" s="15"/>
      <c r="AL2149" s="15"/>
      <c r="AM2149" s="209"/>
      <c r="AN2149" s="210"/>
    </row>
    <row r="2150" s="100" customFormat="1" spans="3:40">
      <c r="C2150" s="136"/>
      <c r="D2150" s="136"/>
      <c r="F2150" s="15"/>
      <c r="G2150" s="138"/>
      <c r="H2150" s="138"/>
      <c r="I2150" s="126"/>
      <c r="J2150" s="15"/>
      <c r="K2150" s="15"/>
      <c r="L2150" s="20"/>
      <c r="M2150" s="20"/>
      <c r="N2150" s="126"/>
      <c r="O2150" s="126"/>
      <c r="P2150" s="126"/>
      <c r="Q2150" s="171"/>
      <c r="R2150" s="172"/>
      <c r="S2150" s="172"/>
      <c r="AE2150" s="15"/>
      <c r="AF2150" s="15"/>
      <c r="AG2150" s="15"/>
      <c r="AH2150" s="15"/>
      <c r="AI2150" s="15"/>
      <c r="AJ2150" s="15"/>
      <c r="AK2150" s="15"/>
      <c r="AL2150" s="15"/>
      <c r="AM2150" s="209"/>
      <c r="AN2150" s="210"/>
    </row>
    <row r="2151" s="100" customFormat="1" spans="3:40">
      <c r="C2151" s="136"/>
      <c r="D2151" s="136"/>
      <c r="F2151" s="15"/>
      <c r="G2151" s="138"/>
      <c r="H2151" s="138"/>
      <c r="I2151" s="126"/>
      <c r="J2151" s="15"/>
      <c r="K2151" s="15"/>
      <c r="L2151" s="20"/>
      <c r="M2151" s="20"/>
      <c r="N2151" s="126"/>
      <c r="O2151" s="126"/>
      <c r="P2151" s="126"/>
      <c r="Q2151" s="171"/>
      <c r="R2151" s="172"/>
      <c r="S2151" s="172"/>
      <c r="AE2151" s="15"/>
      <c r="AF2151" s="15"/>
      <c r="AG2151" s="15"/>
      <c r="AH2151" s="15"/>
      <c r="AI2151" s="15"/>
      <c r="AJ2151" s="15"/>
      <c r="AK2151" s="15"/>
      <c r="AL2151" s="15"/>
      <c r="AM2151" s="209"/>
      <c r="AN2151" s="210"/>
    </row>
    <row r="2152" s="100" customFormat="1" spans="3:40">
      <c r="C2152" s="136"/>
      <c r="D2152" s="136"/>
      <c r="F2152" s="15"/>
      <c r="G2152" s="138"/>
      <c r="H2152" s="138"/>
      <c r="I2152" s="126"/>
      <c r="J2152" s="15"/>
      <c r="K2152" s="15"/>
      <c r="L2152" s="20"/>
      <c r="M2152" s="20"/>
      <c r="N2152" s="126"/>
      <c r="O2152" s="126"/>
      <c r="P2152" s="126"/>
      <c r="Q2152" s="171"/>
      <c r="R2152" s="172"/>
      <c r="S2152" s="172"/>
      <c r="AE2152" s="15"/>
      <c r="AF2152" s="15"/>
      <c r="AG2152" s="15"/>
      <c r="AH2152" s="15"/>
      <c r="AI2152" s="15"/>
      <c r="AJ2152" s="15"/>
      <c r="AK2152" s="15"/>
      <c r="AL2152" s="15"/>
      <c r="AM2152" s="209"/>
      <c r="AN2152" s="210"/>
    </row>
    <row r="2153" s="100" customFormat="1" spans="3:40">
      <c r="C2153" s="136"/>
      <c r="D2153" s="136"/>
      <c r="F2153" s="15"/>
      <c r="G2153" s="138"/>
      <c r="H2153" s="138"/>
      <c r="I2153" s="126"/>
      <c r="J2153" s="15"/>
      <c r="K2153" s="15"/>
      <c r="L2153" s="20"/>
      <c r="M2153" s="20"/>
      <c r="N2153" s="126"/>
      <c r="O2153" s="126"/>
      <c r="P2153" s="126"/>
      <c r="Q2153" s="171"/>
      <c r="R2153" s="172"/>
      <c r="S2153" s="172"/>
      <c r="AE2153" s="15"/>
      <c r="AF2153" s="15"/>
      <c r="AG2153" s="15"/>
      <c r="AH2153" s="15"/>
      <c r="AI2153" s="15"/>
      <c r="AJ2153" s="15"/>
      <c r="AK2153" s="15"/>
      <c r="AL2153" s="15"/>
      <c r="AM2153" s="209"/>
      <c r="AN2153" s="210"/>
    </row>
    <row r="2154" s="100" customFormat="1" spans="3:40">
      <c r="C2154" s="136"/>
      <c r="D2154" s="136"/>
      <c r="F2154" s="15"/>
      <c r="G2154" s="138"/>
      <c r="H2154" s="138"/>
      <c r="I2154" s="126"/>
      <c r="J2154" s="15"/>
      <c r="K2154" s="15"/>
      <c r="L2154" s="20"/>
      <c r="M2154" s="20"/>
      <c r="N2154" s="126"/>
      <c r="O2154" s="126"/>
      <c r="P2154" s="126"/>
      <c r="Q2154" s="171"/>
      <c r="R2154" s="172"/>
      <c r="S2154" s="172"/>
      <c r="AE2154" s="15"/>
      <c r="AF2154" s="15"/>
      <c r="AG2154" s="15"/>
      <c r="AH2154" s="15"/>
      <c r="AI2154" s="15"/>
      <c r="AJ2154" s="15"/>
      <c r="AK2154" s="15"/>
      <c r="AL2154" s="15"/>
      <c r="AM2154" s="209"/>
      <c r="AN2154" s="210"/>
    </row>
    <row r="2155" s="100" customFormat="1" spans="3:40">
      <c r="C2155" s="136"/>
      <c r="D2155" s="136"/>
      <c r="F2155" s="15"/>
      <c r="G2155" s="138"/>
      <c r="H2155" s="138"/>
      <c r="I2155" s="126"/>
      <c r="J2155" s="15"/>
      <c r="K2155" s="15"/>
      <c r="L2155" s="20"/>
      <c r="M2155" s="20"/>
      <c r="N2155" s="126"/>
      <c r="O2155" s="126"/>
      <c r="P2155" s="126"/>
      <c r="Q2155" s="171"/>
      <c r="R2155" s="172"/>
      <c r="S2155" s="172"/>
      <c r="AE2155" s="15"/>
      <c r="AF2155" s="15"/>
      <c r="AG2155" s="15"/>
      <c r="AH2155" s="15"/>
      <c r="AI2155" s="15"/>
      <c r="AJ2155" s="15"/>
      <c r="AK2155" s="15"/>
      <c r="AL2155" s="15"/>
      <c r="AM2155" s="209"/>
      <c r="AN2155" s="210"/>
    </row>
    <row r="2156" s="100" customFormat="1" spans="3:40">
      <c r="C2156" s="136"/>
      <c r="D2156" s="136"/>
      <c r="F2156" s="15"/>
      <c r="G2156" s="138"/>
      <c r="H2156" s="138"/>
      <c r="I2156" s="126"/>
      <c r="J2156" s="15"/>
      <c r="K2156" s="15"/>
      <c r="L2156" s="20"/>
      <c r="M2156" s="20"/>
      <c r="N2156" s="126"/>
      <c r="O2156" s="126"/>
      <c r="P2156" s="126"/>
      <c r="Q2156" s="171"/>
      <c r="R2156" s="172"/>
      <c r="S2156" s="172"/>
      <c r="AE2156" s="15"/>
      <c r="AF2156" s="15"/>
      <c r="AG2156" s="15"/>
      <c r="AH2156" s="15"/>
      <c r="AI2156" s="15"/>
      <c r="AJ2156" s="15"/>
      <c r="AK2156" s="15"/>
      <c r="AL2156" s="15"/>
      <c r="AM2156" s="209"/>
      <c r="AN2156" s="210"/>
    </row>
    <row r="2157" s="100" customFormat="1" spans="3:40">
      <c r="C2157" s="136"/>
      <c r="D2157" s="136"/>
      <c r="F2157" s="15"/>
      <c r="G2157" s="138"/>
      <c r="H2157" s="138"/>
      <c r="I2157" s="126"/>
      <c r="J2157" s="15"/>
      <c r="K2157" s="15"/>
      <c r="L2157" s="20"/>
      <c r="M2157" s="20"/>
      <c r="N2157" s="126"/>
      <c r="O2157" s="126"/>
      <c r="P2157" s="126"/>
      <c r="Q2157" s="171"/>
      <c r="R2157" s="172"/>
      <c r="S2157" s="172"/>
      <c r="AE2157" s="15"/>
      <c r="AF2157" s="15"/>
      <c r="AG2157" s="15"/>
      <c r="AH2157" s="15"/>
      <c r="AI2157" s="15"/>
      <c r="AJ2157" s="15"/>
      <c r="AK2157" s="15"/>
      <c r="AL2157" s="209"/>
      <c r="AM2157" s="209"/>
      <c r="AN2157" s="210"/>
    </row>
    <row r="2158" s="100" customFormat="1" spans="3:40">
      <c r="C2158" s="136"/>
      <c r="D2158" s="136"/>
      <c r="F2158" s="15"/>
      <c r="G2158" s="138"/>
      <c r="H2158" s="138"/>
      <c r="I2158" s="126"/>
      <c r="J2158" s="15"/>
      <c r="K2158" s="15"/>
      <c r="L2158" s="20"/>
      <c r="M2158" s="20"/>
      <c r="N2158" s="126"/>
      <c r="O2158" s="126"/>
      <c r="P2158" s="126"/>
      <c r="Q2158" s="171"/>
      <c r="R2158" s="172"/>
      <c r="S2158" s="172"/>
      <c r="AE2158" s="15"/>
      <c r="AF2158" s="15"/>
      <c r="AG2158" s="15"/>
      <c r="AH2158" s="15"/>
      <c r="AI2158" s="15"/>
      <c r="AJ2158" s="15"/>
      <c r="AK2158" s="15"/>
      <c r="AL2158" s="209"/>
      <c r="AM2158" s="209"/>
      <c r="AN2158" s="210"/>
    </row>
    <row r="2159" s="100" customFormat="1" spans="3:40">
      <c r="C2159" s="136"/>
      <c r="D2159" s="136"/>
      <c r="F2159" s="15"/>
      <c r="G2159" s="138"/>
      <c r="H2159" s="138"/>
      <c r="I2159" s="126"/>
      <c r="J2159" s="15"/>
      <c r="K2159" s="15"/>
      <c r="L2159" s="20"/>
      <c r="M2159" s="20"/>
      <c r="N2159" s="126"/>
      <c r="O2159" s="126"/>
      <c r="P2159" s="126"/>
      <c r="Q2159" s="171"/>
      <c r="R2159" s="172"/>
      <c r="S2159" s="172"/>
      <c r="AE2159" s="15"/>
      <c r="AF2159" s="15"/>
      <c r="AG2159" s="15"/>
      <c r="AH2159" s="15"/>
      <c r="AI2159" s="15"/>
      <c r="AJ2159" s="15"/>
      <c r="AK2159" s="15"/>
      <c r="AL2159" s="15"/>
      <c r="AM2159" s="209"/>
      <c r="AN2159" s="210"/>
    </row>
    <row r="2160" s="100" customFormat="1" spans="3:40">
      <c r="C2160" s="136"/>
      <c r="D2160" s="136"/>
      <c r="F2160" s="15"/>
      <c r="G2160" s="138"/>
      <c r="H2160" s="138"/>
      <c r="I2160" s="126"/>
      <c r="J2160" s="15"/>
      <c r="K2160" s="15"/>
      <c r="L2160" s="20"/>
      <c r="M2160" s="20"/>
      <c r="N2160" s="126"/>
      <c r="O2160" s="126"/>
      <c r="P2160" s="126"/>
      <c r="Q2160" s="171"/>
      <c r="R2160" s="172"/>
      <c r="S2160" s="172"/>
      <c r="AE2160" s="15"/>
      <c r="AF2160" s="15"/>
      <c r="AG2160" s="15"/>
      <c r="AH2160" s="15"/>
      <c r="AI2160" s="15"/>
      <c r="AJ2160" s="15"/>
      <c r="AK2160" s="15"/>
      <c r="AL2160" s="15"/>
      <c r="AM2160" s="209"/>
      <c r="AN2160" s="210"/>
    </row>
    <row r="2161" s="100" customFormat="1" spans="3:40">
      <c r="C2161" s="136"/>
      <c r="D2161" s="136"/>
      <c r="F2161" s="15"/>
      <c r="G2161" s="138"/>
      <c r="H2161" s="138"/>
      <c r="I2161" s="126"/>
      <c r="J2161" s="15"/>
      <c r="K2161" s="15"/>
      <c r="L2161" s="20"/>
      <c r="M2161" s="20"/>
      <c r="N2161" s="126"/>
      <c r="O2161" s="126"/>
      <c r="P2161" s="126"/>
      <c r="Q2161" s="171"/>
      <c r="R2161" s="172"/>
      <c r="S2161" s="172"/>
      <c r="AE2161" s="15"/>
      <c r="AF2161" s="15"/>
      <c r="AG2161" s="15"/>
      <c r="AH2161" s="15"/>
      <c r="AI2161" s="15"/>
      <c r="AJ2161" s="15"/>
      <c r="AK2161" s="15"/>
      <c r="AL2161" s="15"/>
      <c r="AM2161" s="209"/>
      <c r="AN2161" s="210"/>
    </row>
    <row r="2162" s="100" customFormat="1" spans="3:40">
      <c r="C2162" s="136"/>
      <c r="D2162" s="136"/>
      <c r="F2162" s="15"/>
      <c r="G2162" s="138"/>
      <c r="H2162" s="138"/>
      <c r="I2162" s="126"/>
      <c r="J2162" s="15"/>
      <c r="K2162" s="15"/>
      <c r="L2162" s="20"/>
      <c r="M2162" s="20"/>
      <c r="N2162" s="126"/>
      <c r="O2162" s="126"/>
      <c r="P2162" s="126"/>
      <c r="Q2162" s="171"/>
      <c r="R2162" s="172"/>
      <c r="S2162" s="172"/>
      <c r="AE2162" s="15"/>
      <c r="AF2162" s="15"/>
      <c r="AG2162" s="15"/>
      <c r="AH2162" s="15"/>
      <c r="AI2162" s="15"/>
      <c r="AJ2162" s="15"/>
      <c r="AK2162" s="15"/>
      <c r="AL2162" s="15"/>
      <c r="AM2162" s="209"/>
      <c r="AN2162" s="210"/>
    </row>
    <row r="2163" s="100" customFormat="1" spans="3:40">
      <c r="C2163" s="136"/>
      <c r="D2163" s="136"/>
      <c r="F2163" s="15"/>
      <c r="G2163" s="138"/>
      <c r="H2163" s="138"/>
      <c r="I2163" s="126"/>
      <c r="J2163" s="15"/>
      <c r="K2163" s="15"/>
      <c r="L2163" s="20"/>
      <c r="M2163" s="20"/>
      <c r="N2163" s="126"/>
      <c r="O2163" s="126"/>
      <c r="P2163" s="126"/>
      <c r="Q2163" s="171"/>
      <c r="R2163" s="172"/>
      <c r="S2163" s="172"/>
      <c r="AE2163" s="15"/>
      <c r="AF2163" s="15"/>
      <c r="AG2163" s="15"/>
      <c r="AH2163" s="15"/>
      <c r="AI2163" s="15"/>
      <c r="AJ2163" s="15"/>
      <c r="AK2163" s="15"/>
      <c r="AL2163" s="15"/>
      <c r="AM2163" s="209"/>
      <c r="AN2163" s="210"/>
    </row>
    <row r="2164" s="100" customFormat="1" spans="3:40">
      <c r="C2164" s="136"/>
      <c r="D2164" s="136"/>
      <c r="F2164" s="15"/>
      <c r="G2164" s="138"/>
      <c r="H2164" s="138"/>
      <c r="I2164" s="126"/>
      <c r="J2164" s="15"/>
      <c r="K2164" s="15"/>
      <c r="L2164" s="20"/>
      <c r="M2164" s="20"/>
      <c r="N2164" s="126"/>
      <c r="O2164" s="126"/>
      <c r="P2164" s="126"/>
      <c r="Q2164" s="171"/>
      <c r="R2164" s="172"/>
      <c r="S2164" s="172"/>
      <c r="AE2164" s="15"/>
      <c r="AF2164" s="15"/>
      <c r="AG2164" s="15"/>
      <c r="AH2164" s="15"/>
      <c r="AI2164" s="15"/>
      <c r="AJ2164" s="15"/>
      <c r="AK2164" s="15"/>
      <c r="AL2164" s="15"/>
      <c r="AM2164" s="209"/>
      <c r="AN2164" s="210"/>
    </row>
    <row r="2165" s="100" customFormat="1" spans="3:40">
      <c r="C2165" s="136"/>
      <c r="D2165" s="136"/>
      <c r="F2165" s="15"/>
      <c r="G2165" s="138"/>
      <c r="H2165" s="138"/>
      <c r="I2165" s="126"/>
      <c r="J2165" s="15"/>
      <c r="K2165" s="15"/>
      <c r="L2165" s="20"/>
      <c r="M2165" s="20"/>
      <c r="N2165" s="126"/>
      <c r="O2165" s="126"/>
      <c r="P2165" s="126"/>
      <c r="Q2165" s="171"/>
      <c r="R2165" s="172"/>
      <c r="S2165" s="172"/>
      <c r="AE2165" s="15"/>
      <c r="AF2165" s="15"/>
      <c r="AG2165" s="15"/>
      <c r="AH2165" s="15"/>
      <c r="AI2165" s="15"/>
      <c r="AJ2165" s="15"/>
      <c r="AK2165" s="15"/>
      <c r="AL2165" s="15"/>
      <c r="AM2165" s="209"/>
      <c r="AN2165" s="210"/>
    </row>
    <row r="2166" s="100" customFormat="1" spans="3:40">
      <c r="C2166" s="136"/>
      <c r="D2166" s="136"/>
      <c r="F2166" s="15"/>
      <c r="G2166" s="138"/>
      <c r="H2166" s="138"/>
      <c r="I2166" s="126"/>
      <c r="J2166" s="15"/>
      <c r="K2166" s="15"/>
      <c r="L2166" s="20"/>
      <c r="M2166" s="20"/>
      <c r="N2166" s="126"/>
      <c r="O2166" s="126"/>
      <c r="P2166" s="126"/>
      <c r="Q2166" s="171"/>
      <c r="R2166" s="172"/>
      <c r="S2166" s="172"/>
      <c r="AE2166" s="15"/>
      <c r="AF2166" s="15"/>
      <c r="AG2166" s="15"/>
      <c r="AH2166" s="15"/>
      <c r="AI2166" s="15"/>
      <c r="AJ2166" s="15"/>
      <c r="AK2166" s="15"/>
      <c r="AL2166" s="15"/>
      <c r="AM2166" s="209"/>
      <c r="AN2166" s="210"/>
    </row>
    <row r="2167" s="100" customFormat="1" spans="3:40">
      <c r="C2167" s="136"/>
      <c r="D2167" s="136"/>
      <c r="F2167" s="15"/>
      <c r="G2167" s="138"/>
      <c r="H2167" s="138"/>
      <c r="I2167" s="126"/>
      <c r="J2167" s="15"/>
      <c r="K2167" s="15"/>
      <c r="L2167" s="20"/>
      <c r="M2167" s="20"/>
      <c r="N2167" s="126"/>
      <c r="O2167" s="126"/>
      <c r="P2167" s="126"/>
      <c r="Q2167" s="171"/>
      <c r="R2167" s="172"/>
      <c r="S2167" s="172"/>
      <c r="AE2167" s="15"/>
      <c r="AF2167" s="15"/>
      <c r="AG2167" s="15"/>
      <c r="AH2167" s="15"/>
      <c r="AI2167" s="15"/>
      <c r="AJ2167" s="15"/>
      <c r="AK2167" s="15"/>
      <c r="AL2167" s="15"/>
      <c r="AM2167" s="209"/>
      <c r="AN2167" s="210"/>
    </row>
    <row r="2168" s="100" customFormat="1" spans="3:40">
      <c r="C2168" s="136"/>
      <c r="D2168" s="136"/>
      <c r="F2168" s="15"/>
      <c r="G2168" s="138"/>
      <c r="H2168" s="138"/>
      <c r="I2168" s="126"/>
      <c r="J2168" s="15"/>
      <c r="K2168" s="15"/>
      <c r="L2168" s="20"/>
      <c r="M2168" s="20"/>
      <c r="N2168" s="126"/>
      <c r="O2168" s="126"/>
      <c r="P2168" s="126"/>
      <c r="Q2168" s="171"/>
      <c r="R2168" s="172"/>
      <c r="S2168" s="172"/>
      <c r="AE2168" s="15"/>
      <c r="AF2168" s="15"/>
      <c r="AG2168" s="15"/>
      <c r="AH2168" s="15"/>
      <c r="AI2168" s="15"/>
      <c r="AJ2168" s="15"/>
      <c r="AK2168" s="15"/>
      <c r="AL2168" s="15"/>
      <c r="AM2168" s="209"/>
      <c r="AN2168" s="210"/>
    </row>
    <row r="2169" s="100" customFormat="1" spans="3:40">
      <c r="C2169" s="136"/>
      <c r="D2169" s="136"/>
      <c r="F2169" s="15"/>
      <c r="G2169" s="138"/>
      <c r="H2169" s="138"/>
      <c r="I2169" s="126"/>
      <c r="J2169" s="15"/>
      <c r="K2169" s="15"/>
      <c r="L2169" s="20"/>
      <c r="M2169" s="20"/>
      <c r="N2169" s="126"/>
      <c r="O2169" s="126"/>
      <c r="P2169" s="126"/>
      <c r="Q2169" s="171"/>
      <c r="R2169" s="172"/>
      <c r="S2169" s="172"/>
      <c r="AE2169" s="15"/>
      <c r="AF2169" s="15"/>
      <c r="AG2169" s="15"/>
      <c r="AH2169" s="15"/>
      <c r="AI2169" s="15"/>
      <c r="AJ2169" s="15"/>
      <c r="AK2169" s="15"/>
      <c r="AL2169" s="15"/>
      <c r="AM2169" s="209"/>
      <c r="AN2169" s="210"/>
    </row>
    <row r="2170" s="100" customFormat="1" spans="3:40">
      <c r="C2170" s="136"/>
      <c r="D2170" s="136"/>
      <c r="F2170" s="15"/>
      <c r="G2170" s="138"/>
      <c r="H2170" s="138"/>
      <c r="I2170" s="126"/>
      <c r="J2170" s="15"/>
      <c r="K2170" s="15"/>
      <c r="L2170" s="20"/>
      <c r="M2170" s="20"/>
      <c r="N2170" s="126"/>
      <c r="O2170" s="126"/>
      <c r="P2170" s="126"/>
      <c r="Q2170" s="171"/>
      <c r="R2170" s="172"/>
      <c r="S2170" s="172"/>
      <c r="AE2170" s="15"/>
      <c r="AF2170" s="15"/>
      <c r="AG2170" s="15"/>
      <c r="AH2170" s="15"/>
      <c r="AI2170" s="15"/>
      <c r="AJ2170" s="15"/>
      <c r="AK2170" s="15"/>
      <c r="AL2170" s="15"/>
      <c r="AM2170" s="209"/>
      <c r="AN2170" s="210"/>
    </row>
    <row r="2171" s="100" customFormat="1" spans="3:40">
      <c r="C2171" s="136"/>
      <c r="D2171" s="136"/>
      <c r="F2171" s="15"/>
      <c r="G2171" s="138"/>
      <c r="H2171" s="138"/>
      <c r="I2171" s="126"/>
      <c r="J2171" s="15"/>
      <c r="K2171" s="15"/>
      <c r="L2171" s="20"/>
      <c r="M2171" s="20"/>
      <c r="N2171" s="126"/>
      <c r="O2171" s="126"/>
      <c r="P2171" s="126"/>
      <c r="Q2171" s="171"/>
      <c r="R2171" s="172"/>
      <c r="S2171" s="172"/>
      <c r="AE2171" s="15"/>
      <c r="AF2171" s="15"/>
      <c r="AG2171" s="15"/>
      <c r="AH2171" s="15"/>
      <c r="AI2171" s="15"/>
      <c r="AJ2171" s="15"/>
      <c r="AK2171" s="15"/>
      <c r="AL2171" s="15"/>
      <c r="AM2171" s="209"/>
      <c r="AN2171" s="210"/>
    </row>
    <row r="2172" s="100" customFormat="1" spans="3:40">
      <c r="C2172" s="136"/>
      <c r="D2172" s="136"/>
      <c r="F2172" s="15"/>
      <c r="G2172" s="138"/>
      <c r="H2172" s="138"/>
      <c r="I2172" s="126"/>
      <c r="J2172" s="15"/>
      <c r="K2172" s="15"/>
      <c r="L2172" s="20"/>
      <c r="M2172" s="20"/>
      <c r="N2172" s="126"/>
      <c r="O2172" s="126"/>
      <c r="P2172" s="126"/>
      <c r="Q2172" s="171"/>
      <c r="R2172" s="172"/>
      <c r="S2172" s="172"/>
      <c r="AE2172" s="15"/>
      <c r="AF2172" s="15"/>
      <c r="AG2172" s="15"/>
      <c r="AH2172" s="15"/>
      <c r="AI2172" s="15"/>
      <c r="AJ2172" s="15"/>
      <c r="AK2172" s="15"/>
      <c r="AL2172" s="15"/>
      <c r="AM2172" s="209"/>
      <c r="AN2172" s="210"/>
    </row>
    <row r="2173" s="100" customFormat="1" spans="3:40">
      <c r="C2173" s="136"/>
      <c r="D2173" s="136"/>
      <c r="F2173" s="15"/>
      <c r="G2173" s="138"/>
      <c r="H2173" s="138"/>
      <c r="I2173" s="126"/>
      <c r="J2173" s="15"/>
      <c r="K2173" s="15"/>
      <c r="L2173" s="20"/>
      <c r="M2173" s="20"/>
      <c r="N2173" s="126"/>
      <c r="O2173" s="126"/>
      <c r="P2173" s="126"/>
      <c r="Q2173" s="171"/>
      <c r="R2173" s="172"/>
      <c r="S2173" s="172"/>
      <c r="AE2173" s="15"/>
      <c r="AF2173" s="15"/>
      <c r="AG2173" s="15"/>
      <c r="AH2173" s="15"/>
      <c r="AI2173" s="15"/>
      <c r="AJ2173" s="15"/>
      <c r="AK2173" s="15"/>
      <c r="AL2173" s="15"/>
      <c r="AM2173" s="209"/>
      <c r="AN2173" s="210"/>
    </row>
    <row r="2174" s="100" customFormat="1" spans="3:40">
      <c r="C2174" s="136"/>
      <c r="D2174" s="136"/>
      <c r="F2174" s="15"/>
      <c r="G2174" s="138"/>
      <c r="H2174" s="138"/>
      <c r="I2174" s="126"/>
      <c r="J2174" s="15"/>
      <c r="K2174" s="15"/>
      <c r="L2174" s="20"/>
      <c r="M2174" s="20"/>
      <c r="N2174" s="126"/>
      <c r="O2174" s="126"/>
      <c r="P2174" s="126"/>
      <c r="Q2174" s="171"/>
      <c r="R2174" s="172"/>
      <c r="S2174" s="172"/>
      <c r="AE2174" s="15"/>
      <c r="AF2174" s="15"/>
      <c r="AG2174" s="15"/>
      <c r="AH2174" s="15"/>
      <c r="AI2174" s="15"/>
      <c r="AJ2174" s="15"/>
      <c r="AK2174" s="15"/>
      <c r="AL2174" s="15"/>
      <c r="AM2174" s="209"/>
      <c r="AN2174" s="210"/>
    </row>
    <row r="2175" s="100" customFormat="1" spans="3:40">
      <c r="C2175" s="136"/>
      <c r="D2175" s="136"/>
      <c r="F2175" s="15"/>
      <c r="G2175" s="138"/>
      <c r="H2175" s="138"/>
      <c r="I2175" s="126"/>
      <c r="J2175" s="15"/>
      <c r="K2175" s="15"/>
      <c r="L2175" s="20"/>
      <c r="M2175" s="20"/>
      <c r="N2175" s="126"/>
      <c r="O2175" s="126"/>
      <c r="P2175" s="126"/>
      <c r="Q2175" s="171"/>
      <c r="R2175" s="172"/>
      <c r="S2175" s="172"/>
      <c r="AE2175" s="15"/>
      <c r="AF2175" s="15"/>
      <c r="AG2175" s="15"/>
      <c r="AH2175" s="15"/>
      <c r="AI2175" s="15"/>
      <c r="AJ2175" s="15"/>
      <c r="AK2175" s="15"/>
      <c r="AL2175" s="15"/>
      <c r="AM2175" s="209"/>
      <c r="AN2175" s="210"/>
    </row>
    <row r="2176" s="100" customFormat="1" spans="3:40">
      <c r="C2176" s="136"/>
      <c r="D2176" s="136"/>
      <c r="F2176" s="15"/>
      <c r="G2176" s="138"/>
      <c r="H2176" s="138"/>
      <c r="I2176" s="126"/>
      <c r="J2176" s="15"/>
      <c r="K2176" s="15"/>
      <c r="L2176" s="20"/>
      <c r="M2176" s="20"/>
      <c r="N2176" s="126"/>
      <c r="O2176" s="126"/>
      <c r="P2176" s="126"/>
      <c r="Q2176" s="171"/>
      <c r="R2176" s="172"/>
      <c r="S2176" s="172"/>
      <c r="AE2176" s="15"/>
      <c r="AF2176" s="15"/>
      <c r="AG2176" s="15"/>
      <c r="AH2176" s="15"/>
      <c r="AI2176" s="212"/>
      <c r="AJ2176" s="15"/>
      <c r="AK2176" s="15"/>
      <c r="AL2176" s="15"/>
      <c r="AM2176" s="209"/>
      <c r="AN2176" s="210"/>
    </row>
    <row r="2177" s="100" customFormat="1" spans="3:40">
      <c r="C2177" s="136"/>
      <c r="D2177" s="136"/>
      <c r="F2177" s="15"/>
      <c r="G2177" s="138"/>
      <c r="H2177" s="138"/>
      <c r="I2177" s="126"/>
      <c r="J2177" s="15"/>
      <c r="K2177" s="15"/>
      <c r="L2177" s="20"/>
      <c r="M2177" s="20"/>
      <c r="N2177" s="126"/>
      <c r="O2177" s="126"/>
      <c r="P2177" s="126"/>
      <c r="Q2177" s="171"/>
      <c r="R2177" s="172"/>
      <c r="S2177" s="172"/>
      <c r="AE2177" s="15"/>
      <c r="AF2177" s="15"/>
      <c r="AG2177" s="15"/>
      <c r="AH2177" s="15"/>
      <c r="AI2177" s="15"/>
      <c r="AJ2177" s="15"/>
      <c r="AK2177" s="15"/>
      <c r="AL2177" s="15"/>
      <c r="AM2177" s="209"/>
      <c r="AN2177" s="210"/>
    </row>
    <row r="2178" s="100" customFormat="1" spans="3:40">
      <c r="C2178" s="136"/>
      <c r="D2178" s="136"/>
      <c r="F2178" s="15"/>
      <c r="G2178" s="138"/>
      <c r="H2178" s="138"/>
      <c r="I2178" s="126"/>
      <c r="J2178" s="15"/>
      <c r="K2178" s="15"/>
      <c r="L2178" s="20"/>
      <c r="M2178" s="20"/>
      <c r="N2178" s="126"/>
      <c r="O2178" s="126"/>
      <c r="P2178" s="126"/>
      <c r="Q2178" s="171"/>
      <c r="R2178" s="172"/>
      <c r="S2178" s="172"/>
      <c r="AE2178" s="15"/>
      <c r="AF2178" s="15"/>
      <c r="AG2178" s="15"/>
      <c r="AH2178" s="15"/>
      <c r="AI2178" s="15"/>
      <c r="AJ2178" s="15"/>
      <c r="AK2178" s="15"/>
      <c r="AL2178" s="15"/>
      <c r="AM2178" s="209"/>
      <c r="AN2178" s="210"/>
    </row>
    <row r="2179" s="100" customFormat="1" spans="3:40">
      <c r="C2179" s="136"/>
      <c r="D2179" s="136"/>
      <c r="F2179" s="15"/>
      <c r="G2179" s="138"/>
      <c r="H2179" s="138"/>
      <c r="I2179" s="126"/>
      <c r="J2179" s="15"/>
      <c r="K2179" s="15"/>
      <c r="L2179" s="20"/>
      <c r="M2179" s="20"/>
      <c r="N2179" s="126"/>
      <c r="O2179" s="126"/>
      <c r="P2179" s="126"/>
      <c r="Q2179" s="171"/>
      <c r="R2179" s="172"/>
      <c r="S2179" s="172"/>
      <c r="AE2179" s="15"/>
      <c r="AF2179" s="15"/>
      <c r="AG2179" s="15"/>
      <c r="AH2179" s="15"/>
      <c r="AI2179" s="15"/>
      <c r="AJ2179" s="15"/>
      <c r="AK2179" s="15"/>
      <c r="AL2179" s="15"/>
      <c r="AM2179" s="209"/>
      <c r="AN2179" s="210"/>
    </row>
    <row r="2180" s="100" customFormat="1" spans="3:40">
      <c r="C2180" s="136"/>
      <c r="D2180" s="136"/>
      <c r="F2180" s="15"/>
      <c r="G2180" s="138"/>
      <c r="H2180" s="138"/>
      <c r="I2180" s="126"/>
      <c r="J2180" s="15"/>
      <c r="K2180" s="15"/>
      <c r="L2180" s="20"/>
      <c r="M2180" s="20"/>
      <c r="N2180" s="126"/>
      <c r="O2180" s="126"/>
      <c r="P2180" s="126"/>
      <c r="Q2180" s="171"/>
      <c r="R2180" s="172"/>
      <c r="S2180" s="172"/>
      <c r="AE2180" s="15"/>
      <c r="AF2180" s="15"/>
      <c r="AG2180" s="15"/>
      <c r="AH2180" s="15"/>
      <c r="AI2180" s="15"/>
      <c r="AJ2180" s="15"/>
      <c r="AK2180" s="15"/>
      <c r="AL2180" s="15"/>
      <c r="AM2180" s="209"/>
      <c r="AN2180" s="210"/>
    </row>
    <row r="2181" s="100" customFormat="1" spans="3:40">
      <c r="C2181" s="136"/>
      <c r="D2181" s="136"/>
      <c r="F2181" s="15"/>
      <c r="G2181" s="138"/>
      <c r="H2181" s="138"/>
      <c r="I2181" s="126"/>
      <c r="J2181" s="15"/>
      <c r="K2181" s="15"/>
      <c r="L2181" s="20"/>
      <c r="M2181" s="20"/>
      <c r="N2181" s="126"/>
      <c r="O2181" s="126"/>
      <c r="P2181" s="126"/>
      <c r="Q2181" s="171"/>
      <c r="R2181" s="172"/>
      <c r="S2181" s="172"/>
      <c r="AE2181" s="15"/>
      <c r="AF2181" s="15"/>
      <c r="AG2181" s="15"/>
      <c r="AH2181" s="15"/>
      <c r="AI2181" s="15"/>
      <c r="AJ2181" s="15"/>
      <c r="AK2181" s="15"/>
      <c r="AL2181" s="15"/>
      <c r="AM2181" s="209"/>
      <c r="AN2181" s="15"/>
    </row>
    <row r="2182" s="100" customFormat="1" spans="3:40">
      <c r="C2182" s="136"/>
      <c r="D2182" s="136"/>
      <c r="F2182" s="15"/>
      <c r="G2182" s="138"/>
      <c r="H2182" s="138"/>
      <c r="I2182" s="126"/>
      <c r="J2182" s="15"/>
      <c r="K2182" s="15"/>
      <c r="L2182" s="20"/>
      <c r="M2182" s="20"/>
      <c r="N2182" s="126"/>
      <c r="O2182" s="126"/>
      <c r="P2182" s="126"/>
      <c r="Q2182" s="171"/>
      <c r="R2182" s="172"/>
      <c r="S2182" s="172"/>
      <c r="AE2182" s="15"/>
      <c r="AF2182" s="15"/>
      <c r="AG2182" s="15"/>
      <c r="AH2182" s="15"/>
      <c r="AI2182" s="15"/>
      <c r="AJ2182" s="15"/>
      <c r="AK2182" s="15"/>
      <c r="AL2182" s="211"/>
      <c r="AM2182" s="209"/>
      <c r="AN2182" s="15"/>
    </row>
    <row r="2183" s="100" customFormat="1" spans="3:40">
      <c r="C2183" s="136"/>
      <c r="D2183" s="136"/>
      <c r="F2183" s="15"/>
      <c r="G2183" s="138"/>
      <c r="H2183" s="138"/>
      <c r="I2183" s="126"/>
      <c r="J2183" s="15"/>
      <c r="K2183" s="15"/>
      <c r="L2183" s="20"/>
      <c r="M2183" s="20"/>
      <c r="N2183" s="126"/>
      <c r="O2183" s="126"/>
      <c r="P2183" s="126"/>
      <c r="Q2183" s="171"/>
      <c r="R2183" s="172"/>
      <c r="S2183" s="172"/>
      <c r="AE2183" s="15"/>
      <c r="AF2183" s="15"/>
      <c r="AG2183" s="15"/>
      <c r="AH2183" s="15"/>
      <c r="AI2183" s="15"/>
      <c r="AJ2183" s="15"/>
      <c r="AK2183" s="15"/>
      <c r="AL2183" s="15"/>
      <c r="AM2183" s="209"/>
      <c r="AN2183" s="210"/>
    </row>
    <row r="2184" s="100" customFormat="1" spans="3:40">
      <c r="C2184" s="136"/>
      <c r="D2184" s="136"/>
      <c r="F2184" s="15"/>
      <c r="G2184" s="138"/>
      <c r="H2184" s="138"/>
      <c r="I2184" s="126"/>
      <c r="J2184" s="15"/>
      <c r="K2184" s="15"/>
      <c r="L2184" s="20"/>
      <c r="M2184" s="20"/>
      <c r="N2184" s="126"/>
      <c r="O2184" s="126"/>
      <c r="P2184" s="126"/>
      <c r="Q2184" s="171"/>
      <c r="R2184" s="172"/>
      <c r="S2184" s="172"/>
      <c r="AE2184" s="15"/>
      <c r="AF2184" s="15"/>
      <c r="AG2184" s="15"/>
      <c r="AH2184" s="15"/>
      <c r="AI2184" s="15"/>
      <c r="AJ2184" s="15"/>
      <c r="AK2184" s="15"/>
      <c r="AL2184" s="15"/>
      <c r="AM2184" s="209"/>
      <c r="AN2184" s="210"/>
    </row>
    <row r="2185" s="100" customFormat="1" spans="3:40">
      <c r="C2185" s="136"/>
      <c r="D2185" s="136"/>
      <c r="F2185" s="15"/>
      <c r="G2185" s="138"/>
      <c r="H2185" s="138"/>
      <c r="I2185" s="126"/>
      <c r="J2185" s="15"/>
      <c r="K2185" s="15"/>
      <c r="L2185" s="20"/>
      <c r="M2185" s="20"/>
      <c r="N2185" s="126"/>
      <c r="O2185" s="126"/>
      <c r="P2185" s="126"/>
      <c r="Q2185" s="171"/>
      <c r="R2185" s="172"/>
      <c r="S2185" s="172"/>
      <c r="AE2185" s="15"/>
      <c r="AF2185" s="15"/>
      <c r="AG2185" s="15"/>
      <c r="AH2185" s="15"/>
      <c r="AI2185" s="15"/>
      <c r="AJ2185" s="15"/>
      <c r="AK2185" s="15"/>
      <c r="AL2185" s="15"/>
      <c r="AM2185" s="209"/>
      <c r="AN2185" s="210"/>
    </row>
    <row r="2186" s="100" customFormat="1" spans="3:40">
      <c r="C2186" s="136"/>
      <c r="D2186" s="136"/>
      <c r="F2186" s="15"/>
      <c r="G2186" s="138"/>
      <c r="H2186" s="138"/>
      <c r="I2186" s="126"/>
      <c r="J2186" s="15"/>
      <c r="K2186" s="15"/>
      <c r="L2186" s="20"/>
      <c r="M2186" s="20"/>
      <c r="N2186" s="126"/>
      <c r="O2186" s="126"/>
      <c r="P2186" s="126"/>
      <c r="Q2186" s="171"/>
      <c r="R2186" s="172"/>
      <c r="S2186" s="172"/>
      <c r="AE2186" s="15"/>
      <c r="AF2186" s="15"/>
      <c r="AG2186" s="15"/>
      <c r="AH2186" s="15"/>
      <c r="AI2186" s="15"/>
      <c r="AJ2186" s="15"/>
      <c r="AK2186" s="15"/>
      <c r="AL2186" s="15"/>
      <c r="AM2186" s="209"/>
      <c r="AN2186" s="210"/>
    </row>
    <row r="2187" s="100" customFormat="1" spans="3:40">
      <c r="C2187" s="136"/>
      <c r="D2187" s="136"/>
      <c r="F2187" s="15"/>
      <c r="G2187" s="138"/>
      <c r="H2187" s="138"/>
      <c r="I2187" s="126"/>
      <c r="J2187" s="15"/>
      <c r="K2187" s="15"/>
      <c r="L2187" s="20"/>
      <c r="M2187" s="20"/>
      <c r="N2187" s="126"/>
      <c r="O2187" s="126"/>
      <c r="P2187" s="126"/>
      <c r="Q2187" s="171"/>
      <c r="R2187" s="172"/>
      <c r="S2187" s="172"/>
      <c r="AE2187" s="15"/>
      <c r="AF2187" s="15"/>
      <c r="AG2187" s="15"/>
      <c r="AH2187" s="15"/>
      <c r="AI2187" s="15"/>
      <c r="AJ2187" s="15"/>
      <c r="AK2187" s="15"/>
      <c r="AL2187" s="15"/>
      <c r="AM2187" s="209"/>
      <c r="AN2187" s="210"/>
    </row>
    <row r="2188" s="100" customFormat="1" spans="3:40">
      <c r="C2188" s="136"/>
      <c r="D2188" s="136"/>
      <c r="F2188" s="15"/>
      <c r="G2188" s="138"/>
      <c r="H2188" s="138"/>
      <c r="I2188" s="126"/>
      <c r="J2188" s="15"/>
      <c r="K2188" s="15"/>
      <c r="L2188" s="20"/>
      <c r="M2188" s="20"/>
      <c r="N2188" s="126"/>
      <c r="O2188" s="126"/>
      <c r="P2188" s="126"/>
      <c r="Q2188" s="171"/>
      <c r="R2188" s="172"/>
      <c r="S2188" s="172"/>
      <c r="AE2188" s="15"/>
      <c r="AF2188" s="15"/>
      <c r="AG2188" s="15"/>
      <c r="AH2188" s="15"/>
      <c r="AI2188" s="15"/>
      <c r="AJ2188" s="15"/>
      <c r="AK2188" s="15"/>
      <c r="AL2188" s="15"/>
      <c r="AM2188" s="209"/>
      <c r="AN2188" s="210"/>
    </row>
    <row r="2189" s="100" customFormat="1" spans="3:40">
      <c r="C2189" s="136"/>
      <c r="D2189" s="136"/>
      <c r="F2189" s="15"/>
      <c r="G2189" s="138"/>
      <c r="H2189" s="138"/>
      <c r="I2189" s="126"/>
      <c r="J2189" s="15"/>
      <c r="K2189" s="15"/>
      <c r="L2189" s="20"/>
      <c r="M2189" s="20"/>
      <c r="N2189" s="126"/>
      <c r="O2189" s="126"/>
      <c r="P2189" s="126"/>
      <c r="Q2189" s="171"/>
      <c r="R2189" s="172"/>
      <c r="S2189" s="172"/>
      <c r="AE2189" s="15"/>
      <c r="AF2189" s="15"/>
      <c r="AG2189" s="15"/>
      <c r="AH2189" s="15"/>
      <c r="AI2189" s="15"/>
      <c r="AJ2189" s="15"/>
      <c r="AK2189" s="15"/>
      <c r="AL2189" s="15"/>
      <c r="AM2189" s="209"/>
      <c r="AN2189" s="210"/>
    </row>
    <row r="2190" s="100" customFormat="1" spans="3:40">
      <c r="C2190" s="136"/>
      <c r="D2190" s="136"/>
      <c r="F2190" s="15"/>
      <c r="G2190" s="138"/>
      <c r="H2190" s="138"/>
      <c r="I2190" s="126"/>
      <c r="J2190" s="15"/>
      <c r="K2190" s="15"/>
      <c r="L2190" s="20"/>
      <c r="M2190" s="20"/>
      <c r="N2190" s="126"/>
      <c r="O2190" s="126"/>
      <c r="P2190" s="126"/>
      <c r="Q2190" s="171"/>
      <c r="R2190" s="172"/>
      <c r="S2190" s="172"/>
      <c r="AE2190" s="15"/>
      <c r="AF2190" s="15"/>
      <c r="AG2190" s="15"/>
      <c r="AH2190" s="15"/>
      <c r="AI2190" s="15"/>
      <c r="AJ2190" s="15"/>
      <c r="AK2190" s="15"/>
      <c r="AL2190" s="15"/>
      <c r="AM2190" s="209"/>
      <c r="AN2190" s="210"/>
    </row>
    <row r="2191" s="100" customFormat="1" spans="3:40">
      <c r="C2191" s="136"/>
      <c r="D2191" s="136"/>
      <c r="F2191" s="15"/>
      <c r="G2191" s="138"/>
      <c r="H2191" s="138"/>
      <c r="I2191" s="126"/>
      <c r="J2191" s="15"/>
      <c r="K2191" s="15"/>
      <c r="L2191" s="20"/>
      <c r="M2191" s="20"/>
      <c r="N2191" s="126"/>
      <c r="O2191" s="126"/>
      <c r="P2191" s="126"/>
      <c r="Q2191" s="171"/>
      <c r="R2191" s="172"/>
      <c r="S2191" s="172"/>
      <c r="AE2191" s="15"/>
      <c r="AF2191" s="15"/>
      <c r="AG2191" s="15"/>
      <c r="AH2191" s="15"/>
      <c r="AI2191" s="15"/>
      <c r="AJ2191" s="15"/>
      <c r="AK2191" s="15"/>
      <c r="AL2191" s="15"/>
      <c r="AM2191" s="209"/>
      <c r="AN2191" s="210"/>
    </row>
    <row r="2192" s="100" customFormat="1" spans="3:40">
      <c r="C2192" s="136"/>
      <c r="D2192" s="136"/>
      <c r="F2192" s="15"/>
      <c r="G2192" s="138"/>
      <c r="H2192" s="138"/>
      <c r="I2192" s="126"/>
      <c r="J2192" s="15"/>
      <c r="K2192" s="15"/>
      <c r="L2192" s="20"/>
      <c r="M2192" s="20"/>
      <c r="N2192" s="126"/>
      <c r="O2192" s="126"/>
      <c r="P2192" s="126"/>
      <c r="Q2192" s="171"/>
      <c r="R2192" s="172"/>
      <c r="S2192" s="172"/>
      <c r="AE2192" s="15"/>
      <c r="AF2192" s="15"/>
      <c r="AG2192" s="15"/>
      <c r="AH2192" s="15"/>
      <c r="AI2192" s="15"/>
      <c r="AJ2192" s="15"/>
      <c r="AK2192" s="15"/>
      <c r="AL2192" s="15"/>
      <c r="AM2192" s="209"/>
      <c r="AN2192" s="210"/>
    </row>
    <row r="2193" s="100" customFormat="1" spans="3:40">
      <c r="C2193" s="136"/>
      <c r="D2193" s="136"/>
      <c r="F2193" s="15"/>
      <c r="G2193" s="138"/>
      <c r="H2193" s="138"/>
      <c r="I2193" s="126"/>
      <c r="J2193" s="15"/>
      <c r="K2193" s="15"/>
      <c r="L2193" s="20"/>
      <c r="M2193" s="20"/>
      <c r="N2193" s="126"/>
      <c r="O2193" s="126"/>
      <c r="P2193" s="126"/>
      <c r="Q2193" s="171"/>
      <c r="R2193" s="172"/>
      <c r="S2193" s="172"/>
      <c r="AE2193" s="15"/>
      <c r="AF2193" s="15"/>
      <c r="AG2193" s="15"/>
      <c r="AH2193" s="15"/>
      <c r="AI2193" s="15"/>
      <c r="AJ2193" s="15"/>
      <c r="AK2193" s="15"/>
      <c r="AL2193" s="15"/>
      <c r="AM2193" s="209"/>
      <c r="AN2193" s="210"/>
    </row>
    <row r="2194" s="100" customFormat="1" spans="3:40">
      <c r="C2194" s="136"/>
      <c r="D2194" s="136"/>
      <c r="F2194" s="15"/>
      <c r="G2194" s="138"/>
      <c r="H2194" s="138"/>
      <c r="I2194" s="126"/>
      <c r="J2194" s="15"/>
      <c r="K2194" s="15"/>
      <c r="L2194" s="20"/>
      <c r="M2194" s="20"/>
      <c r="N2194" s="126"/>
      <c r="O2194" s="126"/>
      <c r="P2194" s="126"/>
      <c r="Q2194" s="171"/>
      <c r="R2194" s="172"/>
      <c r="S2194" s="172"/>
      <c r="AE2194" s="15"/>
      <c r="AF2194" s="15"/>
      <c r="AG2194" s="15"/>
      <c r="AH2194" s="15"/>
      <c r="AI2194" s="15"/>
      <c r="AJ2194" s="15"/>
      <c r="AK2194" s="15"/>
      <c r="AL2194" s="15"/>
      <c r="AM2194" s="209"/>
      <c r="AN2194" s="210"/>
    </row>
    <row r="2195" s="100" customFormat="1" spans="3:40">
      <c r="C2195" s="136"/>
      <c r="D2195" s="136"/>
      <c r="F2195" s="15"/>
      <c r="G2195" s="138"/>
      <c r="H2195" s="138"/>
      <c r="I2195" s="126"/>
      <c r="J2195" s="15"/>
      <c r="K2195" s="15"/>
      <c r="L2195" s="20"/>
      <c r="M2195" s="20"/>
      <c r="N2195" s="126"/>
      <c r="O2195" s="126"/>
      <c r="P2195" s="126"/>
      <c r="Q2195" s="171"/>
      <c r="R2195" s="172"/>
      <c r="S2195" s="172"/>
      <c r="AE2195" s="15"/>
      <c r="AF2195" s="15"/>
      <c r="AG2195" s="15"/>
      <c r="AH2195" s="15"/>
      <c r="AI2195" s="15"/>
      <c r="AJ2195" s="15"/>
      <c r="AK2195" s="15"/>
      <c r="AL2195" s="15"/>
      <c r="AM2195" s="209"/>
      <c r="AN2195" s="210"/>
    </row>
    <row r="2196" s="100" customFormat="1" spans="3:40">
      <c r="C2196" s="136"/>
      <c r="D2196" s="136"/>
      <c r="F2196" s="15"/>
      <c r="G2196" s="138"/>
      <c r="H2196" s="138"/>
      <c r="I2196" s="126"/>
      <c r="J2196" s="15"/>
      <c r="K2196" s="15"/>
      <c r="L2196" s="20"/>
      <c r="M2196" s="20"/>
      <c r="N2196" s="126"/>
      <c r="O2196" s="126"/>
      <c r="P2196" s="126"/>
      <c r="Q2196" s="171"/>
      <c r="R2196" s="172"/>
      <c r="S2196" s="172"/>
      <c r="AE2196" s="15"/>
      <c r="AF2196" s="15"/>
      <c r="AG2196" s="15"/>
      <c r="AH2196" s="15"/>
      <c r="AI2196" s="15"/>
      <c r="AJ2196" s="15"/>
      <c r="AK2196" s="15"/>
      <c r="AL2196" s="15"/>
      <c r="AM2196" s="209"/>
      <c r="AN2196" s="210"/>
    </row>
    <row r="2197" s="100" customFormat="1" spans="3:40">
      <c r="C2197" s="136"/>
      <c r="D2197" s="136"/>
      <c r="F2197" s="15"/>
      <c r="G2197" s="138"/>
      <c r="H2197" s="138"/>
      <c r="I2197" s="126"/>
      <c r="J2197" s="15"/>
      <c r="K2197" s="15"/>
      <c r="L2197" s="20"/>
      <c r="M2197" s="20"/>
      <c r="N2197" s="126"/>
      <c r="O2197" s="126"/>
      <c r="P2197" s="126"/>
      <c r="Q2197" s="171"/>
      <c r="R2197" s="172"/>
      <c r="S2197" s="172"/>
      <c r="AE2197" s="15"/>
      <c r="AF2197" s="15"/>
      <c r="AG2197" s="15"/>
      <c r="AH2197" s="15"/>
      <c r="AI2197" s="15"/>
      <c r="AJ2197" s="15"/>
      <c r="AK2197" s="15"/>
      <c r="AL2197" s="15"/>
      <c r="AM2197" s="209"/>
      <c r="AN2197" s="210"/>
    </row>
    <row r="2198" s="100" customFormat="1" spans="3:40">
      <c r="C2198" s="136"/>
      <c r="D2198" s="136"/>
      <c r="F2198" s="15"/>
      <c r="G2198" s="138"/>
      <c r="H2198" s="138"/>
      <c r="I2198" s="126"/>
      <c r="J2198" s="15"/>
      <c r="K2198" s="15"/>
      <c r="L2198" s="20"/>
      <c r="M2198" s="20"/>
      <c r="N2198" s="126"/>
      <c r="O2198" s="126"/>
      <c r="P2198" s="126"/>
      <c r="Q2198" s="171"/>
      <c r="R2198" s="172"/>
      <c r="S2198" s="172"/>
      <c r="AE2198" s="15"/>
      <c r="AF2198" s="15"/>
      <c r="AG2198" s="15"/>
      <c r="AH2198" s="15"/>
      <c r="AI2198" s="15"/>
      <c r="AJ2198" s="15"/>
      <c r="AK2198" s="15"/>
      <c r="AL2198" s="211"/>
      <c r="AM2198" s="209"/>
      <c r="AN2198" s="210"/>
    </row>
    <row r="2199" s="100" customFormat="1" spans="3:40">
      <c r="C2199" s="136"/>
      <c r="D2199" s="136"/>
      <c r="F2199" s="15"/>
      <c r="G2199" s="138"/>
      <c r="H2199" s="138"/>
      <c r="I2199" s="126"/>
      <c r="J2199" s="15"/>
      <c r="K2199" s="15"/>
      <c r="L2199" s="20"/>
      <c r="M2199" s="20"/>
      <c r="N2199" s="126"/>
      <c r="O2199" s="126"/>
      <c r="P2199" s="126"/>
      <c r="Q2199" s="171"/>
      <c r="R2199" s="172"/>
      <c r="S2199" s="172"/>
      <c r="AE2199" s="15"/>
      <c r="AF2199" s="15"/>
      <c r="AG2199" s="15"/>
      <c r="AH2199" s="15"/>
      <c r="AI2199" s="15"/>
      <c r="AJ2199" s="15"/>
      <c r="AK2199" s="15"/>
      <c r="AL2199" s="211"/>
      <c r="AM2199" s="209"/>
      <c r="AN2199" s="210"/>
    </row>
    <row r="2200" s="100" customFormat="1" spans="3:40">
      <c r="C2200" s="136"/>
      <c r="D2200" s="136"/>
      <c r="F2200" s="15"/>
      <c r="G2200" s="138"/>
      <c r="H2200" s="138"/>
      <c r="I2200" s="126"/>
      <c r="J2200" s="15"/>
      <c r="K2200" s="15"/>
      <c r="L2200" s="20"/>
      <c r="M2200" s="20"/>
      <c r="N2200" s="126"/>
      <c r="O2200" s="126"/>
      <c r="P2200" s="126"/>
      <c r="Q2200" s="171"/>
      <c r="R2200" s="172"/>
      <c r="S2200" s="172"/>
      <c r="AE2200" s="15"/>
      <c r="AF2200" s="15"/>
      <c r="AG2200" s="15"/>
      <c r="AH2200" s="15"/>
      <c r="AI2200" s="15"/>
      <c r="AJ2200" s="15"/>
      <c r="AK2200" s="15"/>
      <c r="AL2200" s="211"/>
      <c r="AM2200" s="209"/>
      <c r="AN2200" s="210"/>
    </row>
    <row r="2201" s="100" customFormat="1" spans="3:40">
      <c r="C2201" s="136"/>
      <c r="D2201" s="136"/>
      <c r="F2201" s="15"/>
      <c r="G2201" s="138"/>
      <c r="H2201" s="138"/>
      <c r="I2201" s="126"/>
      <c r="J2201" s="15"/>
      <c r="K2201" s="15"/>
      <c r="L2201" s="20"/>
      <c r="M2201" s="20"/>
      <c r="N2201" s="126"/>
      <c r="O2201" s="126"/>
      <c r="P2201" s="126"/>
      <c r="Q2201" s="171"/>
      <c r="R2201" s="172"/>
      <c r="S2201" s="172"/>
      <c r="AE2201" s="15"/>
      <c r="AF2201" s="15"/>
      <c r="AG2201" s="15"/>
      <c r="AH2201" s="15"/>
      <c r="AI2201" s="15"/>
      <c r="AJ2201" s="15"/>
      <c r="AK2201" s="15"/>
      <c r="AL2201" s="211"/>
      <c r="AM2201" s="209"/>
      <c r="AN2201" s="210"/>
    </row>
    <row r="2202" s="100" customFormat="1" spans="3:40">
      <c r="C2202" s="136"/>
      <c r="D2202" s="136"/>
      <c r="F2202" s="15"/>
      <c r="G2202" s="138"/>
      <c r="H2202" s="138"/>
      <c r="I2202" s="126"/>
      <c r="J2202" s="15"/>
      <c r="K2202" s="15"/>
      <c r="L2202" s="20"/>
      <c r="M2202" s="20"/>
      <c r="N2202" s="126"/>
      <c r="O2202" s="126"/>
      <c r="P2202" s="126"/>
      <c r="Q2202" s="171"/>
      <c r="R2202" s="172"/>
      <c r="S2202" s="172"/>
      <c r="AE2202" s="15"/>
      <c r="AF2202" s="15"/>
      <c r="AG2202" s="15"/>
      <c r="AH2202" s="15"/>
      <c r="AI2202" s="15"/>
      <c r="AJ2202" s="15"/>
      <c r="AK2202" s="15"/>
      <c r="AL2202" s="211"/>
      <c r="AM2202" s="209"/>
      <c r="AN2202" s="210"/>
    </row>
    <row r="2203" s="100" customFormat="1" spans="3:40">
      <c r="C2203" s="136"/>
      <c r="D2203" s="136"/>
      <c r="F2203" s="15"/>
      <c r="G2203" s="138"/>
      <c r="H2203" s="138"/>
      <c r="I2203" s="126"/>
      <c r="J2203" s="15"/>
      <c r="K2203" s="15"/>
      <c r="L2203" s="20"/>
      <c r="M2203" s="20"/>
      <c r="N2203" s="126"/>
      <c r="O2203" s="126"/>
      <c r="P2203" s="126"/>
      <c r="Q2203" s="171"/>
      <c r="R2203" s="172"/>
      <c r="S2203" s="172"/>
      <c r="AE2203" s="15"/>
      <c r="AF2203" s="15"/>
      <c r="AG2203" s="15"/>
      <c r="AH2203" s="15"/>
      <c r="AI2203" s="15"/>
      <c r="AJ2203" s="15"/>
      <c r="AK2203" s="15"/>
      <c r="AL2203" s="211"/>
      <c r="AM2203" s="209"/>
      <c r="AN2203" s="210"/>
    </row>
    <row r="2204" s="100" customFormat="1" spans="3:40">
      <c r="C2204" s="136"/>
      <c r="D2204" s="136"/>
      <c r="F2204" s="15"/>
      <c r="G2204" s="138"/>
      <c r="H2204" s="138"/>
      <c r="I2204" s="126"/>
      <c r="J2204" s="15"/>
      <c r="K2204" s="15"/>
      <c r="L2204" s="20"/>
      <c r="M2204" s="20"/>
      <c r="N2204" s="126"/>
      <c r="O2204" s="126"/>
      <c r="P2204" s="126"/>
      <c r="Q2204" s="171"/>
      <c r="R2204" s="172"/>
      <c r="S2204" s="172"/>
      <c r="AE2204" s="15"/>
      <c r="AF2204" s="15"/>
      <c r="AG2204" s="15"/>
      <c r="AH2204" s="15"/>
      <c r="AI2204" s="15"/>
      <c r="AJ2204" s="15"/>
      <c r="AK2204" s="15"/>
      <c r="AL2204" s="211"/>
      <c r="AM2204" s="209"/>
      <c r="AN2204" s="210"/>
    </row>
    <row r="2205" s="100" customFormat="1" spans="3:40">
      <c r="C2205" s="136"/>
      <c r="D2205" s="136"/>
      <c r="F2205" s="15"/>
      <c r="G2205" s="138"/>
      <c r="H2205" s="138"/>
      <c r="I2205" s="126"/>
      <c r="J2205" s="15"/>
      <c r="K2205" s="15"/>
      <c r="L2205" s="20"/>
      <c r="M2205" s="20"/>
      <c r="N2205" s="126"/>
      <c r="O2205" s="126"/>
      <c r="P2205" s="126"/>
      <c r="Q2205" s="171"/>
      <c r="R2205" s="172"/>
      <c r="S2205" s="172"/>
      <c r="AE2205" s="15"/>
      <c r="AF2205" s="15"/>
      <c r="AG2205" s="15"/>
      <c r="AH2205" s="15"/>
      <c r="AI2205" s="15"/>
      <c r="AJ2205" s="15"/>
      <c r="AK2205" s="15"/>
      <c r="AL2205" s="211"/>
      <c r="AM2205" s="209"/>
      <c r="AN2205" s="210"/>
    </row>
    <row r="2206" s="100" customFormat="1" spans="3:40">
      <c r="C2206" s="136"/>
      <c r="D2206" s="136"/>
      <c r="F2206" s="15"/>
      <c r="G2206" s="138"/>
      <c r="H2206" s="138"/>
      <c r="I2206" s="126"/>
      <c r="J2206" s="15"/>
      <c r="K2206" s="15"/>
      <c r="L2206" s="20"/>
      <c r="M2206" s="20"/>
      <c r="N2206" s="126"/>
      <c r="O2206" s="126"/>
      <c r="P2206" s="126"/>
      <c r="Q2206" s="171"/>
      <c r="R2206" s="172"/>
      <c r="S2206" s="172"/>
      <c r="AE2206" s="15"/>
      <c r="AF2206" s="15"/>
      <c r="AG2206" s="15"/>
      <c r="AH2206" s="15"/>
      <c r="AI2206" s="212"/>
      <c r="AJ2206" s="15"/>
      <c r="AK2206" s="15"/>
      <c r="AL2206" s="211"/>
      <c r="AM2206" s="209"/>
      <c r="AN2206" s="210"/>
    </row>
    <row r="2207" s="100" customFormat="1" spans="3:40">
      <c r="C2207" s="136"/>
      <c r="D2207" s="136"/>
      <c r="F2207" s="15"/>
      <c r="G2207" s="138"/>
      <c r="H2207" s="138"/>
      <c r="I2207" s="126"/>
      <c r="J2207" s="15"/>
      <c r="K2207" s="15"/>
      <c r="L2207" s="20"/>
      <c r="M2207" s="20"/>
      <c r="N2207" s="126"/>
      <c r="O2207" s="126"/>
      <c r="P2207" s="126"/>
      <c r="Q2207" s="171"/>
      <c r="R2207" s="172"/>
      <c r="S2207" s="172"/>
      <c r="AE2207" s="15"/>
      <c r="AF2207" s="15"/>
      <c r="AG2207" s="15"/>
      <c r="AH2207" s="15"/>
      <c r="AI2207" s="15"/>
      <c r="AJ2207" s="15"/>
      <c r="AK2207" s="15"/>
      <c r="AL2207" s="211"/>
      <c r="AM2207" s="209"/>
      <c r="AN2207" s="210"/>
    </row>
    <row r="2208" s="100" customFormat="1" spans="3:40">
      <c r="C2208" s="136"/>
      <c r="D2208" s="136"/>
      <c r="F2208" s="15"/>
      <c r="G2208" s="138"/>
      <c r="H2208" s="138"/>
      <c r="I2208" s="126"/>
      <c r="J2208" s="15"/>
      <c r="K2208" s="15"/>
      <c r="L2208" s="20"/>
      <c r="M2208" s="20"/>
      <c r="N2208" s="126"/>
      <c r="O2208" s="126"/>
      <c r="P2208" s="126"/>
      <c r="Q2208" s="171"/>
      <c r="R2208" s="172"/>
      <c r="S2208" s="172"/>
      <c r="AE2208" s="15"/>
      <c r="AF2208" s="15"/>
      <c r="AG2208" s="15"/>
      <c r="AH2208" s="15"/>
      <c r="AI2208" s="15"/>
      <c r="AJ2208" s="15"/>
      <c r="AK2208" s="15"/>
      <c r="AL2208" s="15"/>
      <c r="AM2208" s="209"/>
      <c r="AN2208" s="210"/>
    </row>
    <row r="2209" s="100" customFormat="1" spans="3:40">
      <c r="C2209" s="136"/>
      <c r="D2209" s="136"/>
      <c r="F2209" s="15"/>
      <c r="G2209" s="138"/>
      <c r="H2209" s="138"/>
      <c r="I2209" s="126"/>
      <c r="J2209" s="15"/>
      <c r="K2209" s="15"/>
      <c r="L2209" s="20"/>
      <c r="M2209" s="20"/>
      <c r="N2209" s="126"/>
      <c r="O2209" s="126"/>
      <c r="P2209" s="126"/>
      <c r="Q2209" s="171"/>
      <c r="R2209" s="172"/>
      <c r="S2209" s="172"/>
      <c r="AE2209" s="15"/>
      <c r="AF2209" s="15"/>
      <c r="AG2209" s="15"/>
      <c r="AH2209" s="15"/>
      <c r="AI2209" s="15"/>
      <c r="AJ2209" s="15"/>
      <c r="AK2209" s="15"/>
      <c r="AL2209" s="15"/>
      <c r="AM2209" s="209"/>
      <c r="AN2209" s="210"/>
    </row>
    <row r="2210" s="100" customFormat="1" spans="3:40">
      <c r="C2210" s="136"/>
      <c r="D2210" s="136"/>
      <c r="F2210" s="15"/>
      <c r="G2210" s="138"/>
      <c r="H2210" s="138"/>
      <c r="I2210" s="126"/>
      <c r="J2210" s="15"/>
      <c r="K2210" s="15"/>
      <c r="L2210" s="20"/>
      <c r="M2210" s="20"/>
      <c r="N2210" s="126"/>
      <c r="O2210" s="126"/>
      <c r="P2210" s="126"/>
      <c r="Q2210" s="171"/>
      <c r="R2210" s="172"/>
      <c r="S2210" s="172"/>
      <c r="AE2210" s="15"/>
      <c r="AF2210" s="15"/>
      <c r="AG2210" s="15"/>
      <c r="AH2210" s="15"/>
      <c r="AI2210" s="15"/>
      <c r="AJ2210" s="15"/>
      <c r="AK2210" s="15"/>
      <c r="AL2210" s="15"/>
      <c r="AM2210" s="209"/>
      <c r="AN2210" s="210"/>
    </row>
    <row r="2211" s="100" customFormat="1" spans="3:40">
      <c r="C2211" s="136"/>
      <c r="D2211" s="136"/>
      <c r="F2211" s="15"/>
      <c r="G2211" s="138"/>
      <c r="H2211" s="138"/>
      <c r="I2211" s="126"/>
      <c r="J2211" s="15"/>
      <c r="K2211" s="15"/>
      <c r="L2211" s="20"/>
      <c r="M2211" s="20"/>
      <c r="N2211" s="126"/>
      <c r="O2211" s="126"/>
      <c r="P2211" s="126"/>
      <c r="Q2211" s="171"/>
      <c r="R2211" s="172"/>
      <c r="S2211" s="172"/>
      <c r="AE2211" s="15"/>
      <c r="AF2211" s="15"/>
      <c r="AG2211" s="15"/>
      <c r="AH2211" s="15"/>
      <c r="AI2211" s="15"/>
      <c r="AJ2211" s="15"/>
      <c r="AK2211" s="15"/>
      <c r="AL2211" s="15"/>
      <c r="AM2211" s="209"/>
      <c r="AN2211" s="210"/>
    </row>
    <row r="2212" s="100" customFormat="1" spans="3:40">
      <c r="C2212" s="136"/>
      <c r="D2212" s="136"/>
      <c r="F2212" s="15"/>
      <c r="G2212" s="138"/>
      <c r="H2212" s="138"/>
      <c r="I2212" s="126"/>
      <c r="J2212" s="15"/>
      <c r="K2212" s="15"/>
      <c r="L2212" s="20"/>
      <c r="M2212" s="20"/>
      <c r="N2212" s="126"/>
      <c r="O2212" s="126"/>
      <c r="P2212" s="126"/>
      <c r="Q2212" s="171"/>
      <c r="R2212" s="172"/>
      <c r="S2212" s="172"/>
      <c r="AE2212" s="15"/>
      <c r="AF2212" s="15"/>
      <c r="AG2212" s="15"/>
      <c r="AH2212" s="15"/>
      <c r="AI2212" s="15"/>
      <c r="AJ2212" s="15"/>
      <c r="AK2212" s="15"/>
      <c r="AL2212" s="15"/>
      <c r="AM2212" s="209"/>
      <c r="AN2212" s="210"/>
    </row>
    <row r="2213" s="100" customFormat="1" spans="3:40">
      <c r="C2213" s="136"/>
      <c r="D2213" s="136"/>
      <c r="F2213" s="15"/>
      <c r="G2213" s="138"/>
      <c r="H2213" s="138"/>
      <c r="I2213" s="126"/>
      <c r="J2213" s="15"/>
      <c r="K2213" s="15"/>
      <c r="L2213" s="20"/>
      <c r="M2213" s="20"/>
      <c r="N2213" s="126"/>
      <c r="O2213" s="126"/>
      <c r="P2213" s="126"/>
      <c r="Q2213" s="171"/>
      <c r="R2213" s="172"/>
      <c r="S2213" s="172"/>
      <c r="AE2213" s="15"/>
      <c r="AF2213" s="15"/>
      <c r="AG2213" s="15"/>
      <c r="AH2213" s="15"/>
      <c r="AI2213" s="15"/>
      <c r="AJ2213" s="15"/>
      <c r="AK2213" s="15"/>
      <c r="AL2213" s="15"/>
      <c r="AM2213" s="209"/>
      <c r="AN2213" s="210"/>
    </row>
    <row r="2214" s="100" customFormat="1" spans="3:40">
      <c r="C2214" s="136"/>
      <c r="D2214" s="136"/>
      <c r="F2214" s="15"/>
      <c r="G2214" s="138"/>
      <c r="H2214" s="138"/>
      <c r="I2214" s="126"/>
      <c r="J2214" s="15"/>
      <c r="K2214" s="15"/>
      <c r="L2214" s="20"/>
      <c r="M2214" s="20"/>
      <c r="N2214" s="126"/>
      <c r="O2214" s="126"/>
      <c r="P2214" s="126"/>
      <c r="Q2214" s="171"/>
      <c r="R2214" s="172"/>
      <c r="S2214" s="172"/>
      <c r="AE2214" s="15"/>
      <c r="AF2214" s="15"/>
      <c r="AG2214" s="15"/>
      <c r="AH2214" s="15"/>
      <c r="AI2214" s="15"/>
      <c r="AJ2214" s="15"/>
      <c r="AK2214" s="15"/>
      <c r="AL2214" s="15"/>
      <c r="AM2214" s="209"/>
      <c r="AN2214" s="210"/>
    </row>
    <row r="2215" s="100" customFormat="1" spans="3:40">
      <c r="C2215" s="136"/>
      <c r="D2215" s="136"/>
      <c r="F2215" s="15"/>
      <c r="G2215" s="138"/>
      <c r="H2215" s="138"/>
      <c r="I2215" s="126"/>
      <c r="J2215" s="15"/>
      <c r="K2215" s="15"/>
      <c r="L2215" s="20"/>
      <c r="M2215" s="20"/>
      <c r="N2215" s="126"/>
      <c r="O2215" s="126"/>
      <c r="P2215" s="126"/>
      <c r="Q2215" s="171"/>
      <c r="R2215" s="172"/>
      <c r="S2215" s="172"/>
      <c r="AE2215" s="15"/>
      <c r="AF2215" s="15"/>
      <c r="AG2215" s="15"/>
      <c r="AH2215" s="15"/>
      <c r="AI2215" s="15"/>
      <c r="AJ2215" s="15"/>
      <c r="AK2215" s="15"/>
      <c r="AL2215" s="15"/>
      <c r="AM2215" s="209"/>
      <c r="AN2215" s="210"/>
    </row>
    <row r="2216" s="100" customFormat="1" spans="3:40">
      <c r="C2216" s="136"/>
      <c r="D2216" s="136"/>
      <c r="F2216" s="15"/>
      <c r="G2216" s="138"/>
      <c r="H2216" s="138"/>
      <c r="I2216" s="126"/>
      <c r="J2216" s="15"/>
      <c r="K2216" s="15"/>
      <c r="L2216" s="20"/>
      <c r="M2216" s="20"/>
      <c r="N2216" s="126"/>
      <c r="O2216" s="126"/>
      <c r="P2216" s="126"/>
      <c r="Q2216" s="171"/>
      <c r="R2216" s="172"/>
      <c r="S2216" s="172"/>
      <c r="AE2216" s="15"/>
      <c r="AF2216" s="15"/>
      <c r="AG2216" s="15"/>
      <c r="AH2216" s="15"/>
      <c r="AI2216" s="15"/>
      <c r="AJ2216" s="15"/>
      <c r="AK2216" s="15"/>
      <c r="AL2216" s="15"/>
      <c r="AM2216" s="209"/>
      <c r="AN2216" s="210"/>
    </row>
    <row r="2217" s="100" customFormat="1" spans="3:40">
      <c r="C2217" s="136"/>
      <c r="D2217" s="136"/>
      <c r="F2217" s="15"/>
      <c r="G2217" s="138"/>
      <c r="H2217" s="138"/>
      <c r="I2217" s="126"/>
      <c r="J2217" s="15"/>
      <c r="K2217" s="15"/>
      <c r="L2217" s="20"/>
      <c r="M2217" s="20"/>
      <c r="N2217" s="126"/>
      <c r="O2217" s="126"/>
      <c r="P2217" s="126"/>
      <c r="Q2217" s="171"/>
      <c r="R2217" s="172"/>
      <c r="S2217" s="172"/>
      <c r="AE2217" s="15"/>
      <c r="AF2217" s="15"/>
      <c r="AG2217" s="15"/>
      <c r="AH2217" s="15"/>
      <c r="AI2217" s="15"/>
      <c r="AJ2217" s="15"/>
      <c r="AK2217" s="15"/>
      <c r="AL2217" s="15"/>
      <c r="AM2217" s="209"/>
      <c r="AN2217" s="210"/>
    </row>
    <row r="2218" s="100" customFormat="1" spans="3:40">
      <c r="C2218" s="136"/>
      <c r="D2218" s="136"/>
      <c r="F2218" s="15"/>
      <c r="G2218" s="138"/>
      <c r="H2218" s="138"/>
      <c r="I2218" s="126"/>
      <c r="J2218" s="15"/>
      <c r="K2218" s="15"/>
      <c r="L2218" s="20"/>
      <c r="M2218" s="20"/>
      <c r="N2218" s="126"/>
      <c r="O2218" s="126"/>
      <c r="P2218" s="126"/>
      <c r="Q2218" s="171"/>
      <c r="R2218" s="172"/>
      <c r="S2218" s="172"/>
      <c r="AE2218" s="15"/>
      <c r="AF2218" s="15"/>
      <c r="AG2218" s="15"/>
      <c r="AH2218" s="15"/>
      <c r="AI2218" s="15"/>
      <c r="AJ2218" s="15"/>
      <c r="AK2218" s="15"/>
      <c r="AL2218" s="15"/>
      <c r="AM2218" s="209"/>
      <c r="AN2218" s="15"/>
    </row>
    <row r="2219" s="100" customFormat="1" spans="3:40">
      <c r="C2219" s="136"/>
      <c r="D2219" s="136"/>
      <c r="F2219" s="15"/>
      <c r="G2219" s="138"/>
      <c r="H2219" s="138"/>
      <c r="I2219" s="126"/>
      <c r="J2219" s="15"/>
      <c r="K2219" s="15"/>
      <c r="L2219" s="20"/>
      <c r="M2219" s="20"/>
      <c r="N2219" s="126"/>
      <c r="O2219" s="126"/>
      <c r="P2219" s="126"/>
      <c r="Q2219" s="171"/>
      <c r="R2219" s="172"/>
      <c r="S2219" s="172"/>
      <c r="AE2219" s="15"/>
      <c r="AF2219" s="15"/>
      <c r="AG2219" s="15"/>
      <c r="AH2219" s="15"/>
      <c r="AI2219" s="15"/>
      <c r="AJ2219" s="15"/>
      <c r="AK2219" s="15"/>
      <c r="AL2219" s="15"/>
      <c r="AM2219" s="209"/>
      <c r="AN2219" s="15"/>
    </row>
    <row r="2220" s="100" customFormat="1" spans="3:40">
      <c r="C2220" s="136"/>
      <c r="D2220" s="136"/>
      <c r="F2220" s="15"/>
      <c r="G2220" s="138"/>
      <c r="H2220" s="138"/>
      <c r="I2220" s="126"/>
      <c r="J2220" s="15"/>
      <c r="K2220" s="15"/>
      <c r="L2220" s="20"/>
      <c r="M2220" s="20"/>
      <c r="N2220" s="126"/>
      <c r="O2220" s="126"/>
      <c r="P2220" s="126"/>
      <c r="Q2220" s="171"/>
      <c r="R2220" s="172"/>
      <c r="S2220" s="172"/>
      <c r="AE2220" s="15"/>
      <c r="AF2220" s="15"/>
      <c r="AG2220" s="15"/>
      <c r="AH2220" s="15"/>
      <c r="AI2220" s="15"/>
      <c r="AJ2220" s="15"/>
      <c r="AK2220" s="15"/>
      <c r="AL2220" s="15"/>
      <c r="AM2220" s="209"/>
      <c r="AN2220" s="210"/>
    </row>
    <row r="2221" s="100" customFormat="1" spans="3:40">
      <c r="C2221" s="136"/>
      <c r="D2221" s="136"/>
      <c r="F2221" s="15"/>
      <c r="G2221" s="138"/>
      <c r="H2221" s="138"/>
      <c r="I2221" s="126"/>
      <c r="J2221" s="15"/>
      <c r="K2221" s="15"/>
      <c r="L2221" s="20"/>
      <c r="M2221" s="20"/>
      <c r="N2221" s="126"/>
      <c r="O2221" s="126"/>
      <c r="P2221" s="126"/>
      <c r="Q2221" s="171"/>
      <c r="R2221" s="172"/>
      <c r="S2221" s="172"/>
      <c r="AE2221" s="15"/>
      <c r="AF2221" s="15"/>
      <c r="AG2221" s="15"/>
      <c r="AH2221" s="15"/>
      <c r="AI2221" s="15"/>
      <c r="AJ2221" s="15"/>
      <c r="AK2221" s="15"/>
      <c r="AL2221" s="211"/>
      <c r="AM2221" s="211"/>
      <c r="AN2221" s="211"/>
    </row>
    <row r="2222" s="100" customFormat="1" spans="3:40">
      <c r="C2222" s="136"/>
      <c r="D2222" s="136"/>
      <c r="F2222" s="15"/>
      <c r="G2222" s="138"/>
      <c r="H2222" s="138"/>
      <c r="I2222" s="126"/>
      <c r="J2222" s="15"/>
      <c r="K2222" s="15"/>
      <c r="L2222" s="20"/>
      <c r="M2222" s="20"/>
      <c r="N2222" s="126"/>
      <c r="O2222" s="126"/>
      <c r="P2222" s="126"/>
      <c r="Q2222" s="171"/>
      <c r="R2222" s="172"/>
      <c r="S2222" s="172"/>
      <c r="AE2222" s="15"/>
      <c r="AF2222" s="15"/>
      <c r="AG2222" s="15"/>
      <c r="AH2222" s="15"/>
      <c r="AI2222" s="15"/>
      <c r="AJ2222" s="15"/>
      <c r="AK2222" s="15"/>
      <c r="AL2222" s="211"/>
      <c r="AM2222" s="209"/>
      <c r="AN2222" s="210"/>
    </row>
    <row r="2223" s="100" customFormat="1" spans="3:40">
      <c r="C2223" s="136"/>
      <c r="D2223" s="136"/>
      <c r="F2223" s="15"/>
      <c r="G2223" s="138"/>
      <c r="H2223" s="138"/>
      <c r="I2223" s="126"/>
      <c r="J2223" s="15"/>
      <c r="K2223" s="15"/>
      <c r="L2223" s="20"/>
      <c r="M2223" s="20"/>
      <c r="N2223" s="126"/>
      <c r="O2223" s="126"/>
      <c r="P2223" s="126"/>
      <c r="Q2223" s="171"/>
      <c r="R2223" s="172"/>
      <c r="S2223" s="172"/>
      <c r="AE2223" s="15"/>
      <c r="AF2223" s="15"/>
      <c r="AG2223" s="15"/>
      <c r="AH2223" s="15"/>
      <c r="AI2223" s="15"/>
      <c r="AJ2223" s="15"/>
      <c r="AK2223" s="15"/>
      <c r="AL2223" s="211"/>
      <c r="AM2223" s="209"/>
      <c r="AN2223" s="209"/>
    </row>
    <row r="2224" s="100" customFormat="1" spans="3:40">
      <c r="C2224" s="136"/>
      <c r="D2224" s="136"/>
      <c r="F2224" s="15"/>
      <c r="G2224" s="138"/>
      <c r="H2224" s="138"/>
      <c r="I2224" s="126"/>
      <c r="J2224" s="15"/>
      <c r="K2224" s="15"/>
      <c r="L2224" s="20"/>
      <c r="M2224" s="20"/>
      <c r="N2224" s="126"/>
      <c r="O2224" s="126"/>
      <c r="P2224" s="126"/>
      <c r="Q2224" s="171"/>
      <c r="R2224" s="172"/>
      <c r="S2224" s="172"/>
      <c r="AE2224" s="15"/>
      <c r="AF2224" s="15"/>
      <c r="AG2224" s="15"/>
      <c r="AH2224" s="15"/>
      <c r="AI2224" s="15"/>
      <c r="AJ2224" s="15"/>
      <c r="AK2224" s="15"/>
      <c r="AL2224" s="211"/>
      <c r="AM2224" s="209"/>
      <c r="AN2224" s="209"/>
    </row>
    <row r="2225" s="100" customFormat="1" spans="3:40">
      <c r="C2225" s="136"/>
      <c r="D2225" s="136"/>
      <c r="F2225" s="15"/>
      <c r="G2225" s="138"/>
      <c r="H2225" s="138"/>
      <c r="I2225" s="126"/>
      <c r="J2225" s="15"/>
      <c r="K2225" s="15"/>
      <c r="L2225" s="20"/>
      <c r="M2225" s="20"/>
      <c r="N2225" s="126"/>
      <c r="O2225" s="126"/>
      <c r="P2225" s="126"/>
      <c r="Q2225" s="171"/>
      <c r="R2225" s="172"/>
      <c r="S2225" s="172"/>
      <c r="AE2225" s="15"/>
      <c r="AF2225" s="15"/>
      <c r="AG2225" s="15"/>
      <c r="AH2225" s="15"/>
      <c r="AI2225" s="15"/>
      <c r="AJ2225" s="15"/>
      <c r="AK2225" s="15"/>
      <c r="AL2225" s="211"/>
      <c r="AM2225" s="209"/>
      <c r="AN2225" s="209"/>
    </row>
    <row r="2226" s="100" customFormat="1" spans="3:40">
      <c r="C2226" s="136"/>
      <c r="D2226" s="136"/>
      <c r="F2226" s="15"/>
      <c r="G2226" s="138"/>
      <c r="H2226" s="138"/>
      <c r="I2226" s="126"/>
      <c r="J2226" s="15"/>
      <c r="K2226" s="15"/>
      <c r="L2226" s="20"/>
      <c r="M2226" s="20"/>
      <c r="N2226" s="126"/>
      <c r="O2226" s="126"/>
      <c r="P2226" s="126"/>
      <c r="Q2226" s="171"/>
      <c r="R2226" s="172"/>
      <c r="S2226" s="172"/>
      <c r="AE2226" s="15"/>
      <c r="AF2226" s="15"/>
      <c r="AG2226" s="15"/>
      <c r="AH2226" s="15"/>
      <c r="AI2226" s="15"/>
      <c r="AJ2226" s="15"/>
      <c r="AK2226" s="15"/>
      <c r="AL2226" s="211"/>
      <c r="AM2226" s="209"/>
      <c r="AN2226" s="210"/>
    </row>
    <row r="2227" s="100" customFormat="1" spans="3:40">
      <c r="C2227" s="136"/>
      <c r="D2227" s="136"/>
      <c r="F2227" s="15"/>
      <c r="G2227" s="138"/>
      <c r="H2227" s="138"/>
      <c r="I2227" s="126"/>
      <c r="J2227" s="15"/>
      <c r="K2227" s="15"/>
      <c r="L2227" s="20"/>
      <c r="M2227" s="20"/>
      <c r="N2227" s="126"/>
      <c r="O2227" s="126"/>
      <c r="P2227" s="126"/>
      <c r="Q2227" s="171"/>
      <c r="R2227" s="172"/>
      <c r="S2227" s="172"/>
      <c r="AE2227" s="15"/>
      <c r="AF2227" s="15"/>
      <c r="AG2227" s="15"/>
      <c r="AH2227" s="15"/>
      <c r="AI2227" s="15"/>
      <c r="AJ2227" s="15"/>
      <c r="AK2227" s="15"/>
      <c r="AL2227" s="211"/>
      <c r="AM2227" s="209"/>
      <c r="AN2227" s="210"/>
    </row>
    <row r="2228" s="100" customFormat="1" spans="3:40">
      <c r="C2228" s="136"/>
      <c r="D2228" s="136"/>
      <c r="F2228" s="15"/>
      <c r="G2228" s="138"/>
      <c r="H2228" s="138"/>
      <c r="I2228" s="126"/>
      <c r="J2228" s="15"/>
      <c r="K2228" s="15"/>
      <c r="L2228" s="20"/>
      <c r="M2228" s="20"/>
      <c r="N2228" s="126"/>
      <c r="O2228" s="126"/>
      <c r="P2228" s="126"/>
      <c r="Q2228" s="171"/>
      <c r="R2228" s="172"/>
      <c r="S2228" s="172"/>
      <c r="AE2228" s="15"/>
      <c r="AF2228" s="15"/>
      <c r="AG2228" s="15"/>
      <c r="AH2228" s="15"/>
      <c r="AI2228" s="15"/>
      <c r="AJ2228" s="15"/>
      <c r="AK2228" s="15"/>
      <c r="AL2228" s="211"/>
      <c r="AM2228" s="209"/>
      <c r="AN2228" s="210"/>
    </row>
    <row r="2229" s="100" customFormat="1" spans="3:40">
      <c r="C2229" s="136"/>
      <c r="D2229" s="136"/>
      <c r="F2229" s="15"/>
      <c r="G2229" s="138"/>
      <c r="H2229" s="138"/>
      <c r="I2229" s="126"/>
      <c r="J2229" s="15"/>
      <c r="K2229" s="15"/>
      <c r="L2229" s="20"/>
      <c r="M2229" s="20"/>
      <c r="N2229" s="126"/>
      <c r="O2229" s="126"/>
      <c r="P2229" s="126"/>
      <c r="Q2229" s="171"/>
      <c r="R2229" s="172"/>
      <c r="S2229" s="172"/>
      <c r="AE2229" s="15"/>
      <c r="AF2229" s="15"/>
      <c r="AG2229" s="15"/>
      <c r="AH2229" s="15"/>
      <c r="AI2229" s="15"/>
      <c r="AJ2229" s="15"/>
      <c r="AK2229" s="15"/>
      <c r="AL2229" s="211"/>
      <c r="AM2229" s="209"/>
      <c r="AN2229" s="209"/>
    </row>
    <row r="2230" s="100" customFormat="1" spans="3:40">
      <c r="C2230" s="136"/>
      <c r="D2230" s="136"/>
      <c r="F2230" s="15"/>
      <c r="G2230" s="138"/>
      <c r="H2230" s="138"/>
      <c r="I2230" s="126"/>
      <c r="J2230" s="15"/>
      <c r="K2230" s="15"/>
      <c r="L2230" s="20"/>
      <c r="M2230" s="20"/>
      <c r="N2230" s="126"/>
      <c r="O2230" s="126"/>
      <c r="P2230" s="126"/>
      <c r="Q2230" s="171"/>
      <c r="R2230" s="172"/>
      <c r="S2230" s="172"/>
      <c r="AE2230" s="15"/>
      <c r="AF2230" s="15"/>
      <c r="AG2230" s="15"/>
      <c r="AH2230" s="15"/>
      <c r="AI2230" s="15"/>
      <c r="AJ2230" s="15"/>
      <c r="AK2230" s="15"/>
      <c r="AL2230" s="209"/>
      <c r="AM2230" s="209"/>
      <c r="AN2230" s="210"/>
    </row>
    <row r="2231" s="100" customFormat="1" spans="3:40">
      <c r="C2231" s="136"/>
      <c r="D2231" s="136"/>
      <c r="F2231" s="15"/>
      <c r="G2231" s="138"/>
      <c r="H2231" s="138"/>
      <c r="I2231" s="126"/>
      <c r="J2231" s="15"/>
      <c r="K2231" s="15"/>
      <c r="L2231" s="20"/>
      <c r="M2231" s="20"/>
      <c r="N2231" s="126"/>
      <c r="O2231" s="126"/>
      <c r="P2231" s="126"/>
      <c r="Q2231" s="171"/>
      <c r="R2231" s="172"/>
      <c r="S2231" s="172"/>
      <c r="AE2231" s="15"/>
      <c r="AF2231" s="15"/>
      <c r="AG2231" s="15"/>
      <c r="AH2231" s="15"/>
      <c r="AI2231" s="15"/>
      <c r="AJ2231" s="15"/>
      <c r="AK2231" s="15"/>
      <c r="AL2231" s="209"/>
      <c r="AM2231" s="209"/>
      <c r="AN2231" s="210"/>
    </row>
    <row r="2232" s="100" customFormat="1" spans="3:40">
      <c r="C2232" s="136"/>
      <c r="D2232" s="136"/>
      <c r="F2232" s="15"/>
      <c r="G2232" s="138"/>
      <c r="H2232" s="138"/>
      <c r="I2232" s="126"/>
      <c r="J2232" s="15"/>
      <c r="K2232" s="15"/>
      <c r="L2232" s="20"/>
      <c r="M2232" s="20"/>
      <c r="N2232" s="126"/>
      <c r="O2232" s="126"/>
      <c r="P2232" s="126"/>
      <c r="Q2232" s="171"/>
      <c r="R2232" s="172"/>
      <c r="S2232" s="172"/>
      <c r="AE2232" s="15"/>
      <c r="AF2232" s="15"/>
      <c r="AG2232" s="15"/>
      <c r="AH2232" s="15"/>
      <c r="AI2232" s="15"/>
      <c r="AJ2232" s="15"/>
      <c r="AK2232" s="15"/>
      <c r="AL2232" s="209"/>
      <c r="AM2232" s="209"/>
      <c r="AN2232" s="209"/>
    </row>
    <row r="2233" s="100" customFormat="1" spans="3:40">
      <c r="C2233" s="136"/>
      <c r="D2233" s="136"/>
      <c r="F2233" s="15"/>
      <c r="G2233" s="138"/>
      <c r="H2233" s="138"/>
      <c r="I2233" s="126"/>
      <c r="J2233" s="15"/>
      <c r="K2233" s="15"/>
      <c r="L2233" s="20"/>
      <c r="M2233" s="20"/>
      <c r="N2233" s="126"/>
      <c r="O2233" s="126"/>
      <c r="P2233" s="126"/>
      <c r="Q2233" s="171"/>
      <c r="R2233" s="172"/>
      <c r="S2233" s="172"/>
      <c r="AE2233" s="15"/>
      <c r="AF2233" s="15"/>
      <c r="AG2233" s="15"/>
      <c r="AH2233" s="15"/>
      <c r="AI2233" s="15"/>
      <c r="AJ2233" s="15"/>
      <c r="AK2233" s="15"/>
      <c r="AL2233" s="209"/>
      <c r="AM2233" s="209"/>
      <c r="AN2233" s="211"/>
    </row>
    <row r="2234" s="100" customFormat="1" spans="3:40">
      <c r="C2234" s="136"/>
      <c r="D2234" s="136"/>
      <c r="F2234" s="15"/>
      <c r="G2234" s="138"/>
      <c r="H2234" s="138"/>
      <c r="I2234" s="126"/>
      <c r="J2234" s="15"/>
      <c r="K2234" s="15"/>
      <c r="L2234" s="20"/>
      <c r="M2234" s="20"/>
      <c r="N2234" s="126"/>
      <c r="O2234" s="126"/>
      <c r="P2234" s="126"/>
      <c r="Q2234" s="171"/>
      <c r="R2234" s="172"/>
      <c r="S2234" s="172"/>
      <c r="AE2234" s="15"/>
      <c r="AF2234" s="15"/>
      <c r="AG2234" s="15"/>
      <c r="AH2234" s="15"/>
      <c r="AI2234" s="15"/>
      <c r="AJ2234" s="15"/>
      <c r="AK2234" s="15"/>
      <c r="AL2234" s="211"/>
      <c r="AM2234" s="209"/>
      <c r="AN2234" s="209"/>
    </row>
    <row r="2235" s="100" customFormat="1" spans="3:40">
      <c r="C2235" s="136"/>
      <c r="D2235" s="136"/>
      <c r="F2235" s="15"/>
      <c r="G2235" s="138"/>
      <c r="H2235" s="138"/>
      <c r="I2235" s="126"/>
      <c r="J2235" s="15"/>
      <c r="K2235" s="15"/>
      <c r="L2235" s="20"/>
      <c r="M2235" s="20"/>
      <c r="N2235" s="126"/>
      <c r="O2235" s="126"/>
      <c r="P2235" s="126"/>
      <c r="Q2235" s="171"/>
      <c r="R2235" s="172"/>
      <c r="S2235" s="172"/>
      <c r="AE2235" s="15"/>
      <c r="AF2235" s="15"/>
      <c r="AG2235" s="15"/>
      <c r="AH2235" s="15"/>
      <c r="AI2235" s="15"/>
      <c r="AJ2235" s="15"/>
      <c r="AK2235" s="15"/>
      <c r="AL2235" s="211"/>
      <c r="AM2235" s="209"/>
      <c r="AN2235" s="211"/>
    </row>
    <row r="2236" s="100" customFormat="1" spans="3:40">
      <c r="C2236" s="136"/>
      <c r="D2236" s="136"/>
      <c r="F2236" s="15"/>
      <c r="G2236" s="138"/>
      <c r="H2236" s="138"/>
      <c r="I2236" s="126"/>
      <c r="J2236" s="15"/>
      <c r="K2236" s="15"/>
      <c r="L2236" s="20"/>
      <c r="M2236" s="20"/>
      <c r="N2236" s="126"/>
      <c r="O2236" s="126"/>
      <c r="P2236" s="126"/>
      <c r="Q2236" s="171"/>
      <c r="R2236" s="172"/>
      <c r="S2236" s="172"/>
      <c r="AE2236" s="15"/>
      <c r="AF2236" s="15"/>
      <c r="AG2236" s="15"/>
      <c r="AH2236" s="15"/>
      <c r="AI2236" s="15"/>
      <c r="AJ2236" s="15"/>
      <c r="AK2236" s="15"/>
      <c r="AL2236" s="211"/>
      <c r="AM2236" s="209"/>
      <c r="AN2236" s="209"/>
    </row>
    <row r="2237" s="100" customFormat="1" spans="3:40">
      <c r="C2237" s="136"/>
      <c r="D2237" s="136"/>
      <c r="F2237" s="15"/>
      <c r="G2237" s="138"/>
      <c r="H2237" s="138"/>
      <c r="I2237" s="126"/>
      <c r="J2237" s="15"/>
      <c r="K2237" s="15"/>
      <c r="L2237" s="20"/>
      <c r="M2237" s="20"/>
      <c r="N2237" s="126"/>
      <c r="O2237" s="126"/>
      <c r="P2237" s="126"/>
      <c r="Q2237" s="171"/>
      <c r="R2237" s="172"/>
      <c r="S2237" s="172"/>
      <c r="AE2237" s="15"/>
      <c r="AF2237" s="15"/>
      <c r="AG2237" s="15"/>
      <c r="AH2237" s="15"/>
      <c r="AI2237" s="15"/>
      <c r="AJ2237" s="15"/>
      <c r="AK2237" s="15"/>
      <c r="AL2237" s="211"/>
      <c r="AM2237" s="209"/>
      <c r="AN2237" s="210"/>
    </row>
    <row r="2238" s="100" customFormat="1" spans="3:40">
      <c r="C2238" s="136"/>
      <c r="D2238" s="136"/>
      <c r="F2238" s="15"/>
      <c r="G2238" s="138"/>
      <c r="H2238" s="138"/>
      <c r="I2238" s="126"/>
      <c r="J2238" s="15"/>
      <c r="K2238" s="15"/>
      <c r="L2238" s="20"/>
      <c r="M2238" s="20"/>
      <c r="N2238" s="126"/>
      <c r="O2238" s="126"/>
      <c r="P2238" s="126"/>
      <c r="Q2238" s="171"/>
      <c r="R2238" s="172"/>
      <c r="S2238" s="172"/>
      <c r="AE2238" s="15"/>
      <c r="AF2238" s="15"/>
      <c r="AG2238" s="15"/>
      <c r="AH2238" s="15"/>
      <c r="AI2238" s="15"/>
      <c r="AJ2238" s="15"/>
      <c r="AK2238" s="15"/>
      <c r="AL2238" s="211"/>
      <c r="AM2238" s="209"/>
      <c r="AN2238" s="211"/>
    </row>
    <row r="2239" s="100" customFormat="1" spans="3:40">
      <c r="C2239" s="136"/>
      <c r="D2239" s="136"/>
      <c r="F2239" s="15"/>
      <c r="G2239" s="138"/>
      <c r="H2239" s="138"/>
      <c r="I2239" s="126"/>
      <c r="J2239" s="15"/>
      <c r="K2239" s="15"/>
      <c r="L2239" s="20"/>
      <c r="M2239" s="20"/>
      <c r="N2239" s="126"/>
      <c r="O2239" s="126"/>
      <c r="P2239" s="126"/>
      <c r="Q2239" s="171"/>
      <c r="R2239" s="172"/>
      <c r="S2239" s="172"/>
      <c r="AE2239" s="15"/>
      <c r="AF2239" s="15"/>
      <c r="AG2239" s="15"/>
      <c r="AH2239" s="15"/>
      <c r="AI2239" s="15"/>
      <c r="AJ2239" s="15"/>
      <c r="AK2239" s="15"/>
      <c r="AL2239" s="211"/>
      <c r="AM2239" s="209"/>
      <c r="AN2239" s="211"/>
    </row>
    <row r="2240" s="100" customFormat="1" spans="3:40">
      <c r="C2240" s="136"/>
      <c r="D2240" s="136"/>
      <c r="F2240" s="15"/>
      <c r="G2240" s="138"/>
      <c r="H2240" s="138"/>
      <c r="I2240" s="126"/>
      <c r="J2240" s="15"/>
      <c r="K2240" s="15"/>
      <c r="L2240" s="20"/>
      <c r="M2240" s="20"/>
      <c r="N2240" s="126"/>
      <c r="O2240" s="126"/>
      <c r="P2240" s="126"/>
      <c r="Q2240" s="171"/>
      <c r="R2240" s="172"/>
      <c r="S2240" s="172"/>
      <c r="AE2240" s="15"/>
      <c r="AF2240" s="15"/>
      <c r="AG2240" s="15"/>
      <c r="AH2240" s="15"/>
      <c r="AI2240" s="15"/>
      <c r="AJ2240" s="15"/>
      <c r="AK2240" s="15"/>
      <c r="AL2240" s="211"/>
      <c r="AM2240" s="209"/>
      <c r="AN2240" s="209"/>
    </row>
    <row r="2241" s="100" customFormat="1" spans="3:40">
      <c r="C2241" s="136"/>
      <c r="D2241" s="136"/>
      <c r="F2241" s="15"/>
      <c r="G2241" s="138"/>
      <c r="H2241" s="138"/>
      <c r="I2241" s="126"/>
      <c r="J2241" s="15"/>
      <c r="K2241" s="15"/>
      <c r="L2241" s="20"/>
      <c r="M2241" s="20"/>
      <c r="N2241" s="126"/>
      <c r="O2241" s="126"/>
      <c r="P2241" s="126"/>
      <c r="Q2241" s="171"/>
      <c r="R2241" s="172"/>
      <c r="S2241" s="172"/>
      <c r="AE2241" s="15"/>
      <c r="AF2241" s="15"/>
      <c r="AG2241" s="15"/>
      <c r="AH2241" s="15"/>
      <c r="AI2241" s="15"/>
      <c r="AJ2241" s="15"/>
      <c r="AK2241" s="15"/>
      <c r="AL2241" s="211"/>
      <c r="AM2241" s="209"/>
      <c r="AN2241" s="210"/>
    </row>
    <row r="2242" s="100" customFormat="1" spans="3:40">
      <c r="C2242" s="136"/>
      <c r="D2242" s="136"/>
      <c r="F2242" s="15"/>
      <c r="G2242" s="138"/>
      <c r="H2242" s="138"/>
      <c r="I2242" s="126"/>
      <c r="J2242" s="15"/>
      <c r="K2242" s="15"/>
      <c r="L2242" s="20"/>
      <c r="M2242" s="20"/>
      <c r="N2242" s="126"/>
      <c r="O2242" s="126"/>
      <c r="P2242" s="126"/>
      <c r="Q2242" s="171"/>
      <c r="R2242" s="172"/>
      <c r="S2242" s="172"/>
      <c r="AE2242" s="15"/>
      <c r="AF2242" s="15"/>
      <c r="AG2242" s="15"/>
      <c r="AH2242" s="15"/>
      <c r="AI2242" s="15"/>
      <c r="AJ2242" s="15"/>
      <c r="AK2242" s="15"/>
      <c r="AL2242" s="211"/>
      <c r="AM2242" s="211"/>
      <c r="AN2242" s="211"/>
    </row>
    <row r="2243" s="100" customFormat="1" spans="3:40">
      <c r="C2243" s="136"/>
      <c r="D2243" s="136"/>
      <c r="F2243" s="15"/>
      <c r="G2243" s="138"/>
      <c r="H2243" s="138"/>
      <c r="I2243" s="126"/>
      <c r="J2243" s="15"/>
      <c r="K2243" s="15"/>
      <c r="L2243" s="20"/>
      <c r="M2243" s="20"/>
      <c r="N2243" s="126"/>
      <c r="O2243" s="126"/>
      <c r="P2243" s="126"/>
      <c r="Q2243" s="171"/>
      <c r="R2243" s="172"/>
      <c r="S2243" s="172"/>
      <c r="AE2243" s="15"/>
      <c r="AF2243" s="15"/>
      <c r="AG2243" s="15"/>
      <c r="AH2243" s="15"/>
      <c r="AI2243" s="15"/>
      <c r="AJ2243" s="15"/>
      <c r="AK2243" s="15"/>
      <c r="AL2243" s="211"/>
      <c r="AM2243" s="209"/>
      <c r="AN2243" s="15"/>
    </row>
    <row r="2244" s="100" customFormat="1" spans="3:40">
      <c r="C2244" s="136"/>
      <c r="D2244" s="136"/>
      <c r="F2244" s="15"/>
      <c r="G2244" s="138"/>
      <c r="H2244" s="138"/>
      <c r="I2244" s="126"/>
      <c r="J2244" s="15"/>
      <c r="K2244" s="15"/>
      <c r="L2244" s="20"/>
      <c r="M2244" s="20"/>
      <c r="N2244" s="126"/>
      <c r="O2244" s="126"/>
      <c r="P2244" s="126"/>
      <c r="Q2244" s="171"/>
      <c r="R2244" s="172"/>
      <c r="S2244" s="172"/>
      <c r="AE2244" s="15"/>
      <c r="AF2244" s="15"/>
      <c r="AG2244" s="15"/>
      <c r="AH2244" s="15"/>
      <c r="AI2244" s="15"/>
      <c r="AJ2244" s="15"/>
      <c r="AK2244" s="15"/>
      <c r="AL2244" s="211"/>
      <c r="AM2244" s="209"/>
      <c r="AN2244" s="209"/>
    </row>
    <row r="2245" s="100" customFormat="1" spans="3:40">
      <c r="C2245" s="136"/>
      <c r="D2245" s="136"/>
      <c r="F2245" s="15"/>
      <c r="G2245" s="138"/>
      <c r="H2245" s="138"/>
      <c r="I2245" s="126"/>
      <c r="J2245" s="15"/>
      <c r="K2245" s="15"/>
      <c r="L2245" s="20"/>
      <c r="M2245" s="20"/>
      <c r="N2245" s="126"/>
      <c r="O2245" s="126"/>
      <c r="P2245" s="126"/>
      <c r="Q2245" s="171"/>
      <c r="R2245" s="172"/>
      <c r="S2245" s="172"/>
      <c r="AE2245" s="15"/>
      <c r="AF2245" s="15"/>
      <c r="AG2245" s="15"/>
      <c r="AH2245" s="15"/>
      <c r="AI2245" s="15"/>
      <c r="AJ2245" s="15"/>
      <c r="AK2245" s="15"/>
      <c r="AL2245" s="211"/>
      <c r="AM2245" s="209"/>
      <c r="AN2245" s="209"/>
    </row>
    <row r="2246" s="100" customFormat="1" spans="3:40">
      <c r="C2246" s="136"/>
      <c r="D2246" s="136"/>
      <c r="F2246" s="15"/>
      <c r="G2246" s="138"/>
      <c r="H2246" s="138"/>
      <c r="I2246" s="126"/>
      <c r="J2246" s="15"/>
      <c r="K2246" s="15"/>
      <c r="L2246" s="20"/>
      <c r="M2246" s="20"/>
      <c r="N2246" s="126"/>
      <c r="O2246" s="126"/>
      <c r="P2246" s="126"/>
      <c r="Q2246" s="171"/>
      <c r="R2246" s="172"/>
      <c r="S2246" s="172"/>
      <c r="AE2246" s="15"/>
      <c r="AF2246" s="15"/>
      <c r="AG2246" s="15"/>
      <c r="AH2246" s="15"/>
      <c r="AI2246" s="15"/>
      <c r="AJ2246" s="15"/>
      <c r="AK2246" s="15"/>
      <c r="AL2246" s="211"/>
      <c r="AM2246" s="209"/>
      <c r="AN2246" s="15"/>
    </row>
    <row r="2247" s="100" customFormat="1" spans="3:40">
      <c r="C2247" s="136"/>
      <c r="D2247" s="136"/>
      <c r="F2247" s="15"/>
      <c r="G2247" s="138"/>
      <c r="H2247" s="138"/>
      <c r="I2247" s="126"/>
      <c r="J2247" s="15"/>
      <c r="K2247" s="15"/>
      <c r="L2247" s="20"/>
      <c r="M2247" s="20"/>
      <c r="N2247" s="126"/>
      <c r="O2247" s="126"/>
      <c r="P2247" s="126"/>
      <c r="Q2247" s="171"/>
      <c r="R2247" s="172"/>
      <c r="S2247" s="172"/>
      <c r="AE2247" s="15"/>
      <c r="AF2247" s="15"/>
      <c r="AG2247" s="15"/>
      <c r="AH2247" s="15"/>
      <c r="AI2247" s="15"/>
      <c r="AJ2247" s="15"/>
      <c r="AK2247" s="15"/>
      <c r="AL2247" s="211"/>
      <c r="AM2247" s="209"/>
      <c r="AN2247" s="15"/>
    </row>
    <row r="2248" s="100" customFormat="1" spans="3:40">
      <c r="C2248" s="136"/>
      <c r="D2248" s="136"/>
      <c r="F2248" s="15"/>
      <c r="G2248" s="138"/>
      <c r="H2248" s="138"/>
      <c r="I2248" s="126"/>
      <c r="J2248" s="15"/>
      <c r="K2248" s="15"/>
      <c r="L2248" s="20"/>
      <c r="M2248" s="20"/>
      <c r="N2248" s="126"/>
      <c r="O2248" s="126"/>
      <c r="P2248" s="126"/>
      <c r="Q2248" s="171"/>
      <c r="R2248" s="172"/>
      <c r="S2248" s="172"/>
      <c r="AE2248" s="15"/>
      <c r="AF2248" s="15"/>
      <c r="AG2248" s="15"/>
      <c r="AH2248" s="15"/>
      <c r="AI2248" s="15"/>
      <c r="AJ2248" s="15"/>
      <c r="AK2248" s="15"/>
      <c r="AL2248" s="211"/>
      <c r="AM2248" s="209"/>
      <c r="AN2248" s="15"/>
    </row>
    <row r="2249" s="100" customFormat="1" spans="3:40">
      <c r="C2249" s="136"/>
      <c r="D2249" s="136"/>
      <c r="F2249" s="15"/>
      <c r="G2249" s="138"/>
      <c r="H2249" s="138"/>
      <c r="I2249" s="126"/>
      <c r="J2249" s="15"/>
      <c r="K2249" s="15"/>
      <c r="L2249" s="20"/>
      <c r="M2249" s="20"/>
      <c r="N2249" s="126"/>
      <c r="O2249" s="126"/>
      <c r="P2249" s="126"/>
      <c r="Q2249" s="171"/>
      <c r="R2249" s="172"/>
      <c r="S2249" s="172"/>
      <c r="AE2249" s="15"/>
      <c r="AF2249" s="15"/>
      <c r="AG2249" s="15"/>
      <c r="AH2249" s="15"/>
      <c r="AI2249" s="15"/>
      <c r="AJ2249" s="15"/>
      <c r="AK2249" s="15"/>
      <c r="AL2249" s="211"/>
      <c r="AM2249" s="209"/>
      <c r="AN2249" s="15"/>
    </row>
    <row r="2250" s="100" customFormat="1" spans="3:40">
      <c r="C2250" s="136"/>
      <c r="D2250" s="136"/>
      <c r="F2250" s="15"/>
      <c r="G2250" s="138"/>
      <c r="H2250" s="138"/>
      <c r="I2250" s="126"/>
      <c r="J2250" s="15"/>
      <c r="K2250" s="15"/>
      <c r="L2250" s="20"/>
      <c r="M2250" s="20"/>
      <c r="N2250" s="126"/>
      <c r="O2250" s="126"/>
      <c r="P2250" s="126"/>
      <c r="Q2250" s="171"/>
      <c r="R2250" s="172"/>
      <c r="S2250" s="172"/>
      <c r="AE2250" s="15"/>
      <c r="AF2250" s="15"/>
      <c r="AG2250" s="15"/>
      <c r="AH2250" s="15"/>
      <c r="AI2250" s="15"/>
      <c r="AJ2250" s="15"/>
      <c r="AK2250" s="15"/>
      <c r="AL2250" s="211"/>
      <c r="AM2250" s="209"/>
      <c r="AN2250" s="211"/>
    </row>
    <row r="2251" s="100" customFormat="1" spans="3:40">
      <c r="C2251" s="136"/>
      <c r="D2251" s="136"/>
      <c r="F2251" s="15"/>
      <c r="G2251" s="138"/>
      <c r="H2251" s="138"/>
      <c r="I2251" s="126"/>
      <c r="J2251" s="15"/>
      <c r="K2251" s="15"/>
      <c r="L2251" s="20"/>
      <c r="M2251" s="20"/>
      <c r="N2251" s="126"/>
      <c r="O2251" s="126"/>
      <c r="P2251" s="126"/>
      <c r="Q2251" s="171"/>
      <c r="R2251" s="205"/>
      <c r="S2251" s="205"/>
      <c r="AE2251" s="15"/>
      <c r="AF2251" s="15"/>
      <c r="AG2251" s="15"/>
      <c r="AH2251" s="15"/>
      <c r="AI2251" s="15"/>
      <c r="AJ2251" s="15"/>
      <c r="AK2251" s="15"/>
      <c r="AL2251" s="207"/>
      <c r="AM2251" s="207"/>
      <c r="AN2251" s="210"/>
    </row>
    <row r="2252" s="100" customFormat="1" spans="3:40">
      <c r="C2252" s="136"/>
      <c r="D2252" s="136"/>
      <c r="F2252" s="15"/>
      <c r="G2252" s="138"/>
      <c r="H2252" s="138"/>
      <c r="I2252" s="126"/>
      <c r="J2252" s="15"/>
      <c r="K2252" s="15"/>
      <c r="L2252" s="20"/>
      <c r="M2252" s="20"/>
      <c r="N2252" s="126"/>
      <c r="O2252" s="126"/>
      <c r="P2252" s="126"/>
      <c r="Q2252" s="171"/>
      <c r="R2252" s="205"/>
      <c r="S2252" s="205"/>
      <c r="AE2252" s="15"/>
      <c r="AF2252" s="15"/>
      <c r="AG2252" s="15"/>
      <c r="AH2252" s="15"/>
      <c r="AI2252" s="15"/>
      <c r="AJ2252" s="15"/>
      <c r="AK2252" s="213"/>
      <c r="AL2252" s="207"/>
      <c r="AM2252" s="209"/>
      <c r="AN2252" s="211"/>
    </row>
    <row r="2253" s="100" customFormat="1" spans="3:40">
      <c r="C2253" s="136"/>
      <c r="D2253" s="136"/>
      <c r="F2253" s="15"/>
      <c r="G2253" s="138"/>
      <c r="H2253" s="138"/>
      <c r="I2253" s="126"/>
      <c r="J2253" s="15"/>
      <c r="K2253" s="15"/>
      <c r="L2253" s="20"/>
      <c r="M2253" s="20"/>
      <c r="N2253" s="126"/>
      <c r="O2253" s="126"/>
      <c r="P2253" s="126"/>
      <c r="Q2253" s="171"/>
      <c r="R2253" s="205"/>
      <c r="S2253" s="205"/>
      <c r="AE2253" s="15"/>
      <c r="AF2253" s="15"/>
      <c r="AG2253" s="15"/>
      <c r="AH2253" s="15"/>
      <c r="AI2253" s="15"/>
      <c r="AJ2253" s="15"/>
      <c r="AK2253" s="213"/>
      <c r="AL2253" s="207"/>
      <c r="AM2253" s="209"/>
      <c r="AN2253" s="15"/>
    </row>
    <row r="2254" s="100" customFormat="1" spans="3:40">
      <c r="C2254" s="136"/>
      <c r="D2254" s="136"/>
      <c r="F2254" s="15"/>
      <c r="G2254" s="138"/>
      <c r="H2254" s="138"/>
      <c r="I2254" s="126"/>
      <c r="J2254" s="15"/>
      <c r="K2254" s="15"/>
      <c r="L2254" s="20"/>
      <c r="M2254" s="20"/>
      <c r="N2254" s="126"/>
      <c r="O2254" s="126"/>
      <c r="P2254" s="126"/>
      <c r="Q2254" s="171"/>
      <c r="R2254" s="205"/>
      <c r="S2254" s="205"/>
      <c r="AE2254" s="15"/>
      <c r="AF2254" s="15"/>
      <c r="AG2254" s="15"/>
      <c r="AH2254" s="15"/>
      <c r="AI2254" s="15"/>
      <c r="AJ2254" s="15"/>
      <c r="AK2254" s="213"/>
      <c r="AL2254" s="207"/>
      <c r="AM2254" s="209"/>
      <c r="AN2254" s="15"/>
    </row>
    <row r="2255" s="100" customFormat="1" spans="3:40">
      <c r="C2255" s="136"/>
      <c r="D2255" s="136"/>
      <c r="F2255" s="15"/>
      <c r="G2255" s="138"/>
      <c r="H2255" s="138"/>
      <c r="I2255" s="126"/>
      <c r="J2255" s="15"/>
      <c r="K2255" s="15"/>
      <c r="L2255" s="20"/>
      <c r="M2255" s="20"/>
      <c r="N2255" s="126"/>
      <c r="O2255" s="126"/>
      <c r="P2255" s="126"/>
      <c r="Q2255" s="171"/>
      <c r="R2255" s="205"/>
      <c r="S2255" s="205"/>
      <c r="AE2255" s="15"/>
      <c r="AF2255" s="15"/>
      <c r="AG2255" s="15"/>
      <c r="AH2255" s="15"/>
      <c r="AI2255" s="15"/>
      <c r="AJ2255" s="15"/>
      <c r="AK2255" s="213"/>
      <c r="AL2255" s="207"/>
      <c r="AM2255" s="209"/>
      <c r="AN2255" s="15"/>
    </row>
    <row r="2256" s="100" customFormat="1" spans="3:40">
      <c r="C2256" s="136"/>
      <c r="D2256" s="136"/>
      <c r="F2256" s="15"/>
      <c r="G2256" s="138"/>
      <c r="H2256" s="138"/>
      <c r="I2256" s="126"/>
      <c r="J2256" s="15"/>
      <c r="K2256" s="15"/>
      <c r="L2256" s="20"/>
      <c r="M2256" s="20"/>
      <c r="N2256" s="126"/>
      <c r="O2256" s="126"/>
      <c r="P2256" s="126"/>
      <c r="Q2256" s="171"/>
      <c r="R2256" s="203"/>
      <c r="S2256" s="203"/>
      <c r="AE2256" s="15"/>
      <c r="AF2256" s="15"/>
      <c r="AG2256" s="15"/>
      <c r="AH2256" s="15"/>
      <c r="AI2256" s="15"/>
      <c r="AJ2256" s="15"/>
      <c r="AK2256" s="213"/>
      <c r="AL2256" s="207"/>
      <c r="AM2256" s="209"/>
      <c r="AN2256" s="15"/>
    </row>
    <row r="2257" s="100" customFormat="1" spans="3:40">
      <c r="C2257" s="136"/>
      <c r="D2257" s="136"/>
      <c r="F2257" s="15"/>
      <c r="G2257" s="138"/>
      <c r="H2257" s="138"/>
      <c r="I2257" s="126"/>
      <c r="J2257" s="15"/>
      <c r="K2257" s="15"/>
      <c r="L2257" s="20"/>
      <c r="M2257" s="20"/>
      <c r="N2257" s="126"/>
      <c r="O2257" s="126"/>
      <c r="P2257" s="126"/>
      <c r="Q2257" s="171"/>
      <c r="R2257" s="203"/>
      <c r="S2257" s="203"/>
      <c r="AE2257" s="15"/>
      <c r="AF2257" s="15"/>
      <c r="AG2257" s="15"/>
      <c r="AH2257" s="15"/>
      <c r="AI2257" s="15"/>
      <c r="AJ2257" s="15"/>
      <c r="AK2257" s="213"/>
      <c r="AL2257" s="207"/>
      <c r="AM2257" s="209"/>
      <c r="AN2257" s="15"/>
    </row>
    <row r="2258" s="100" customFormat="1" spans="3:40">
      <c r="C2258" s="136"/>
      <c r="D2258" s="136"/>
      <c r="F2258" s="15"/>
      <c r="G2258" s="138"/>
      <c r="H2258" s="138"/>
      <c r="I2258" s="126"/>
      <c r="J2258" s="15"/>
      <c r="K2258" s="15"/>
      <c r="L2258" s="20"/>
      <c r="M2258" s="20"/>
      <c r="N2258" s="126"/>
      <c r="O2258" s="126"/>
      <c r="P2258" s="126"/>
      <c r="Q2258" s="171"/>
      <c r="R2258" s="172"/>
      <c r="S2258" s="205"/>
      <c r="AE2258" s="15"/>
      <c r="AF2258" s="15"/>
      <c r="AG2258" s="15"/>
      <c r="AH2258" s="15"/>
      <c r="AI2258" s="15"/>
      <c r="AJ2258" s="15"/>
      <c r="AK2258" s="213"/>
      <c r="AL2258" s="207"/>
      <c r="AM2258" s="209"/>
      <c r="AN2258" s="15"/>
    </row>
    <row r="2259" s="100" customFormat="1" spans="3:40">
      <c r="C2259" s="136"/>
      <c r="D2259" s="136"/>
      <c r="F2259" s="15"/>
      <c r="G2259" s="138"/>
      <c r="H2259" s="138"/>
      <c r="I2259" s="126"/>
      <c r="J2259" s="15"/>
      <c r="K2259" s="15"/>
      <c r="L2259" s="20"/>
      <c r="M2259" s="20"/>
      <c r="N2259" s="126"/>
      <c r="O2259" s="126"/>
      <c r="P2259" s="126"/>
      <c r="Q2259" s="171"/>
      <c r="R2259" s="172"/>
      <c r="S2259" s="205"/>
      <c r="AE2259" s="15"/>
      <c r="AF2259" s="15"/>
      <c r="AG2259" s="15"/>
      <c r="AH2259" s="15"/>
      <c r="AI2259" s="15"/>
      <c r="AJ2259" s="15"/>
      <c r="AK2259" s="213"/>
      <c r="AL2259" s="207"/>
      <c r="AM2259" s="209"/>
      <c r="AN2259" s="211"/>
    </row>
    <row r="2260" s="100" customFormat="1" spans="3:40">
      <c r="C2260" s="136"/>
      <c r="D2260" s="136"/>
      <c r="F2260" s="15"/>
      <c r="G2260" s="138"/>
      <c r="H2260" s="138"/>
      <c r="I2260" s="126"/>
      <c r="J2260" s="15"/>
      <c r="K2260" s="15"/>
      <c r="L2260" s="20"/>
      <c r="M2260" s="20"/>
      <c r="N2260" s="126"/>
      <c r="O2260" s="126"/>
      <c r="P2260" s="126"/>
      <c r="Q2260" s="171"/>
      <c r="R2260" s="172"/>
      <c r="S2260" s="205"/>
      <c r="AE2260" s="15"/>
      <c r="AF2260" s="15"/>
      <c r="AG2260" s="15"/>
      <c r="AH2260" s="15"/>
      <c r="AI2260" s="15"/>
      <c r="AJ2260" s="15"/>
      <c r="AK2260" s="213"/>
      <c r="AL2260" s="214"/>
      <c r="AM2260" s="209"/>
      <c r="AN2260" s="15"/>
    </row>
    <row r="2261" s="100" customFormat="1" spans="3:40">
      <c r="C2261" s="136"/>
      <c r="D2261" s="136"/>
      <c r="F2261" s="15"/>
      <c r="G2261" s="138"/>
      <c r="H2261" s="138"/>
      <c r="I2261" s="126"/>
      <c r="J2261" s="15"/>
      <c r="K2261" s="15"/>
      <c r="L2261" s="20"/>
      <c r="M2261" s="20"/>
      <c r="N2261" s="126"/>
      <c r="O2261" s="126"/>
      <c r="P2261" s="126"/>
      <c r="Q2261" s="171"/>
      <c r="R2261" s="172"/>
      <c r="S2261" s="205"/>
      <c r="AE2261" s="15"/>
      <c r="AF2261" s="15"/>
      <c r="AG2261" s="15"/>
      <c r="AH2261" s="15"/>
      <c r="AI2261" s="15"/>
      <c r="AJ2261" s="15"/>
      <c r="AK2261" s="213"/>
      <c r="AL2261" s="207"/>
      <c r="AM2261" s="209"/>
      <c r="AN2261" s="15"/>
    </row>
    <row r="2262" s="100" customFormat="1" spans="3:40">
      <c r="C2262" s="136"/>
      <c r="D2262" s="136"/>
      <c r="F2262" s="15"/>
      <c r="G2262" s="138"/>
      <c r="H2262" s="138"/>
      <c r="I2262" s="126"/>
      <c r="J2262" s="15"/>
      <c r="K2262" s="15"/>
      <c r="L2262" s="20"/>
      <c r="M2262" s="20"/>
      <c r="N2262" s="126"/>
      <c r="O2262" s="126"/>
      <c r="P2262" s="126"/>
      <c r="Q2262" s="171"/>
      <c r="R2262" s="172"/>
      <c r="S2262" s="205"/>
      <c r="AE2262" s="15"/>
      <c r="AF2262" s="15"/>
      <c r="AG2262" s="15"/>
      <c r="AH2262" s="15"/>
      <c r="AI2262" s="15"/>
      <c r="AJ2262" s="15"/>
      <c r="AK2262" s="213"/>
      <c r="AL2262" s="207"/>
      <c r="AM2262" s="209"/>
      <c r="AN2262" s="209"/>
    </row>
    <row r="2263" s="100" customFormat="1" spans="3:40">
      <c r="C2263" s="136"/>
      <c r="D2263" s="136"/>
      <c r="F2263" s="15"/>
      <c r="G2263" s="138"/>
      <c r="H2263" s="138"/>
      <c r="I2263" s="126"/>
      <c r="J2263" s="15"/>
      <c r="K2263" s="15"/>
      <c r="L2263" s="20"/>
      <c r="M2263" s="20"/>
      <c r="N2263" s="126"/>
      <c r="O2263" s="126"/>
      <c r="P2263" s="126"/>
      <c r="Q2263" s="171"/>
      <c r="R2263" s="172"/>
      <c r="S2263" s="205"/>
      <c r="AE2263" s="15"/>
      <c r="AF2263" s="15"/>
      <c r="AG2263" s="15"/>
      <c r="AH2263" s="15"/>
      <c r="AI2263" s="15"/>
      <c r="AJ2263" s="15"/>
      <c r="AK2263" s="213"/>
      <c r="AL2263" s="207"/>
      <c r="AM2263" s="209"/>
      <c r="AN2263" s="209"/>
    </row>
    <row r="2264" s="100" customFormat="1" spans="3:40">
      <c r="C2264" s="136"/>
      <c r="D2264" s="136"/>
      <c r="F2264" s="15"/>
      <c r="G2264" s="138"/>
      <c r="H2264" s="138"/>
      <c r="I2264" s="126"/>
      <c r="J2264" s="15"/>
      <c r="K2264" s="15"/>
      <c r="L2264" s="20"/>
      <c r="M2264" s="20"/>
      <c r="N2264" s="126"/>
      <c r="O2264" s="126"/>
      <c r="P2264" s="126"/>
      <c r="Q2264" s="171"/>
      <c r="R2264" s="172"/>
      <c r="S2264" s="205"/>
      <c r="AE2264" s="15"/>
      <c r="AF2264" s="15"/>
      <c r="AG2264" s="15"/>
      <c r="AH2264" s="15"/>
      <c r="AI2264" s="15"/>
      <c r="AJ2264" s="15"/>
      <c r="AK2264" s="213"/>
      <c r="AL2264" s="207"/>
      <c r="AM2264" s="209"/>
      <c r="AN2264" s="15"/>
    </row>
    <row r="2265" s="100" customFormat="1" spans="3:40">
      <c r="C2265" s="136"/>
      <c r="D2265" s="136"/>
      <c r="F2265" s="15"/>
      <c r="G2265" s="138"/>
      <c r="H2265" s="138"/>
      <c r="I2265" s="126"/>
      <c r="J2265" s="15"/>
      <c r="K2265" s="15"/>
      <c r="L2265" s="20"/>
      <c r="M2265" s="20"/>
      <c r="N2265" s="126"/>
      <c r="O2265" s="126"/>
      <c r="P2265" s="126"/>
      <c r="Q2265" s="171"/>
      <c r="R2265" s="172"/>
      <c r="S2265" s="205"/>
      <c r="AE2265" s="15"/>
      <c r="AF2265" s="15"/>
      <c r="AG2265" s="15"/>
      <c r="AH2265" s="15"/>
      <c r="AI2265" s="15"/>
      <c r="AJ2265" s="15"/>
      <c r="AK2265" s="213"/>
      <c r="AL2265" s="207"/>
      <c r="AM2265" s="209"/>
      <c r="AN2265" s="15"/>
    </row>
    <row r="2266" s="100" customFormat="1" spans="3:40">
      <c r="C2266" s="136"/>
      <c r="D2266" s="136"/>
      <c r="F2266" s="15"/>
      <c r="G2266" s="138"/>
      <c r="H2266" s="138"/>
      <c r="I2266" s="126"/>
      <c r="J2266" s="15"/>
      <c r="K2266" s="15"/>
      <c r="L2266" s="20"/>
      <c r="M2266" s="20"/>
      <c r="N2266" s="126"/>
      <c r="O2266" s="126"/>
      <c r="P2266" s="126"/>
      <c r="Q2266" s="171"/>
      <c r="R2266" s="172"/>
      <c r="S2266" s="205"/>
      <c r="AE2266" s="15"/>
      <c r="AF2266" s="15"/>
      <c r="AG2266" s="15"/>
      <c r="AH2266" s="15"/>
      <c r="AI2266" s="15"/>
      <c r="AJ2266" s="15"/>
      <c r="AK2266" s="213"/>
      <c r="AL2266" s="207"/>
      <c r="AM2266" s="209"/>
      <c r="AN2266" s="209"/>
    </row>
    <row r="2267" s="100" customFormat="1" spans="3:40">
      <c r="C2267" s="136"/>
      <c r="D2267" s="136"/>
      <c r="F2267" s="15"/>
      <c r="G2267" s="138"/>
      <c r="H2267" s="138"/>
      <c r="I2267" s="126"/>
      <c r="J2267" s="15"/>
      <c r="K2267" s="15"/>
      <c r="L2267" s="20"/>
      <c r="M2267" s="20"/>
      <c r="N2267" s="126"/>
      <c r="O2267" s="126"/>
      <c r="P2267" s="126"/>
      <c r="Q2267" s="171"/>
      <c r="R2267" s="203"/>
      <c r="S2267" s="203"/>
      <c r="AE2267" s="15"/>
      <c r="AF2267" s="15"/>
      <c r="AG2267" s="15"/>
      <c r="AH2267" s="15"/>
      <c r="AI2267" s="15"/>
      <c r="AJ2267" s="15"/>
      <c r="AK2267" s="213"/>
      <c r="AL2267" s="207"/>
      <c r="AM2267" s="209"/>
      <c r="AN2267" s="209"/>
    </row>
    <row r="2268" s="100" customFormat="1" spans="3:40">
      <c r="C2268" s="136"/>
      <c r="D2268" s="136"/>
      <c r="F2268" s="15"/>
      <c r="G2268" s="138"/>
      <c r="H2268" s="138"/>
      <c r="I2268" s="126"/>
      <c r="J2268" s="15"/>
      <c r="K2268" s="15"/>
      <c r="L2268" s="20"/>
      <c r="M2268" s="20"/>
      <c r="N2268" s="126"/>
      <c r="O2268" s="126"/>
      <c r="P2268" s="126"/>
      <c r="Q2268" s="171"/>
      <c r="R2268" s="172"/>
      <c r="S2268" s="205"/>
      <c r="AE2268" s="15"/>
      <c r="AF2268" s="15"/>
      <c r="AG2268" s="15"/>
      <c r="AH2268" s="15"/>
      <c r="AI2268" s="15"/>
      <c r="AJ2268" s="15"/>
      <c r="AK2268" s="15"/>
      <c r="AL2268" s="207"/>
      <c r="AM2268" s="207"/>
      <c r="AN2268" s="210"/>
    </row>
    <row r="2269" s="100" customFormat="1" spans="3:40">
      <c r="C2269" s="136"/>
      <c r="D2269" s="136"/>
      <c r="F2269" s="15"/>
      <c r="G2269" s="138"/>
      <c r="H2269" s="138"/>
      <c r="I2269" s="126"/>
      <c r="J2269" s="15"/>
      <c r="K2269" s="15"/>
      <c r="L2269" s="20"/>
      <c r="M2269" s="20"/>
      <c r="N2269" s="126"/>
      <c r="O2269" s="126"/>
      <c r="P2269" s="126"/>
      <c r="Q2269" s="171"/>
      <c r="R2269" s="172"/>
      <c r="S2269" s="205"/>
      <c r="AE2269" s="15"/>
      <c r="AF2269" s="15"/>
      <c r="AG2269" s="15"/>
      <c r="AH2269" s="15"/>
      <c r="AI2269" s="15"/>
      <c r="AJ2269" s="15"/>
      <c r="AK2269" s="15"/>
      <c r="AL2269" s="207"/>
      <c r="AM2269" s="207"/>
      <c r="AN2269" s="210"/>
    </row>
    <row r="2270" s="100" customFormat="1" spans="3:40">
      <c r="C2270" s="136"/>
      <c r="D2270" s="136"/>
      <c r="F2270" s="15"/>
      <c r="G2270" s="138"/>
      <c r="H2270" s="138"/>
      <c r="I2270" s="126"/>
      <c r="J2270" s="15"/>
      <c r="K2270" s="15"/>
      <c r="L2270" s="20"/>
      <c r="M2270" s="20"/>
      <c r="N2270" s="126"/>
      <c r="O2270" s="126"/>
      <c r="P2270" s="126"/>
      <c r="Q2270" s="171"/>
      <c r="R2270" s="203"/>
      <c r="S2270" s="203"/>
      <c r="AE2270" s="15"/>
      <c r="AF2270" s="15"/>
      <c r="AG2270" s="15"/>
      <c r="AH2270" s="15"/>
      <c r="AI2270" s="15"/>
      <c r="AJ2270" s="15"/>
      <c r="AK2270" s="213"/>
      <c r="AL2270" s="207"/>
      <c r="AM2270" s="214"/>
      <c r="AN2270" s="210"/>
    </row>
    <row r="2271" s="100" customFormat="1" spans="3:40">
      <c r="C2271" s="136"/>
      <c r="D2271" s="136"/>
      <c r="F2271" s="15"/>
      <c r="G2271" s="138"/>
      <c r="H2271" s="138"/>
      <c r="I2271" s="126"/>
      <c r="J2271" s="15"/>
      <c r="K2271" s="15"/>
      <c r="L2271" s="20"/>
      <c r="M2271" s="20"/>
      <c r="N2271" s="126"/>
      <c r="O2271" s="126"/>
      <c r="P2271" s="126"/>
      <c r="Q2271" s="171"/>
      <c r="R2271" s="203"/>
      <c r="S2271" s="203"/>
      <c r="AE2271" s="15"/>
      <c r="AF2271" s="15"/>
      <c r="AG2271" s="15"/>
      <c r="AH2271" s="15"/>
      <c r="AI2271" s="15"/>
      <c r="AJ2271" s="15"/>
      <c r="AK2271" s="213"/>
      <c r="AL2271" s="207"/>
      <c r="AM2271" s="214"/>
      <c r="AN2271" s="210"/>
    </row>
    <row r="2272" s="100" customFormat="1" spans="3:40">
      <c r="C2272" s="136"/>
      <c r="D2272" s="136"/>
      <c r="F2272" s="15"/>
      <c r="G2272" s="138"/>
      <c r="H2272" s="138"/>
      <c r="I2272" s="126"/>
      <c r="J2272" s="15"/>
      <c r="K2272" s="15"/>
      <c r="L2272" s="20"/>
      <c r="M2272" s="20"/>
      <c r="N2272" s="126"/>
      <c r="O2272" s="126"/>
      <c r="P2272" s="126"/>
      <c r="Q2272" s="171"/>
      <c r="R2272" s="203"/>
      <c r="S2272" s="203"/>
      <c r="AE2272" s="15"/>
      <c r="AF2272" s="15"/>
      <c r="AG2272" s="15"/>
      <c r="AH2272" s="15"/>
      <c r="AI2272" s="15"/>
      <c r="AJ2272" s="15"/>
      <c r="AK2272" s="213"/>
      <c r="AL2272" s="207"/>
      <c r="AM2272" s="209"/>
      <c r="AN2272" s="209"/>
    </row>
    <row r="2273" s="100" customFormat="1" spans="3:40">
      <c r="C2273" s="136"/>
      <c r="D2273" s="136"/>
      <c r="F2273" s="15"/>
      <c r="G2273" s="138"/>
      <c r="H2273" s="138"/>
      <c r="I2273" s="126"/>
      <c r="J2273" s="15"/>
      <c r="K2273" s="15"/>
      <c r="L2273" s="20"/>
      <c r="M2273" s="20"/>
      <c r="N2273" s="126"/>
      <c r="O2273" s="126"/>
      <c r="P2273" s="126"/>
      <c r="Q2273" s="171"/>
      <c r="R2273" s="203"/>
      <c r="S2273" s="203"/>
      <c r="AE2273" s="15"/>
      <c r="AF2273" s="15"/>
      <c r="AG2273" s="15"/>
      <c r="AH2273" s="15"/>
      <c r="AI2273" s="15"/>
      <c r="AJ2273" s="15"/>
      <c r="AK2273" s="213"/>
      <c r="AL2273" s="207"/>
      <c r="AM2273" s="209"/>
      <c r="AN2273" s="210"/>
    </row>
    <row r="2274" s="100" customFormat="1" spans="3:40">
      <c r="C2274" s="136"/>
      <c r="D2274" s="136"/>
      <c r="F2274" s="15"/>
      <c r="G2274" s="138"/>
      <c r="H2274" s="138"/>
      <c r="I2274" s="126"/>
      <c r="J2274" s="15"/>
      <c r="K2274" s="15"/>
      <c r="L2274" s="20"/>
      <c r="M2274" s="20"/>
      <c r="N2274" s="126"/>
      <c r="O2274" s="126"/>
      <c r="P2274" s="126"/>
      <c r="Q2274" s="171"/>
      <c r="R2274" s="203"/>
      <c r="S2274" s="203"/>
      <c r="AE2274" s="15"/>
      <c r="AF2274" s="15"/>
      <c r="AG2274" s="15"/>
      <c r="AH2274" s="15"/>
      <c r="AI2274" s="15"/>
      <c r="AJ2274" s="15"/>
      <c r="AK2274" s="213"/>
      <c r="AL2274" s="207"/>
      <c r="AM2274" s="209"/>
      <c r="AN2274" s="210"/>
    </row>
    <row r="2275" s="100" customFormat="1" spans="3:40">
      <c r="C2275" s="136"/>
      <c r="D2275" s="136"/>
      <c r="F2275" s="15"/>
      <c r="G2275" s="138"/>
      <c r="H2275" s="138"/>
      <c r="I2275" s="126"/>
      <c r="J2275" s="15"/>
      <c r="K2275" s="15"/>
      <c r="L2275" s="20"/>
      <c r="M2275" s="20"/>
      <c r="N2275" s="126"/>
      <c r="O2275" s="126"/>
      <c r="P2275" s="126"/>
      <c r="Q2275" s="171"/>
      <c r="R2275" s="172"/>
      <c r="S2275" s="205"/>
      <c r="AE2275" s="15"/>
      <c r="AF2275" s="15"/>
      <c r="AG2275" s="15"/>
      <c r="AH2275" s="15"/>
      <c r="AI2275" s="15"/>
      <c r="AJ2275" s="15"/>
      <c r="AK2275" s="213"/>
      <c r="AL2275" s="207"/>
      <c r="AM2275" s="209"/>
      <c r="AN2275" s="210"/>
    </row>
    <row r="2276" s="100" customFormat="1" spans="3:40">
      <c r="C2276" s="136"/>
      <c r="D2276" s="136"/>
      <c r="F2276" s="15"/>
      <c r="G2276" s="138"/>
      <c r="H2276" s="138"/>
      <c r="I2276" s="126"/>
      <c r="J2276" s="15"/>
      <c r="K2276" s="15"/>
      <c r="L2276" s="20"/>
      <c r="M2276" s="20"/>
      <c r="N2276" s="126"/>
      <c r="O2276" s="126"/>
      <c r="P2276" s="126"/>
      <c r="Q2276" s="171"/>
      <c r="R2276" s="172"/>
      <c r="S2276" s="205"/>
      <c r="AE2276" s="15"/>
      <c r="AF2276" s="15"/>
      <c r="AG2276" s="15"/>
      <c r="AH2276" s="15"/>
      <c r="AI2276" s="15"/>
      <c r="AJ2276" s="15"/>
      <c r="AK2276" s="15"/>
      <c r="AL2276" s="207"/>
      <c r="AM2276" s="207"/>
      <c r="AN2276" s="210"/>
    </row>
    <row r="2277" s="100" customFormat="1" spans="3:40">
      <c r="C2277" s="136"/>
      <c r="D2277" s="136"/>
      <c r="F2277" s="15"/>
      <c r="G2277" s="138"/>
      <c r="H2277" s="138"/>
      <c r="I2277" s="126"/>
      <c r="J2277" s="15"/>
      <c r="K2277" s="15"/>
      <c r="L2277" s="20"/>
      <c r="M2277" s="20"/>
      <c r="N2277" s="126"/>
      <c r="O2277" s="126"/>
      <c r="P2277" s="126"/>
      <c r="Q2277" s="171"/>
      <c r="R2277" s="172"/>
      <c r="S2277" s="205"/>
      <c r="AE2277" s="15"/>
      <c r="AF2277" s="15"/>
      <c r="AG2277" s="15"/>
      <c r="AH2277" s="15"/>
      <c r="AI2277" s="15"/>
      <c r="AJ2277" s="15"/>
      <c r="AK2277" s="15"/>
      <c r="AL2277" s="207"/>
      <c r="AM2277" s="207"/>
      <c r="AN2277" s="210"/>
    </row>
    <row r="2278" s="100" customFormat="1" spans="3:40">
      <c r="C2278" s="136"/>
      <c r="D2278" s="136"/>
      <c r="F2278" s="15"/>
      <c r="G2278" s="138"/>
      <c r="H2278" s="138"/>
      <c r="I2278" s="126"/>
      <c r="J2278" s="15"/>
      <c r="K2278" s="15"/>
      <c r="L2278" s="20"/>
      <c r="M2278" s="20"/>
      <c r="N2278" s="126"/>
      <c r="O2278" s="126"/>
      <c r="P2278" s="126"/>
      <c r="Q2278" s="171"/>
      <c r="R2278" s="205"/>
      <c r="S2278" s="205"/>
      <c r="AE2278" s="15"/>
      <c r="AF2278" s="15"/>
      <c r="AG2278" s="15"/>
      <c r="AH2278" s="15"/>
      <c r="AI2278" s="15"/>
      <c r="AJ2278" s="15"/>
      <c r="AK2278" s="15"/>
      <c r="AL2278" s="207"/>
      <c r="AM2278" s="207"/>
      <c r="AN2278" s="210"/>
    </row>
    <row r="2279" s="100" customFormat="1" spans="3:40">
      <c r="C2279" s="136"/>
      <c r="D2279" s="136"/>
      <c r="F2279" s="15"/>
      <c r="G2279" s="138"/>
      <c r="H2279" s="138"/>
      <c r="I2279" s="126"/>
      <c r="J2279" s="15"/>
      <c r="K2279" s="15"/>
      <c r="L2279" s="20"/>
      <c r="M2279" s="20"/>
      <c r="N2279" s="126"/>
      <c r="O2279" s="126"/>
      <c r="P2279" s="126"/>
      <c r="Q2279" s="171"/>
      <c r="R2279" s="205"/>
      <c r="S2279" s="205"/>
      <c r="AE2279" s="15"/>
      <c r="AF2279" s="15"/>
      <c r="AG2279" s="15"/>
      <c r="AH2279" s="15"/>
      <c r="AI2279" s="15"/>
      <c r="AJ2279" s="15"/>
      <c r="AK2279" s="15"/>
      <c r="AL2279" s="207"/>
      <c r="AM2279" s="207"/>
      <c r="AN2279" s="210"/>
    </row>
    <row r="2280" s="100" customFormat="1" spans="3:40">
      <c r="C2280" s="136"/>
      <c r="D2280" s="136"/>
      <c r="F2280" s="15"/>
      <c r="G2280" s="138"/>
      <c r="H2280" s="138"/>
      <c r="I2280" s="126"/>
      <c r="J2280" s="15"/>
      <c r="K2280" s="15"/>
      <c r="L2280" s="20"/>
      <c r="M2280" s="20"/>
      <c r="N2280" s="126"/>
      <c r="O2280" s="126"/>
      <c r="P2280" s="126"/>
      <c r="Q2280" s="171"/>
      <c r="R2280" s="215"/>
      <c r="S2280" s="215"/>
      <c r="AE2280" s="15"/>
      <c r="AF2280" s="15"/>
      <c r="AG2280" s="15"/>
      <c r="AH2280" s="15"/>
      <c r="AI2280" s="15"/>
      <c r="AJ2280" s="15"/>
      <c r="AK2280" s="213"/>
      <c r="AL2280" s="207"/>
      <c r="AM2280" s="207"/>
      <c r="AN2280" s="209"/>
    </row>
    <row r="2281" s="100" customFormat="1" spans="3:40">
      <c r="C2281" s="136"/>
      <c r="D2281" s="136"/>
      <c r="F2281" s="15"/>
      <c r="G2281" s="138"/>
      <c r="H2281" s="138"/>
      <c r="I2281" s="126"/>
      <c r="J2281" s="15"/>
      <c r="K2281" s="15"/>
      <c r="L2281" s="20"/>
      <c r="M2281" s="20"/>
      <c r="N2281" s="126"/>
      <c r="O2281" s="126"/>
      <c r="P2281" s="126"/>
      <c r="Q2281" s="171"/>
      <c r="R2281" s="205"/>
      <c r="S2281" s="205"/>
      <c r="AE2281" s="15"/>
      <c r="AF2281" s="15"/>
      <c r="AG2281" s="15"/>
      <c r="AH2281" s="15"/>
      <c r="AI2281" s="15"/>
      <c r="AJ2281" s="15"/>
      <c r="AK2281" s="213"/>
      <c r="AL2281" s="207"/>
      <c r="AM2281" s="209"/>
      <c r="AN2281" s="207"/>
    </row>
    <row r="2282" s="100" customFormat="1" spans="3:40">
      <c r="C2282" s="136"/>
      <c r="D2282" s="136"/>
      <c r="F2282" s="15"/>
      <c r="G2282" s="138"/>
      <c r="H2282" s="138"/>
      <c r="I2282" s="126"/>
      <c r="J2282" s="15"/>
      <c r="K2282" s="15"/>
      <c r="L2282" s="20"/>
      <c r="M2282" s="20"/>
      <c r="N2282" s="126"/>
      <c r="O2282" s="126"/>
      <c r="P2282" s="126"/>
      <c r="Q2282" s="171"/>
      <c r="R2282" s="205"/>
      <c r="S2282" s="205"/>
      <c r="AE2282" s="15"/>
      <c r="AF2282" s="15"/>
      <c r="AG2282" s="15"/>
      <c r="AH2282" s="15"/>
      <c r="AI2282" s="15"/>
      <c r="AJ2282" s="15"/>
      <c r="AK2282" s="15"/>
      <c r="AL2282" s="207"/>
      <c r="AM2282" s="207"/>
      <c r="AN2282" s="210"/>
    </row>
    <row r="2283" s="100" customFormat="1" spans="3:40">
      <c r="C2283" s="136"/>
      <c r="D2283" s="136"/>
      <c r="F2283" s="15"/>
      <c r="G2283" s="138"/>
      <c r="H2283" s="138"/>
      <c r="I2283" s="126"/>
      <c r="J2283" s="15"/>
      <c r="K2283" s="15"/>
      <c r="L2283" s="20"/>
      <c r="M2283" s="20"/>
      <c r="N2283" s="126"/>
      <c r="O2283" s="126"/>
      <c r="P2283" s="126"/>
      <c r="Q2283" s="171"/>
      <c r="R2283" s="205"/>
      <c r="S2283" s="205"/>
      <c r="AE2283" s="15"/>
      <c r="AF2283" s="15"/>
      <c r="AG2283" s="15"/>
      <c r="AH2283" s="15"/>
      <c r="AI2283" s="15"/>
      <c r="AJ2283" s="15"/>
      <c r="AK2283" s="213"/>
      <c r="AL2283" s="207"/>
      <c r="AM2283" s="209"/>
      <c r="AN2283" s="207"/>
    </row>
    <row r="2284" s="100" customFormat="1" spans="3:40">
      <c r="C2284" s="136"/>
      <c r="D2284" s="136"/>
      <c r="F2284" s="15"/>
      <c r="G2284" s="138"/>
      <c r="H2284" s="138"/>
      <c r="I2284" s="126"/>
      <c r="J2284" s="15"/>
      <c r="K2284" s="15"/>
      <c r="L2284" s="20"/>
      <c r="M2284" s="20"/>
      <c r="N2284" s="126"/>
      <c r="O2284" s="126"/>
      <c r="P2284" s="126"/>
      <c r="Q2284" s="171"/>
      <c r="R2284" s="172"/>
      <c r="S2284" s="205"/>
      <c r="AE2284" s="15"/>
      <c r="AF2284" s="15"/>
      <c r="AG2284" s="15"/>
      <c r="AH2284" s="15"/>
      <c r="AI2284" s="15"/>
      <c r="AJ2284" s="15"/>
      <c r="AK2284" s="15"/>
      <c r="AL2284" s="214"/>
      <c r="AM2284" s="209"/>
      <c r="AN2284" s="210"/>
    </row>
    <row r="2285" s="100" customFormat="1" spans="3:40">
      <c r="C2285" s="136"/>
      <c r="D2285" s="136"/>
      <c r="F2285" s="15"/>
      <c r="G2285" s="138"/>
      <c r="H2285" s="138"/>
      <c r="I2285" s="126"/>
      <c r="J2285" s="15"/>
      <c r="K2285" s="15"/>
      <c r="L2285" s="20"/>
      <c r="M2285" s="20"/>
      <c r="N2285" s="126"/>
      <c r="O2285" s="126"/>
      <c r="P2285" s="126"/>
      <c r="Q2285" s="171"/>
      <c r="R2285" s="172"/>
      <c r="S2285" s="205"/>
      <c r="AE2285" s="15"/>
      <c r="AF2285" s="15"/>
      <c r="AG2285" s="15"/>
      <c r="AH2285" s="15"/>
      <c r="AI2285" s="15"/>
      <c r="AJ2285" s="15"/>
      <c r="AK2285" s="15"/>
      <c r="AL2285" s="214"/>
      <c r="AM2285" s="209"/>
      <c r="AN2285" s="210"/>
    </row>
    <row r="2286" s="100" customFormat="1" spans="3:40">
      <c r="C2286" s="136"/>
      <c r="D2286" s="136"/>
      <c r="F2286" s="15"/>
      <c r="G2286" s="138"/>
      <c r="H2286" s="138"/>
      <c r="I2286" s="126"/>
      <c r="J2286" s="15"/>
      <c r="K2286" s="15"/>
      <c r="L2286" s="20"/>
      <c r="M2286" s="20"/>
      <c r="N2286" s="126"/>
      <c r="O2286" s="126"/>
      <c r="P2286" s="126"/>
      <c r="Q2286" s="171"/>
      <c r="R2286" s="172"/>
      <c r="S2286" s="205"/>
      <c r="AE2286" s="15"/>
      <c r="AF2286" s="15"/>
      <c r="AG2286" s="15"/>
      <c r="AH2286" s="15"/>
      <c r="AI2286" s="15"/>
      <c r="AJ2286" s="15"/>
      <c r="AK2286" s="15"/>
      <c r="AL2286" s="214"/>
      <c r="AM2286" s="209"/>
      <c r="AN2286" s="210"/>
    </row>
    <row r="2287" s="100" customFormat="1" spans="3:40">
      <c r="C2287" s="136"/>
      <c r="D2287" s="136"/>
      <c r="F2287" s="15"/>
      <c r="G2287" s="138"/>
      <c r="H2287" s="138"/>
      <c r="I2287" s="126"/>
      <c r="J2287" s="15"/>
      <c r="K2287" s="15"/>
      <c r="L2287" s="20"/>
      <c r="M2287" s="20"/>
      <c r="N2287" s="126"/>
      <c r="O2287" s="126"/>
      <c r="P2287" s="126"/>
      <c r="Q2287" s="171"/>
      <c r="R2287" s="172"/>
      <c r="S2287" s="205"/>
      <c r="AE2287" s="15"/>
      <c r="AF2287" s="15"/>
      <c r="AG2287" s="15"/>
      <c r="AH2287" s="15"/>
      <c r="AI2287" s="15"/>
      <c r="AJ2287" s="15"/>
      <c r="AK2287" s="15"/>
      <c r="AL2287" s="207"/>
      <c r="AM2287" s="207"/>
      <c r="AN2287" s="210"/>
    </row>
    <row r="2288" s="100" customFormat="1" spans="3:40">
      <c r="C2288" s="136"/>
      <c r="D2288" s="136"/>
      <c r="F2288" s="15"/>
      <c r="G2288" s="138"/>
      <c r="H2288" s="138"/>
      <c r="I2288" s="126"/>
      <c r="J2288" s="15"/>
      <c r="K2288" s="15"/>
      <c r="L2288" s="20"/>
      <c r="M2288" s="20"/>
      <c r="N2288" s="126"/>
      <c r="O2288" s="126"/>
      <c r="P2288" s="126"/>
      <c r="Q2288" s="171"/>
      <c r="R2288" s="172"/>
      <c r="S2288" s="205"/>
      <c r="AE2288" s="15"/>
      <c r="AF2288" s="15"/>
      <c r="AG2288" s="15"/>
      <c r="AH2288" s="15"/>
      <c r="AI2288" s="15"/>
      <c r="AJ2288" s="15"/>
      <c r="AK2288" s="15"/>
      <c r="AL2288" s="214"/>
      <c r="AM2288" s="209"/>
      <c r="AN2288" s="210"/>
    </row>
    <row r="2289" s="100" customFormat="1" spans="3:40">
      <c r="C2289" s="136"/>
      <c r="D2289" s="136"/>
      <c r="F2289" s="15"/>
      <c r="G2289" s="138"/>
      <c r="H2289" s="138"/>
      <c r="I2289" s="126"/>
      <c r="J2289" s="15"/>
      <c r="K2289" s="15"/>
      <c r="L2289" s="20"/>
      <c r="M2289" s="20"/>
      <c r="N2289" s="126"/>
      <c r="O2289" s="126"/>
      <c r="P2289" s="126"/>
      <c r="Q2289" s="171"/>
      <c r="R2289" s="172"/>
      <c r="S2289" s="205"/>
      <c r="AE2289" s="15"/>
      <c r="AF2289" s="15"/>
      <c r="AG2289" s="15"/>
      <c r="AH2289" s="15"/>
      <c r="AI2289" s="15"/>
      <c r="AJ2289" s="15"/>
      <c r="AK2289" s="15"/>
      <c r="AL2289" s="207"/>
      <c r="AM2289" s="207"/>
      <c r="AN2289" s="210"/>
    </row>
    <row r="2290" s="100" customFormat="1" spans="3:40">
      <c r="C2290" s="136"/>
      <c r="D2290" s="136"/>
      <c r="F2290" s="15"/>
      <c r="G2290" s="138"/>
      <c r="H2290" s="138"/>
      <c r="I2290" s="126"/>
      <c r="J2290" s="15"/>
      <c r="K2290" s="15"/>
      <c r="L2290" s="20"/>
      <c r="M2290" s="20"/>
      <c r="N2290" s="126"/>
      <c r="O2290" s="126"/>
      <c r="P2290" s="126"/>
      <c r="Q2290" s="171"/>
      <c r="R2290" s="203"/>
      <c r="S2290" s="203"/>
      <c r="AE2290" s="15"/>
      <c r="AF2290" s="15"/>
      <c r="AG2290" s="15"/>
      <c r="AH2290" s="15"/>
      <c r="AI2290" s="15"/>
      <c r="AJ2290" s="15"/>
      <c r="AK2290" s="213"/>
      <c r="AL2290" s="207"/>
      <c r="AM2290" s="207"/>
      <c r="AN2290" s="209"/>
    </row>
    <row r="2291" s="100" customFormat="1" spans="3:40">
      <c r="C2291" s="136"/>
      <c r="D2291" s="136"/>
      <c r="F2291" s="15"/>
      <c r="G2291" s="138"/>
      <c r="H2291" s="138"/>
      <c r="I2291" s="126"/>
      <c r="J2291" s="15"/>
      <c r="K2291" s="15"/>
      <c r="L2291" s="20"/>
      <c r="M2291" s="20"/>
      <c r="N2291" s="126"/>
      <c r="O2291" s="126"/>
      <c r="P2291" s="126"/>
      <c r="Q2291" s="171"/>
      <c r="R2291" s="203"/>
      <c r="S2291" s="203"/>
      <c r="AE2291" s="15"/>
      <c r="AF2291" s="15"/>
      <c r="AG2291" s="15"/>
      <c r="AH2291" s="15"/>
      <c r="AI2291" s="15"/>
      <c r="AJ2291" s="15"/>
      <c r="AK2291" s="213"/>
      <c r="AL2291" s="207"/>
      <c r="AM2291" s="207"/>
      <c r="AN2291" s="207"/>
    </row>
    <row r="2292" s="100" customFormat="1" spans="3:40">
      <c r="C2292" s="136"/>
      <c r="D2292" s="136"/>
      <c r="F2292" s="15"/>
      <c r="G2292" s="138"/>
      <c r="H2292" s="138"/>
      <c r="I2292" s="126"/>
      <c r="J2292" s="15"/>
      <c r="K2292" s="15"/>
      <c r="L2292" s="20"/>
      <c r="M2292" s="20"/>
      <c r="N2292" s="126"/>
      <c r="O2292" s="126"/>
      <c r="P2292" s="126"/>
      <c r="Q2292" s="171"/>
      <c r="R2292" s="172"/>
      <c r="S2292" s="205"/>
      <c r="AE2292" s="15"/>
      <c r="AF2292" s="15"/>
      <c r="AG2292" s="15"/>
      <c r="AH2292" s="15"/>
      <c r="AI2292" s="15"/>
      <c r="AJ2292" s="15"/>
      <c r="AK2292" s="15"/>
      <c r="AL2292" s="207"/>
      <c r="AM2292" s="207"/>
      <c r="AN2292" s="210"/>
    </row>
    <row r="2293" s="100" customFormat="1" spans="3:40">
      <c r="C2293" s="136"/>
      <c r="D2293" s="136"/>
      <c r="F2293" s="15"/>
      <c r="G2293" s="138"/>
      <c r="H2293" s="138"/>
      <c r="I2293" s="126"/>
      <c r="J2293" s="15"/>
      <c r="K2293" s="15"/>
      <c r="L2293" s="20"/>
      <c r="M2293" s="20"/>
      <c r="N2293" s="126"/>
      <c r="O2293" s="126"/>
      <c r="P2293" s="126"/>
      <c r="Q2293" s="171"/>
      <c r="R2293" s="203"/>
      <c r="S2293" s="203"/>
      <c r="AE2293" s="15"/>
      <c r="AF2293" s="15"/>
      <c r="AG2293" s="15"/>
      <c r="AH2293" s="15"/>
      <c r="AI2293" s="15"/>
      <c r="AJ2293" s="15"/>
      <c r="AK2293" s="213"/>
      <c r="AL2293" s="207"/>
      <c r="AM2293" s="207"/>
      <c r="AN2293" s="207"/>
    </row>
    <row r="2294" s="100" customFormat="1" spans="3:40">
      <c r="C2294" s="136"/>
      <c r="D2294" s="136"/>
      <c r="F2294" s="15"/>
      <c r="G2294" s="138"/>
      <c r="H2294" s="138"/>
      <c r="I2294" s="126"/>
      <c r="J2294" s="15"/>
      <c r="K2294" s="15"/>
      <c r="L2294" s="20"/>
      <c r="M2294" s="20"/>
      <c r="N2294" s="126"/>
      <c r="O2294" s="126"/>
      <c r="P2294" s="126"/>
      <c r="Q2294" s="171"/>
      <c r="R2294" s="172"/>
      <c r="S2294" s="203"/>
      <c r="AE2294" s="15"/>
      <c r="AF2294" s="15"/>
      <c r="AG2294" s="15"/>
      <c r="AH2294" s="15"/>
      <c r="AI2294" s="15"/>
      <c r="AJ2294" s="15"/>
      <c r="AK2294" s="15"/>
      <c r="AL2294" s="207"/>
      <c r="AM2294" s="209"/>
      <c r="AN2294" s="210"/>
    </row>
    <row r="2295" s="100" customFormat="1" spans="3:40">
      <c r="C2295" s="136"/>
      <c r="D2295" s="136"/>
      <c r="F2295" s="15"/>
      <c r="G2295" s="138"/>
      <c r="H2295" s="138"/>
      <c r="I2295" s="126"/>
      <c r="J2295" s="15"/>
      <c r="K2295" s="15"/>
      <c r="L2295" s="20"/>
      <c r="M2295" s="20"/>
      <c r="N2295" s="126"/>
      <c r="O2295" s="126"/>
      <c r="P2295" s="126"/>
      <c r="Q2295" s="171"/>
      <c r="R2295" s="172"/>
      <c r="S2295" s="205"/>
      <c r="AE2295" s="15"/>
      <c r="AF2295" s="15"/>
      <c r="AG2295" s="15"/>
      <c r="AH2295" s="15"/>
      <c r="AI2295" s="15"/>
      <c r="AJ2295" s="15"/>
      <c r="AK2295" s="15"/>
      <c r="AL2295" s="207"/>
      <c r="AM2295" s="207"/>
      <c r="AN2295" s="210"/>
    </row>
    <row r="2296" s="100" customFormat="1" spans="3:40">
      <c r="C2296" s="136"/>
      <c r="D2296" s="136"/>
      <c r="F2296" s="15"/>
      <c r="G2296" s="138"/>
      <c r="H2296" s="138"/>
      <c r="I2296" s="126"/>
      <c r="J2296" s="15"/>
      <c r="K2296" s="15"/>
      <c r="L2296" s="20"/>
      <c r="M2296" s="20"/>
      <c r="N2296" s="126"/>
      <c r="O2296" s="126"/>
      <c r="P2296" s="126"/>
      <c r="Q2296" s="171"/>
      <c r="R2296" s="172"/>
      <c r="S2296" s="203"/>
      <c r="AE2296" s="15"/>
      <c r="AF2296" s="15"/>
      <c r="AG2296" s="15"/>
      <c r="AH2296" s="15"/>
      <c r="AI2296" s="15"/>
      <c r="AJ2296" s="15"/>
      <c r="AK2296" s="15"/>
      <c r="AL2296" s="207"/>
      <c r="AM2296" s="209"/>
      <c r="AN2296" s="210"/>
    </row>
    <row r="2297" s="100" customFormat="1" spans="3:40">
      <c r="C2297" s="136"/>
      <c r="D2297" s="136"/>
      <c r="F2297" s="15"/>
      <c r="G2297" s="138"/>
      <c r="H2297" s="138"/>
      <c r="I2297" s="126"/>
      <c r="J2297" s="15"/>
      <c r="K2297" s="15"/>
      <c r="L2297" s="20"/>
      <c r="M2297" s="20"/>
      <c r="N2297" s="126"/>
      <c r="O2297" s="126"/>
      <c r="P2297" s="126"/>
      <c r="Q2297" s="171"/>
      <c r="R2297" s="203"/>
      <c r="S2297" s="203"/>
      <c r="AE2297" s="15"/>
      <c r="AF2297" s="15"/>
      <c r="AG2297" s="15"/>
      <c r="AH2297" s="15"/>
      <c r="AI2297" s="15"/>
      <c r="AJ2297" s="15"/>
      <c r="AK2297" s="213"/>
      <c r="AL2297" s="207"/>
      <c r="AM2297" s="207"/>
      <c r="AN2297" s="207"/>
    </row>
    <row r="2298" s="100" customFormat="1" spans="3:40">
      <c r="C2298" s="136"/>
      <c r="D2298" s="136"/>
      <c r="F2298" s="15"/>
      <c r="G2298" s="138"/>
      <c r="H2298" s="138"/>
      <c r="I2298" s="126"/>
      <c r="J2298" s="15"/>
      <c r="K2298" s="15"/>
      <c r="L2298" s="20"/>
      <c r="M2298" s="20"/>
      <c r="N2298" s="126"/>
      <c r="O2298" s="126"/>
      <c r="P2298" s="126"/>
      <c r="Q2298" s="171"/>
      <c r="R2298" s="203"/>
      <c r="S2298" s="203"/>
      <c r="AE2298" s="15"/>
      <c r="AF2298" s="15"/>
      <c r="AG2298" s="15"/>
      <c r="AH2298" s="15"/>
      <c r="AI2298" s="15"/>
      <c r="AJ2298" s="15"/>
      <c r="AK2298" s="213"/>
      <c r="AL2298" s="207"/>
      <c r="AM2298" s="207"/>
      <c r="AN2298" s="207"/>
    </row>
    <row r="2299" s="100" customFormat="1" spans="3:40">
      <c r="C2299" s="136"/>
      <c r="D2299" s="136"/>
      <c r="F2299" s="15"/>
      <c r="G2299" s="138"/>
      <c r="H2299" s="138"/>
      <c r="I2299" s="126"/>
      <c r="J2299" s="15"/>
      <c r="K2299" s="15"/>
      <c r="L2299" s="20"/>
      <c r="M2299" s="20"/>
      <c r="N2299" s="126"/>
      <c r="O2299" s="126"/>
      <c r="P2299" s="126"/>
      <c r="Q2299" s="171"/>
      <c r="R2299" s="172"/>
      <c r="S2299" s="203"/>
      <c r="AE2299" s="15"/>
      <c r="AF2299" s="15"/>
      <c r="AG2299" s="15"/>
      <c r="AH2299" s="15"/>
      <c r="AI2299" s="15"/>
      <c r="AJ2299" s="15"/>
      <c r="AK2299" s="15"/>
      <c r="AL2299" s="207"/>
      <c r="AM2299" s="209"/>
      <c r="AN2299" s="210"/>
    </row>
    <row r="2300" s="100" customFormat="1" spans="3:40">
      <c r="C2300" s="136"/>
      <c r="D2300" s="136"/>
      <c r="F2300" s="15"/>
      <c r="G2300" s="138"/>
      <c r="H2300" s="138"/>
      <c r="I2300" s="126"/>
      <c r="J2300" s="15"/>
      <c r="K2300" s="15"/>
      <c r="L2300" s="20"/>
      <c r="M2300" s="20"/>
      <c r="N2300" s="126"/>
      <c r="O2300" s="126"/>
      <c r="P2300" s="126"/>
      <c r="Q2300" s="171"/>
      <c r="R2300" s="203"/>
      <c r="S2300" s="203"/>
      <c r="AE2300" s="15"/>
      <c r="AF2300" s="15"/>
      <c r="AG2300" s="15"/>
      <c r="AH2300" s="15"/>
      <c r="AI2300" s="15"/>
      <c r="AJ2300" s="15"/>
      <c r="AK2300" s="213"/>
      <c r="AL2300" s="207"/>
      <c r="AM2300" s="207"/>
      <c r="AN2300" s="209"/>
    </row>
    <row r="2301" s="100" customFormat="1" spans="3:40">
      <c r="C2301" s="136"/>
      <c r="D2301" s="136"/>
      <c r="F2301" s="15"/>
      <c r="G2301" s="138"/>
      <c r="H2301" s="138"/>
      <c r="I2301" s="126"/>
      <c r="J2301" s="15"/>
      <c r="K2301" s="15"/>
      <c r="L2301" s="20"/>
      <c r="M2301" s="20"/>
      <c r="N2301" s="126"/>
      <c r="O2301" s="126"/>
      <c r="P2301" s="126"/>
      <c r="Q2301" s="171"/>
      <c r="R2301" s="172"/>
      <c r="S2301" s="203"/>
      <c r="AE2301" s="15"/>
      <c r="AF2301" s="15"/>
      <c r="AG2301" s="15"/>
      <c r="AH2301" s="15"/>
      <c r="AI2301" s="15"/>
      <c r="AJ2301" s="15"/>
      <c r="AK2301" s="15"/>
      <c r="AL2301" s="207"/>
      <c r="AM2301" s="209"/>
      <c r="AN2301" s="210"/>
    </row>
    <row r="2302" s="100" customFormat="1" spans="3:40">
      <c r="C2302" s="136"/>
      <c r="D2302" s="136"/>
      <c r="F2302" s="15"/>
      <c r="G2302" s="138"/>
      <c r="H2302" s="138"/>
      <c r="I2302" s="126"/>
      <c r="J2302" s="15"/>
      <c r="K2302" s="15"/>
      <c r="L2302" s="20"/>
      <c r="M2302" s="20"/>
      <c r="N2302" s="126"/>
      <c r="O2302" s="126"/>
      <c r="P2302" s="126"/>
      <c r="Q2302" s="171"/>
      <c r="R2302" s="172"/>
      <c r="S2302" s="203"/>
      <c r="AE2302" s="15"/>
      <c r="AF2302" s="15"/>
      <c r="AG2302" s="15"/>
      <c r="AH2302" s="15"/>
      <c r="AI2302" s="15"/>
      <c r="AJ2302" s="15"/>
      <c r="AK2302" s="15"/>
      <c r="AL2302" s="207"/>
      <c r="AM2302" s="207"/>
      <c r="AN2302" s="210"/>
    </row>
    <row r="2303" s="100" customFormat="1" spans="3:40">
      <c r="C2303" s="136"/>
      <c r="D2303" s="136"/>
      <c r="F2303" s="15"/>
      <c r="G2303" s="138"/>
      <c r="H2303" s="138"/>
      <c r="I2303" s="126"/>
      <c r="J2303" s="15"/>
      <c r="K2303" s="15"/>
      <c r="L2303" s="20"/>
      <c r="M2303" s="20"/>
      <c r="N2303" s="126"/>
      <c r="O2303" s="126"/>
      <c r="P2303" s="126"/>
      <c r="Q2303" s="171"/>
      <c r="R2303" s="172"/>
      <c r="S2303" s="172"/>
      <c r="AE2303" s="15"/>
      <c r="AF2303" s="15"/>
      <c r="AG2303" s="15"/>
      <c r="AH2303" s="15"/>
      <c r="AI2303" s="15"/>
      <c r="AJ2303" s="15"/>
      <c r="AK2303" s="213"/>
      <c r="AL2303" s="207"/>
      <c r="AM2303" s="209"/>
      <c r="AN2303" s="15"/>
    </row>
    <row r="2304" s="100" customFormat="1" spans="3:40">
      <c r="C2304" s="136"/>
      <c r="D2304" s="136"/>
      <c r="F2304" s="15"/>
      <c r="G2304" s="138"/>
      <c r="H2304" s="138"/>
      <c r="I2304" s="126"/>
      <c r="J2304" s="15"/>
      <c r="K2304" s="15"/>
      <c r="L2304" s="20"/>
      <c r="M2304" s="20"/>
      <c r="N2304" s="126"/>
      <c r="O2304" s="126"/>
      <c r="P2304" s="126"/>
      <c r="Q2304" s="171"/>
      <c r="R2304" s="172"/>
      <c r="S2304" s="203"/>
      <c r="AE2304" s="15"/>
      <c r="AF2304" s="15"/>
      <c r="AG2304" s="15"/>
      <c r="AH2304" s="15"/>
      <c r="AI2304" s="15"/>
      <c r="AJ2304" s="15"/>
      <c r="AK2304" s="15"/>
      <c r="AL2304" s="15"/>
      <c r="AM2304" s="209"/>
      <c r="AN2304" s="210"/>
    </row>
    <row r="2305" s="100" customFormat="1" spans="3:40">
      <c r="C2305" s="136"/>
      <c r="D2305" s="136"/>
      <c r="F2305" s="15"/>
      <c r="G2305" s="138"/>
      <c r="H2305" s="138"/>
      <c r="I2305" s="126"/>
      <c r="J2305" s="15"/>
      <c r="K2305" s="15"/>
      <c r="L2305" s="20"/>
      <c r="M2305" s="20"/>
      <c r="N2305" s="126"/>
      <c r="O2305" s="126"/>
      <c r="P2305" s="126"/>
      <c r="Q2305" s="171"/>
      <c r="R2305" s="172"/>
      <c r="S2305" s="203"/>
      <c r="AE2305" s="15"/>
      <c r="AF2305" s="15"/>
      <c r="AG2305" s="15"/>
      <c r="AH2305" s="15"/>
      <c r="AI2305" s="15"/>
      <c r="AJ2305" s="15"/>
      <c r="AK2305" s="213"/>
      <c r="AL2305" s="15"/>
      <c r="AM2305" s="209"/>
      <c r="AN2305" s="209"/>
    </row>
    <row r="2306" s="100" customFormat="1" spans="3:40">
      <c r="C2306" s="136"/>
      <c r="D2306" s="136"/>
      <c r="F2306" s="15"/>
      <c r="G2306" s="138"/>
      <c r="H2306" s="138"/>
      <c r="I2306" s="126"/>
      <c r="J2306" s="15"/>
      <c r="K2306" s="15"/>
      <c r="L2306" s="20"/>
      <c r="M2306" s="20"/>
      <c r="N2306" s="126"/>
      <c r="O2306" s="126"/>
      <c r="P2306" s="126"/>
      <c r="Q2306" s="171"/>
      <c r="R2306" s="203"/>
      <c r="S2306" s="203"/>
      <c r="AE2306" s="15"/>
      <c r="AF2306" s="15"/>
      <c r="AG2306" s="15"/>
      <c r="AH2306" s="15"/>
      <c r="AI2306" s="15"/>
      <c r="AJ2306" s="15"/>
      <c r="AK2306" s="213"/>
      <c r="AL2306" s="15"/>
      <c r="AM2306" s="209"/>
      <c r="AN2306" s="209"/>
    </row>
    <row r="2307" s="100" customFormat="1" spans="3:40">
      <c r="C2307" s="136"/>
      <c r="D2307" s="136"/>
      <c r="F2307" s="15"/>
      <c r="G2307" s="138"/>
      <c r="H2307" s="138"/>
      <c r="I2307" s="126"/>
      <c r="J2307" s="15"/>
      <c r="K2307" s="15"/>
      <c r="L2307" s="20"/>
      <c r="M2307" s="20"/>
      <c r="N2307" s="126"/>
      <c r="O2307" s="126"/>
      <c r="P2307" s="126"/>
      <c r="Q2307" s="171"/>
      <c r="R2307" s="203"/>
      <c r="S2307" s="203"/>
      <c r="AE2307" s="15"/>
      <c r="AF2307" s="15"/>
      <c r="AG2307" s="15"/>
      <c r="AH2307" s="15"/>
      <c r="AI2307" s="15"/>
      <c r="AJ2307" s="15"/>
      <c r="AK2307" s="213"/>
      <c r="AL2307" s="15"/>
      <c r="AM2307" s="209"/>
      <c r="AN2307" s="209"/>
    </row>
    <row r="2308" s="100" customFormat="1" spans="3:40">
      <c r="C2308" s="136"/>
      <c r="D2308" s="136"/>
      <c r="F2308" s="15"/>
      <c r="G2308" s="138"/>
      <c r="H2308" s="138"/>
      <c r="I2308" s="126"/>
      <c r="J2308" s="15"/>
      <c r="K2308" s="15"/>
      <c r="L2308" s="20"/>
      <c r="M2308" s="20"/>
      <c r="N2308" s="126"/>
      <c r="O2308" s="126"/>
      <c r="P2308" s="126"/>
      <c r="Q2308" s="171"/>
      <c r="R2308" s="203"/>
      <c r="S2308" s="203"/>
      <c r="AE2308" s="15"/>
      <c r="AF2308" s="15"/>
      <c r="AG2308" s="15"/>
      <c r="AH2308" s="15"/>
      <c r="AI2308" s="15"/>
      <c r="AJ2308" s="15"/>
      <c r="AK2308" s="213"/>
      <c r="AL2308" s="15"/>
      <c r="AM2308" s="209"/>
      <c r="AN2308" s="209"/>
    </row>
    <row r="2309" s="100" customFormat="1" spans="3:40">
      <c r="C2309" s="136"/>
      <c r="D2309" s="136"/>
      <c r="F2309" s="15"/>
      <c r="G2309" s="138"/>
      <c r="H2309" s="138"/>
      <c r="I2309" s="126"/>
      <c r="J2309" s="15"/>
      <c r="K2309" s="15"/>
      <c r="L2309" s="20"/>
      <c r="M2309" s="20"/>
      <c r="N2309" s="126"/>
      <c r="O2309" s="126"/>
      <c r="P2309" s="126"/>
      <c r="Q2309" s="171"/>
      <c r="R2309" s="203"/>
      <c r="S2309" s="203"/>
      <c r="AE2309" s="15"/>
      <c r="AF2309" s="15"/>
      <c r="AG2309" s="15"/>
      <c r="AH2309" s="15"/>
      <c r="AI2309" s="15"/>
      <c r="AJ2309" s="15"/>
      <c r="AK2309" s="213"/>
      <c r="AL2309" s="15"/>
      <c r="AM2309" s="209"/>
      <c r="AN2309" s="209"/>
    </row>
    <row r="2310" s="100" customFormat="1" spans="3:40">
      <c r="C2310" s="136"/>
      <c r="D2310" s="136"/>
      <c r="F2310" s="15"/>
      <c r="G2310" s="138"/>
      <c r="H2310" s="138"/>
      <c r="I2310" s="126"/>
      <c r="J2310" s="15"/>
      <c r="K2310" s="15"/>
      <c r="L2310" s="20"/>
      <c r="M2310" s="20"/>
      <c r="N2310" s="126"/>
      <c r="O2310" s="126"/>
      <c r="P2310" s="126"/>
      <c r="Q2310" s="171"/>
      <c r="R2310" s="203"/>
      <c r="S2310" s="203"/>
      <c r="AE2310" s="15"/>
      <c r="AF2310" s="15"/>
      <c r="AG2310" s="15"/>
      <c r="AH2310" s="15"/>
      <c r="AI2310" s="15"/>
      <c r="AJ2310" s="15"/>
      <c r="AK2310" s="213"/>
      <c r="AL2310" s="15"/>
      <c r="AM2310" s="209"/>
      <c r="AN2310" s="209"/>
    </row>
    <row r="2311" s="100" customFormat="1" spans="3:40">
      <c r="C2311" s="136"/>
      <c r="D2311" s="136"/>
      <c r="F2311" s="15"/>
      <c r="G2311" s="138"/>
      <c r="H2311" s="138"/>
      <c r="I2311" s="126"/>
      <c r="J2311" s="15"/>
      <c r="K2311" s="15"/>
      <c r="L2311" s="20"/>
      <c r="M2311" s="20"/>
      <c r="N2311" s="126"/>
      <c r="O2311" s="126"/>
      <c r="P2311" s="126"/>
      <c r="Q2311" s="171"/>
      <c r="R2311" s="203"/>
      <c r="S2311" s="203"/>
      <c r="AE2311" s="15"/>
      <c r="AF2311" s="15"/>
      <c r="AG2311" s="15"/>
      <c r="AH2311" s="15"/>
      <c r="AI2311" s="15"/>
      <c r="AJ2311" s="15"/>
      <c r="AK2311" s="213"/>
      <c r="AL2311" s="15"/>
      <c r="AM2311" s="209"/>
      <c r="AN2311" s="209"/>
    </row>
    <row r="2312" s="100" customFormat="1" spans="3:40">
      <c r="C2312" s="136"/>
      <c r="D2312" s="136"/>
      <c r="F2312" s="15"/>
      <c r="G2312" s="138"/>
      <c r="H2312" s="138"/>
      <c r="I2312" s="126"/>
      <c r="J2312" s="15"/>
      <c r="K2312" s="15"/>
      <c r="L2312" s="20"/>
      <c r="M2312" s="20"/>
      <c r="N2312" s="126"/>
      <c r="O2312" s="126"/>
      <c r="P2312" s="126"/>
      <c r="Q2312" s="171"/>
      <c r="R2312" s="203"/>
      <c r="S2312" s="203"/>
      <c r="AE2312" s="15"/>
      <c r="AF2312" s="15"/>
      <c r="AG2312" s="15"/>
      <c r="AH2312" s="15"/>
      <c r="AI2312" s="15"/>
      <c r="AJ2312" s="15"/>
      <c r="AK2312" s="213"/>
      <c r="AL2312" s="15"/>
      <c r="AM2312" s="209"/>
      <c r="AN2312" s="209"/>
    </row>
    <row r="2313" s="100" customFormat="1" spans="3:40">
      <c r="C2313" s="136"/>
      <c r="D2313" s="136"/>
      <c r="F2313" s="15"/>
      <c r="G2313" s="138"/>
      <c r="H2313" s="138"/>
      <c r="I2313" s="126"/>
      <c r="J2313" s="15"/>
      <c r="K2313" s="15"/>
      <c r="L2313" s="20"/>
      <c r="M2313" s="20"/>
      <c r="N2313" s="126"/>
      <c r="O2313" s="126"/>
      <c r="P2313" s="126"/>
      <c r="Q2313" s="171"/>
      <c r="R2313" s="203"/>
      <c r="S2313" s="203"/>
      <c r="AE2313" s="15"/>
      <c r="AF2313" s="15"/>
      <c r="AG2313" s="15"/>
      <c r="AH2313" s="15"/>
      <c r="AI2313" s="15"/>
      <c r="AJ2313" s="15"/>
      <c r="AK2313" s="213"/>
      <c r="AL2313" s="15"/>
      <c r="AM2313" s="209"/>
      <c r="AN2313" s="209"/>
    </row>
    <row r="2314" s="100" customFormat="1" spans="3:40">
      <c r="C2314" s="136"/>
      <c r="D2314" s="136"/>
      <c r="F2314" s="15"/>
      <c r="G2314" s="138"/>
      <c r="H2314" s="138"/>
      <c r="I2314" s="126"/>
      <c r="J2314" s="15"/>
      <c r="K2314" s="15"/>
      <c r="L2314" s="20"/>
      <c r="M2314" s="20"/>
      <c r="N2314" s="126"/>
      <c r="O2314" s="126"/>
      <c r="P2314" s="126"/>
      <c r="Q2314" s="171"/>
      <c r="R2314" s="203"/>
      <c r="S2314" s="203"/>
      <c r="AE2314" s="15"/>
      <c r="AF2314" s="15"/>
      <c r="AG2314" s="15"/>
      <c r="AH2314" s="15"/>
      <c r="AI2314" s="15"/>
      <c r="AJ2314" s="15"/>
      <c r="AK2314" s="213"/>
      <c r="AL2314" s="15"/>
      <c r="AM2314" s="209"/>
      <c r="AN2314" s="209"/>
    </row>
    <row r="2315" s="100" customFormat="1" spans="3:40">
      <c r="C2315" s="136"/>
      <c r="D2315" s="136"/>
      <c r="F2315" s="15"/>
      <c r="G2315" s="138"/>
      <c r="H2315" s="138"/>
      <c r="I2315" s="126"/>
      <c r="J2315" s="15"/>
      <c r="K2315" s="15"/>
      <c r="L2315" s="20"/>
      <c r="M2315" s="20"/>
      <c r="N2315" s="126"/>
      <c r="O2315" s="126"/>
      <c r="P2315" s="126"/>
      <c r="Q2315" s="171"/>
      <c r="R2315" s="203"/>
      <c r="S2315" s="203"/>
      <c r="AE2315" s="15"/>
      <c r="AF2315" s="15"/>
      <c r="AG2315" s="15"/>
      <c r="AH2315" s="15"/>
      <c r="AI2315" s="15"/>
      <c r="AJ2315" s="15"/>
      <c r="AK2315" s="213"/>
      <c r="AL2315" s="15"/>
      <c r="AM2315" s="209"/>
      <c r="AN2315" s="209"/>
    </row>
    <row r="2316" s="100" customFormat="1" spans="3:40">
      <c r="C2316" s="136"/>
      <c r="D2316" s="136"/>
      <c r="F2316" s="15"/>
      <c r="G2316" s="138"/>
      <c r="H2316" s="138"/>
      <c r="I2316" s="126"/>
      <c r="J2316" s="15"/>
      <c r="K2316" s="15"/>
      <c r="L2316" s="20"/>
      <c r="M2316" s="20"/>
      <c r="N2316" s="126"/>
      <c r="O2316" s="126"/>
      <c r="P2316" s="126"/>
      <c r="Q2316" s="171"/>
      <c r="R2316" s="203"/>
      <c r="S2316" s="203"/>
      <c r="AE2316" s="15"/>
      <c r="AF2316" s="15"/>
      <c r="AG2316" s="15"/>
      <c r="AH2316" s="15"/>
      <c r="AI2316" s="15"/>
      <c r="AJ2316" s="15"/>
      <c r="AK2316" s="213"/>
      <c r="AL2316" s="211"/>
      <c r="AM2316" s="209"/>
      <c r="AN2316" s="209"/>
    </row>
    <row r="2317" s="100" customFormat="1" spans="3:40">
      <c r="C2317" s="136"/>
      <c r="D2317" s="136"/>
      <c r="F2317" s="15"/>
      <c r="G2317" s="138"/>
      <c r="H2317" s="138"/>
      <c r="I2317" s="126"/>
      <c r="J2317" s="15"/>
      <c r="K2317" s="15"/>
      <c r="L2317" s="20"/>
      <c r="M2317" s="20"/>
      <c r="N2317" s="126"/>
      <c r="O2317" s="126"/>
      <c r="P2317" s="126"/>
      <c r="Q2317" s="171"/>
      <c r="R2317" s="203"/>
      <c r="S2317" s="203"/>
      <c r="AE2317" s="15"/>
      <c r="AF2317" s="15"/>
      <c r="AG2317" s="15"/>
      <c r="AH2317" s="15"/>
      <c r="AI2317" s="15"/>
      <c r="AJ2317" s="15"/>
      <c r="AK2317" s="213"/>
      <c r="AL2317" s="211"/>
      <c r="AM2317" s="209"/>
      <c r="AN2317" s="209"/>
    </row>
    <row r="2318" s="100" customFormat="1" spans="3:40">
      <c r="C2318" s="136"/>
      <c r="D2318" s="136"/>
      <c r="F2318" s="15"/>
      <c r="G2318" s="138"/>
      <c r="H2318" s="138"/>
      <c r="I2318" s="126"/>
      <c r="J2318" s="15"/>
      <c r="K2318" s="15"/>
      <c r="L2318" s="20"/>
      <c r="M2318" s="20"/>
      <c r="N2318" s="126"/>
      <c r="O2318" s="126"/>
      <c r="P2318" s="126"/>
      <c r="Q2318" s="171"/>
      <c r="R2318" s="203"/>
      <c r="S2318" s="203"/>
      <c r="AE2318" s="15"/>
      <c r="AF2318" s="15"/>
      <c r="AG2318" s="15"/>
      <c r="AH2318" s="15"/>
      <c r="AI2318" s="15"/>
      <c r="AJ2318" s="15"/>
      <c r="AK2318" s="213"/>
      <c r="AL2318" s="211"/>
      <c r="AM2318" s="209"/>
      <c r="AN2318" s="209"/>
    </row>
    <row r="2319" s="100" customFormat="1" spans="3:40">
      <c r="C2319" s="136"/>
      <c r="D2319" s="136"/>
      <c r="F2319" s="15"/>
      <c r="G2319" s="138"/>
      <c r="H2319" s="138"/>
      <c r="I2319" s="126"/>
      <c r="J2319" s="15"/>
      <c r="K2319" s="15"/>
      <c r="L2319" s="20"/>
      <c r="M2319" s="20"/>
      <c r="N2319" s="126"/>
      <c r="O2319" s="126"/>
      <c r="P2319" s="126"/>
      <c r="Q2319" s="171"/>
      <c r="R2319" s="172"/>
      <c r="S2319" s="172"/>
      <c r="AE2319" s="15"/>
      <c r="AF2319" s="15"/>
      <c r="AG2319" s="15"/>
      <c r="AH2319" s="15"/>
      <c r="AI2319" s="15"/>
      <c r="AJ2319" s="15"/>
      <c r="AK2319" s="15"/>
      <c r="AL2319" s="15"/>
      <c r="AM2319" s="15"/>
      <c r="AN2319" s="210"/>
    </row>
    <row r="2320" s="100" customFormat="1" spans="3:40">
      <c r="C2320" s="136"/>
      <c r="D2320" s="136"/>
      <c r="F2320" s="15"/>
      <c r="G2320" s="138"/>
      <c r="H2320" s="138"/>
      <c r="I2320" s="126"/>
      <c r="J2320" s="15"/>
      <c r="K2320" s="15"/>
      <c r="L2320" s="20"/>
      <c r="M2320" s="20"/>
      <c r="N2320" s="126"/>
      <c r="O2320" s="126"/>
      <c r="P2320" s="126"/>
      <c r="Q2320" s="171"/>
      <c r="R2320" s="172"/>
      <c r="S2320" s="203"/>
      <c r="AE2320" s="15"/>
      <c r="AF2320" s="15"/>
      <c r="AG2320" s="15"/>
      <c r="AH2320" s="15"/>
      <c r="AI2320" s="15"/>
      <c r="AJ2320" s="15"/>
      <c r="AK2320" s="213"/>
      <c r="AL2320" s="15"/>
      <c r="AM2320" s="209"/>
      <c r="AN2320" s="210"/>
    </row>
    <row r="2321" s="100" customFormat="1" spans="3:40">
      <c r="C2321" s="136"/>
      <c r="D2321" s="136"/>
      <c r="F2321" s="15"/>
      <c r="G2321" s="138"/>
      <c r="H2321" s="138"/>
      <c r="I2321" s="126"/>
      <c r="J2321" s="15"/>
      <c r="K2321" s="15"/>
      <c r="L2321" s="20"/>
      <c r="M2321" s="20"/>
      <c r="N2321" s="126"/>
      <c r="O2321" s="126"/>
      <c r="P2321" s="126"/>
      <c r="Q2321" s="171"/>
      <c r="R2321" s="203"/>
      <c r="S2321" s="203"/>
      <c r="AE2321" s="15"/>
      <c r="AF2321" s="15"/>
      <c r="AG2321" s="15"/>
      <c r="AH2321" s="15"/>
      <c r="AI2321" s="15"/>
      <c r="AJ2321" s="15"/>
      <c r="AK2321" s="213"/>
      <c r="AL2321" s="15"/>
      <c r="AM2321" s="209"/>
      <c r="AN2321" s="211"/>
    </row>
    <row r="2322" s="100" customFormat="1" spans="3:40">
      <c r="C2322" s="136"/>
      <c r="D2322" s="136"/>
      <c r="F2322" s="15"/>
      <c r="G2322" s="138"/>
      <c r="H2322" s="138"/>
      <c r="I2322" s="126"/>
      <c r="J2322" s="15"/>
      <c r="K2322" s="15"/>
      <c r="L2322" s="20"/>
      <c r="M2322" s="20"/>
      <c r="N2322" s="126"/>
      <c r="O2322" s="126"/>
      <c r="P2322" s="126"/>
      <c r="Q2322" s="171"/>
      <c r="R2322" s="172"/>
      <c r="S2322" s="203"/>
      <c r="AE2322" s="15"/>
      <c r="AF2322" s="15"/>
      <c r="AG2322" s="15"/>
      <c r="AH2322" s="15"/>
      <c r="AI2322" s="15"/>
      <c r="AJ2322" s="15"/>
      <c r="AK2322" s="213"/>
      <c r="AL2322" s="15"/>
      <c r="AM2322" s="209"/>
      <c r="AN2322" s="211"/>
    </row>
    <row r="2323" s="100" customFormat="1" spans="3:40">
      <c r="C2323" s="136"/>
      <c r="D2323" s="136"/>
      <c r="F2323" s="15"/>
      <c r="G2323" s="138"/>
      <c r="H2323" s="138"/>
      <c r="I2323" s="126"/>
      <c r="J2323" s="15"/>
      <c r="K2323" s="15"/>
      <c r="L2323" s="20"/>
      <c r="M2323" s="20"/>
      <c r="N2323" s="126"/>
      <c r="O2323" s="126"/>
      <c r="P2323" s="126"/>
      <c r="Q2323" s="171"/>
      <c r="R2323" s="172"/>
      <c r="S2323" s="203"/>
      <c r="AE2323" s="15"/>
      <c r="AF2323" s="15"/>
      <c r="AG2323" s="15"/>
      <c r="AH2323" s="15"/>
      <c r="AI2323" s="15"/>
      <c r="AJ2323" s="15"/>
      <c r="AK2323" s="213"/>
      <c r="AL2323" s="207"/>
      <c r="AM2323" s="209"/>
      <c r="AN2323" s="209"/>
    </row>
    <row r="2324" s="100" customFormat="1" spans="3:40">
      <c r="C2324" s="136"/>
      <c r="D2324" s="136"/>
      <c r="F2324" s="15"/>
      <c r="G2324" s="138"/>
      <c r="H2324" s="138"/>
      <c r="I2324" s="126"/>
      <c r="J2324" s="15"/>
      <c r="K2324" s="15"/>
      <c r="L2324" s="20"/>
      <c r="M2324" s="20"/>
      <c r="N2324" s="126"/>
      <c r="O2324" s="126"/>
      <c r="P2324" s="126"/>
      <c r="Q2324" s="171"/>
      <c r="R2324" s="172"/>
      <c r="S2324" s="203"/>
      <c r="AE2324" s="15"/>
      <c r="AF2324" s="15"/>
      <c r="AG2324" s="15"/>
      <c r="AH2324" s="15"/>
      <c r="AI2324" s="15"/>
      <c r="AJ2324" s="15"/>
      <c r="AK2324" s="15"/>
      <c r="AL2324" s="207"/>
      <c r="AM2324" s="209"/>
      <c r="AN2324" s="210"/>
    </row>
    <row r="2325" s="100" customFormat="1" spans="3:40">
      <c r="C2325" s="136"/>
      <c r="D2325" s="136"/>
      <c r="F2325" s="15"/>
      <c r="G2325" s="138"/>
      <c r="H2325" s="138"/>
      <c r="I2325" s="126"/>
      <c r="J2325" s="15"/>
      <c r="K2325" s="15"/>
      <c r="L2325" s="20"/>
      <c r="M2325" s="20"/>
      <c r="N2325" s="126"/>
      <c r="O2325" s="126"/>
      <c r="P2325" s="126"/>
      <c r="Q2325" s="171"/>
      <c r="R2325" s="172"/>
      <c r="S2325" s="203"/>
      <c r="AE2325" s="15"/>
      <c r="AF2325" s="15"/>
      <c r="AG2325" s="15"/>
      <c r="AH2325" s="15"/>
      <c r="AI2325" s="15"/>
      <c r="AJ2325" s="15"/>
      <c r="AK2325" s="15"/>
      <c r="AL2325" s="207"/>
      <c r="AM2325" s="209"/>
      <c r="AN2325" s="210"/>
    </row>
    <row r="2326" s="100" customFormat="1" spans="3:40">
      <c r="C2326" s="136"/>
      <c r="D2326" s="136"/>
      <c r="F2326" s="15"/>
      <c r="G2326" s="138"/>
      <c r="H2326" s="138"/>
      <c r="I2326" s="126"/>
      <c r="J2326" s="15"/>
      <c r="K2326" s="15"/>
      <c r="L2326" s="20"/>
      <c r="M2326" s="20"/>
      <c r="N2326" s="126"/>
      <c r="O2326" s="126"/>
      <c r="P2326" s="126"/>
      <c r="Q2326" s="171"/>
      <c r="R2326" s="203"/>
      <c r="S2326" s="203"/>
      <c r="AE2326" s="15"/>
      <c r="AF2326" s="15"/>
      <c r="AG2326" s="15"/>
      <c r="AH2326" s="15"/>
      <c r="AI2326" s="15"/>
      <c r="AJ2326" s="15"/>
      <c r="AK2326" s="213"/>
      <c r="AL2326" s="207"/>
      <c r="AM2326" s="209"/>
      <c r="AN2326" s="207"/>
    </row>
    <row r="2327" s="100" customFormat="1" spans="3:40">
      <c r="C2327" s="136"/>
      <c r="D2327" s="136"/>
      <c r="F2327" s="15"/>
      <c r="G2327" s="138"/>
      <c r="H2327" s="138"/>
      <c r="I2327" s="126"/>
      <c r="J2327" s="15"/>
      <c r="K2327" s="15"/>
      <c r="L2327" s="20"/>
      <c r="M2327" s="20"/>
      <c r="N2327" s="126"/>
      <c r="O2327" s="126"/>
      <c r="P2327" s="126"/>
      <c r="Q2327" s="171"/>
      <c r="R2327" s="172"/>
      <c r="S2327" s="172"/>
      <c r="AE2327" s="15"/>
      <c r="AF2327" s="15"/>
      <c r="AG2327" s="15"/>
      <c r="AH2327" s="15"/>
      <c r="AI2327" s="15"/>
      <c r="AJ2327" s="15"/>
      <c r="AK2327" s="213"/>
      <c r="AL2327" s="207"/>
      <c r="AM2327" s="209"/>
      <c r="AN2327" s="209"/>
    </row>
    <row r="2328" s="100" customFormat="1" spans="3:40">
      <c r="C2328" s="136"/>
      <c r="D2328" s="136"/>
      <c r="F2328" s="15"/>
      <c r="G2328" s="138"/>
      <c r="H2328" s="138"/>
      <c r="I2328" s="126"/>
      <c r="J2328" s="15"/>
      <c r="K2328" s="15"/>
      <c r="L2328" s="20"/>
      <c r="M2328" s="20"/>
      <c r="N2328" s="126"/>
      <c r="O2328" s="126"/>
      <c r="P2328" s="126"/>
      <c r="Q2328" s="171"/>
      <c r="R2328" s="172"/>
      <c r="S2328" s="203"/>
      <c r="AE2328" s="15"/>
      <c r="AF2328" s="15"/>
      <c r="AG2328" s="15"/>
      <c r="AH2328" s="15"/>
      <c r="AI2328" s="15"/>
      <c r="AJ2328" s="15"/>
      <c r="AK2328" s="213"/>
      <c r="AL2328" s="207"/>
      <c r="AM2328" s="209"/>
      <c r="AN2328" s="209"/>
    </row>
    <row r="2329" s="100" customFormat="1" spans="3:40">
      <c r="C2329" s="136"/>
      <c r="D2329" s="136"/>
      <c r="F2329" s="15"/>
      <c r="G2329" s="138"/>
      <c r="H2329" s="138"/>
      <c r="I2329" s="126"/>
      <c r="J2329" s="15"/>
      <c r="K2329" s="15"/>
      <c r="L2329" s="20"/>
      <c r="M2329" s="20"/>
      <c r="N2329" s="126"/>
      <c r="O2329" s="126"/>
      <c r="P2329" s="126"/>
      <c r="Q2329" s="171"/>
      <c r="R2329" s="203"/>
      <c r="S2329" s="203"/>
      <c r="AE2329" s="15"/>
      <c r="AF2329" s="15"/>
      <c r="AG2329" s="15"/>
      <c r="AH2329" s="15"/>
      <c r="AI2329" s="15"/>
      <c r="AJ2329" s="15"/>
      <c r="AK2329" s="213"/>
      <c r="AL2329" s="207"/>
      <c r="AM2329" s="209"/>
      <c r="AN2329" s="209"/>
    </row>
    <row r="2330" s="100" customFormat="1" spans="3:40">
      <c r="C2330" s="136"/>
      <c r="D2330" s="136"/>
      <c r="F2330" s="15"/>
      <c r="G2330" s="138"/>
      <c r="H2330" s="138"/>
      <c r="I2330" s="126"/>
      <c r="J2330" s="15"/>
      <c r="K2330" s="15"/>
      <c r="L2330" s="20"/>
      <c r="M2330" s="20"/>
      <c r="N2330" s="126"/>
      <c r="O2330" s="126"/>
      <c r="P2330" s="126"/>
      <c r="Q2330" s="171"/>
      <c r="R2330" s="172"/>
      <c r="S2330" s="203"/>
      <c r="AE2330" s="15"/>
      <c r="AF2330" s="15"/>
      <c r="AG2330" s="15"/>
      <c r="AH2330" s="15"/>
      <c r="AI2330" s="15"/>
      <c r="AJ2330" s="15"/>
      <c r="AK2330" s="15"/>
      <c r="AL2330" s="207"/>
      <c r="AM2330" s="209"/>
      <c r="AN2330" s="210"/>
    </row>
    <row r="2331" s="100" customFormat="1" spans="3:40">
      <c r="C2331" s="136"/>
      <c r="D2331" s="136"/>
      <c r="F2331" s="15"/>
      <c r="G2331" s="138"/>
      <c r="H2331" s="138"/>
      <c r="I2331" s="126"/>
      <c r="J2331" s="15"/>
      <c r="K2331" s="15"/>
      <c r="L2331" s="20"/>
      <c r="M2331" s="20"/>
      <c r="N2331" s="126"/>
      <c r="O2331" s="126"/>
      <c r="P2331" s="126"/>
      <c r="Q2331" s="171"/>
      <c r="R2331" s="172"/>
      <c r="S2331" s="203"/>
      <c r="AE2331" s="15"/>
      <c r="AF2331" s="15"/>
      <c r="AG2331" s="15"/>
      <c r="AH2331" s="15"/>
      <c r="AI2331" s="15"/>
      <c r="AJ2331" s="15"/>
      <c r="AK2331" s="213"/>
      <c r="AL2331" s="207"/>
      <c r="AM2331" s="209"/>
      <c r="AN2331" s="209"/>
    </row>
    <row r="2332" s="100" customFormat="1" spans="3:40">
      <c r="C2332" s="136"/>
      <c r="D2332" s="136"/>
      <c r="F2332" s="15"/>
      <c r="G2332" s="138"/>
      <c r="H2332" s="138"/>
      <c r="I2332" s="126"/>
      <c r="J2332" s="15"/>
      <c r="K2332" s="15"/>
      <c r="L2332" s="20"/>
      <c r="M2332" s="20"/>
      <c r="N2332" s="126"/>
      <c r="O2332" s="126"/>
      <c r="P2332" s="126"/>
      <c r="Q2332" s="171"/>
      <c r="R2332" s="172"/>
      <c r="S2332" s="203"/>
      <c r="AE2332" s="15"/>
      <c r="AF2332" s="15"/>
      <c r="AG2332" s="15"/>
      <c r="AH2332" s="15"/>
      <c r="AI2332" s="15"/>
      <c r="AJ2332" s="15"/>
      <c r="AK2332" s="213"/>
      <c r="AL2332" s="207"/>
      <c r="AM2332" s="209"/>
      <c r="AN2332" s="209"/>
    </row>
    <row r="2333" s="100" customFormat="1" spans="3:40">
      <c r="C2333" s="136"/>
      <c r="D2333" s="136"/>
      <c r="F2333" s="15"/>
      <c r="G2333" s="138"/>
      <c r="H2333" s="138"/>
      <c r="I2333" s="126"/>
      <c r="J2333" s="15"/>
      <c r="K2333" s="15"/>
      <c r="L2333" s="20"/>
      <c r="M2333" s="20"/>
      <c r="N2333" s="126"/>
      <c r="O2333" s="126"/>
      <c r="P2333" s="126"/>
      <c r="Q2333" s="171"/>
      <c r="R2333" s="172"/>
      <c r="S2333" s="203"/>
      <c r="AE2333" s="15"/>
      <c r="AF2333" s="15"/>
      <c r="AG2333" s="15"/>
      <c r="AH2333" s="15"/>
      <c r="AI2333" s="15"/>
      <c r="AJ2333" s="15"/>
      <c r="AK2333" s="213"/>
      <c r="AL2333" s="207"/>
      <c r="AM2333" s="209"/>
      <c r="AN2333" s="209"/>
    </row>
    <row r="2334" s="100" customFormat="1" spans="3:40">
      <c r="C2334" s="136"/>
      <c r="D2334" s="136"/>
      <c r="F2334" s="15"/>
      <c r="G2334" s="138"/>
      <c r="H2334" s="138"/>
      <c r="I2334" s="126"/>
      <c r="J2334" s="15"/>
      <c r="K2334" s="15"/>
      <c r="L2334" s="20"/>
      <c r="M2334" s="20"/>
      <c r="N2334" s="126"/>
      <c r="O2334" s="126"/>
      <c r="P2334" s="126"/>
      <c r="Q2334" s="171"/>
      <c r="R2334" s="172"/>
      <c r="S2334" s="203"/>
      <c r="AE2334" s="15"/>
      <c r="AF2334" s="15"/>
      <c r="AG2334" s="15"/>
      <c r="AH2334" s="15"/>
      <c r="AI2334" s="15"/>
      <c r="AJ2334" s="15"/>
      <c r="AK2334" s="15"/>
      <c r="AL2334" s="207"/>
      <c r="AM2334" s="209"/>
      <c r="AN2334" s="210"/>
    </row>
    <row r="2335" s="100" customFormat="1" spans="3:40">
      <c r="C2335" s="136"/>
      <c r="D2335" s="136"/>
      <c r="F2335" s="15"/>
      <c r="G2335" s="138"/>
      <c r="H2335" s="138"/>
      <c r="I2335" s="126"/>
      <c r="J2335" s="15"/>
      <c r="K2335" s="15"/>
      <c r="L2335" s="20"/>
      <c r="M2335" s="20"/>
      <c r="N2335" s="126"/>
      <c r="O2335" s="126"/>
      <c r="P2335" s="126"/>
      <c r="Q2335" s="171"/>
      <c r="R2335" s="172"/>
      <c r="S2335" s="203"/>
      <c r="AE2335" s="15"/>
      <c r="AF2335" s="15"/>
      <c r="AG2335" s="15"/>
      <c r="AH2335" s="15"/>
      <c r="AI2335" s="15"/>
      <c r="AJ2335" s="15"/>
      <c r="AK2335" s="213"/>
      <c r="AL2335" s="207"/>
      <c r="AM2335" s="209"/>
      <c r="AN2335" s="209"/>
    </row>
    <row r="2336" s="100" customFormat="1" spans="3:40">
      <c r="C2336" s="136"/>
      <c r="D2336" s="136"/>
      <c r="F2336" s="15"/>
      <c r="G2336" s="138"/>
      <c r="H2336" s="138"/>
      <c r="I2336" s="126"/>
      <c r="J2336" s="15"/>
      <c r="K2336" s="15"/>
      <c r="L2336" s="20"/>
      <c r="M2336" s="20"/>
      <c r="N2336" s="126"/>
      <c r="O2336" s="126"/>
      <c r="P2336" s="126"/>
      <c r="Q2336" s="171"/>
      <c r="R2336" s="172"/>
      <c r="S2336" s="203"/>
      <c r="AE2336" s="15"/>
      <c r="AF2336" s="15"/>
      <c r="AG2336" s="15"/>
      <c r="AH2336" s="15"/>
      <c r="AI2336" s="15"/>
      <c r="AJ2336" s="15"/>
      <c r="AK2336" s="213"/>
      <c r="AL2336" s="207"/>
      <c r="AM2336" s="209"/>
      <c r="AN2336" s="209"/>
    </row>
    <row r="2337" s="100" customFormat="1" spans="3:40">
      <c r="C2337" s="136"/>
      <c r="D2337" s="136"/>
      <c r="F2337" s="15"/>
      <c r="G2337" s="138"/>
      <c r="H2337" s="138"/>
      <c r="I2337" s="126"/>
      <c r="J2337" s="15"/>
      <c r="K2337" s="15"/>
      <c r="L2337" s="20"/>
      <c r="M2337" s="20"/>
      <c r="N2337" s="126"/>
      <c r="O2337" s="126"/>
      <c r="P2337" s="126"/>
      <c r="Q2337" s="171"/>
      <c r="R2337" s="172"/>
      <c r="S2337" s="203"/>
      <c r="AE2337" s="15"/>
      <c r="AF2337" s="15"/>
      <c r="AG2337" s="15"/>
      <c r="AH2337" s="15"/>
      <c r="AI2337" s="15"/>
      <c r="AJ2337" s="15"/>
      <c r="AK2337" s="15"/>
      <c r="AL2337" s="207"/>
      <c r="AM2337" s="207"/>
      <c r="AN2337" s="210"/>
    </row>
    <row r="2338" s="100" customFormat="1" spans="3:40">
      <c r="C2338" s="136"/>
      <c r="D2338" s="136"/>
      <c r="F2338" s="15"/>
      <c r="G2338" s="138"/>
      <c r="H2338" s="138"/>
      <c r="I2338" s="126"/>
      <c r="J2338" s="15"/>
      <c r="K2338" s="15"/>
      <c r="L2338" s="20"/>
      <c r="M2338" s="20"/>
      <c r="N2338" s="126"/>
      <c r="O2338" s="126"/>
      <c r="P2338" s="126"/>
      <c r="Q2338" s="171"/>
      <c r="R2338" s="172"/>
      <c r="S2338" s="203"/>
      <c r="AE2338" s="15"/>
      <c r="AF2338" s="15"/>
      <c r="AG2338" s="15"/>
      <c r="AH2338" s="15"/>
      <c r="AI2338" s="15"/>
      <c r="AJ2338" s="15"/>
      <c r="AK2338" s="213"/>
      <c r="AL2338" s="207"/>
      <c r="AM2338" s="209"/>
      <c r="AN2338" s="207"/>
    </row>
    <row r="2339" s="100" customFormat="1" spans="3:40">
      <c r="C2339" s="136"/>
      <c r="D2339" s="136"/>
      <c r="F2339" s="15"/>
      <c r="G2339" s="138"/>
      <c r="H2339" s="138"/>
      <c r="I2339" s="126"/>
      <c r="J2339" s="15"/>
      <c r="K2339" s="15"/>
      <c r="L2339" s="20"/>
      <c r="M2339" s="20"/>
      <c r="N2339" s="126"/>
      <c r="O2339" s="126"/>
      <c r="P2339" s="126"/>
      <c r="Q2339" s="171"/>
      <c r="R2339" s="203"/>
      <c r="S2339" s="172"/>
      <c r="AE2339" s="15"/>
      <c r="AF2339" s="15"/>
      <c r="AG2339" s="15"/>
      <c r="AH2339" s="15"/>
      <c r="AI2339" s="15"/>
      <c r="AJ2339" s="15"/>
      <c r="AK2339" s="213"/>
      <c r="AL2339" s="207"/>
      <c r="AM2339" s="209"/>
      <c r="AN2339" s="214"/>
    </row>
    <row r="2340" s="100" customFormat="1" spans="3:40">
      <c r="C2340" s="136"/>
      <c r="D2340" s="136"/>
      <c r="F2340" s="15"/>
      <c r="G2340" s="138"/>
      <c r="H2340" s="138"/>
      <c r="I2340" s="126"/>
      <c r="J2340" s="15"/>
      <c r="K2340" s="15"/>
      <c r="L2340" s="20"/>
      <c r="M2340" s="20"/>
      <c r="N2340" s="126"/>
      <c r="O2340" s="126"/>
      <c r="P2340" s="126"/>
      <c r="Q2340" s="171"/>
      <c r="R2340" s="203"/>
      <c r="S2340" s="203"/>
      <c r="AE2340" s="15"/>
      <c r="AF2340" s="15"/>
      <c r="AG2340" s="15"/>
      <c r="AH2340" s="15"/>
      <c r="AI2340" s="15"/>
      <c r="AJ2340" s="15"/>
      <c r="AK2340" s="213"/>
      <c r="AL2340" s="207"/>
      <c r="AM2340" s="209"/>
      <c r="AN2340" s="209"/>
    </row>
    <row r="2341" s="100" customFormat="1" spans="3:40">
      <c r="C2341" s="136"/>
      <c r="D2341" s="136"/>
      <c r="F2341" s="15"/>
      <c r="G2341" s="138"/>
      <c r="H2341" s="138"/>
      <c r="I2341" s="126"/>
      <c r="J2341" s="15"/>
      <c r="K2341" s="15"/>
      <c r="L2341" s="20"/>
      <c r="M2341" s="20"/>
      <c r="N2341" s="126"/>
      <c r="O2341" s="126"/>
      <c r="P2341" s="126"/>
      <c r="Q2341" s="171"/>
      <c r="R2341" s="172"/>
      <c r="S2341" s="203"/>
      <c r="AE2341" s="15"/>
      <c r="AF2341" s="15"/>
      <c r="AG2341" s="15"/>
      <c r="AH2341" s="15"/>
      <c r="AI2341" s="15"/>
      <c r="AJ2341" s="15"/>
      <c r="AK2341" s="15"/>
      <c r="AL2341" s="207"/>
      <c r="AM2341" s="209"/>
      <c r="AN2341" s="210"/>
    </row>
    <row r="2342" s="100" customFormat="1" spans="3:40">
      <c r="C2342" s="136"/>
      <c r="D2342" s="136"/>
      <c r="F2342" s="15"/>
      <c r="G2342" s="138"/>
      <c r="H2342" s="138"/>
      <c r="I2342" s="126"/>
      <c r="J2342" s="15"/>
      <c r="K2342" s="15"/>
      <c r="L2342" s="20"/>
      <c r="M2342" s="20"/>
      <c r="N2342" s="126"/>
      <c r="O2342" s="126"/>
      <c r="P2342" s="126"/>
      <c r="Q2342" s="171"/>
      <c r="R2342" s="172"/>
      <c r="S2342" s="203"/>
      <c r="AE2342" s="15"/>
      <c r="AF2342" s="15"/>
      <c r="AG2342" s="15"/>
      <c r="AH2342" s="15"/>
      <c r="AI2342" s="212"/>
      <c r="AJ2342" s="15"/>
      <c r="AK2342" s="15"/>
      <c r="AL2342" s="207"/>
      <c r="AM2342" s="209"/>
      <c r="AN2342" s="210"/>
    </row>
    <row r="2343" s="100" customFormat="1" spans="3:40">
      <c r="C2343" s="136"/>
      <c r="D2343" s="136"/>
      <c r="F2343" s="15"/>
      <c r="G2343" s="138"/>
      <c r="H2343" s="138"/>
      <c r="I2343" s="126"/>
      <c r="J2343" s="15"/>
      <c r="K2343" s="15"/>
      <c r="L2343" s="20"/>
      <c r="M2343" s="20"/>
      <c r="N2343" s="126"/>
      <c r="O2343" s="126"/>
      <c r="P2343" s="126"/>
      <c r="Q2343" s="171"/>
      <c r="R2343" s="172"/>
      <c r="S2343" s="203"/>
      <c r="AE2343" s="15"/>
      <c r="AF2343" s="15"/>
      <c r="AG2343" s="15"/>
      <c r="AH2343" s="15"/>
      <c r="AI2343" s="15"/>
      <c r="AJ2343" s="15"/>
      <c r="AK2343" s="213"/>
      <c r="AL2343" s="211"/>
      <c r="AM2343" s="209"/>
      <c r="AN2343" s="209"/>
    </row>
    <row r="2344" s="100" customFormat="1" spans="3:40">
      <c r="C2344" s="136"/>
      <c r="D2344" s="136"/>
      <c r="F2344" s="15"/>
      <c r="G2344" s="138"/>
      <c r="H2344" s="138"/>
      <c r="I2344" s="126"/>
      <c r="J2344" s="15"/>
      <c r="K2344" s="15"/>
      <c r="L2344" s="20"/>
      <c r="M2344" s="20"/>
      <c r="N2344" s="126"/>
      <c r="O2344" s="126"/>
      <c r="P2344" s="126"/>
      <c r="Q2344" s="171"/>
      <c r="R2344" s="172"/>
      <c r="S2344" s="203"/>
      <c r="AE2344" s="15"/>
      <c r="AF2344" s="15"/>
      <c r="AG2344" s="15"/>
      <c r="AH2344" s="15"/>
      <c r="AI2344" s="15"/>
      <c r="AJ2344" s="15"/>
      <c r="AK2344" s="213"/>
      <c r="AL2344" s="207"/>
      <c r="AM2344" s="209"/>
      <c r="AN2344" s="209"/>
    </row>
    <row r="2345" s="100" customFormat="1" spans="3:40">
      <c r="C2345" s="136"/>
      <c r="D2345" s="136"/>
      <c r="F2345" s="15"/>
      <c r="G2345" s="138"/>
      <c r="H2345" s="138"/>
      <c r="I2345" s="126"/>
      <c r="J2345" s="15"/>
      <c r="K2345" s="15"/>
      <c r="L2345" s="20"/>
      <c r="M2345" s="20"/>
      <c r="N2345" s="126"/>
      <c r="O2345" s="126"/>
      <c r="P2345" s="126"/>
      <c r="Q2345" s="171"/>
      <c r="R2345" s="172"/>
      <c r="S2345" s="203"/>
      <c r="AE2345" s="15"/>
      <c r="AF2345" s="15"/>
      <c r="AG2345" s="15"/>
      <c r="AH2345" s="15"/>
      <c r="AI2345" s="15"/>
      <c r="AJ2345" s="15"/>
      <c r="AK2345" s="15"/>
      <c r="AL2345" s="211"/>
      <c r="AM2345" s="209"/>
      <c r="AN2345" s="210"/>
    </row>
    <row r="2346" s="100" customFormat="1" spans="3:40">
      <c r="C2346" s="136"/>
      <c r="D2346" s="136"/>
      <c r="F2346" s="15"/>
      <c r="G2346" s="138"/>
      <c r="H2346" s="138"/>
      <c r="I2346" s="126"/>
      <c r="J2346" s="15"/>
      <c r="K2346" s="15"/>
      <c r="L2346" s="20"/>
      <c r="M2346" s="20"/>
      <c r="N2346" s="126"/>
      <c r="O2346" s="126"/>
      <c r="P2346" s="126"/>
      <c r="Q2346" s="171"/>
      <c r="R2346" s="203"/>
      <c r="S2346" s="172"/>
      <c r="AE2346" s="15"/>
      <c r="AF2346" s="15"/>
      <c r="AG2346" s="15"/>
      <c r="AH2346" s="15"/>
      <c r="AI2346" s="15"/>
      <c r="AJ2346" s="15"/>
      <c r="AK2346" s="15"/>
      <c r="AL2346" s="211"/>
      <c r="AM2346" s="209"/>
      <c r="AN2346" s="210"/>
    </row>
    <row r="2347" s="100" customFormat="1" spans="3:40">
      <c r="C2347" s="136"/>
      <c r="D2347" s="136"/>
      <c r="F2347" s="15"/>
      <c r="G2347" s="138"/>
      <c r="H2347" s="138"/>
      <c r="I2347" s="126"/>
      <c r="J2347" s="15"/>
      <c r="K2347" s="15"/>
      <c r="L2347" s="20"/>
      <c r="M2347" s="20"/>
      <c r="N2347" s="126"/>
      <c r="O2347" s="126"/>
      <c r="P2347" s="126"/>
      <c r="Q2347" s="171"/>
      <c r="R2347" s="172"/>
      <c r="S2347" s="203"/>
      <c r="AE2347" s="15"/>
      <c r="AF2347" s="15"/>
      <c r="AG2347" s="15"/>
      <c r="AH2347" s="15"/>
      <c r="AI2347" s="15"/>
      <c r="AJ2347" s="15"/>
      <c r="AK2347" s="213"/>
      <c r="AL2347" s="15"/>
      <c r="AM2347" s="209"/>
      <c r="AN2347" s="209"/>
    </row>
    <row r="2348" s="100" customFormat="1" spans="3:40">
      <c r="C2348" s="136"/>
      <c r="D2348" s="136"/>
      <c r="F2348" s="15"/>
      <c r="G2348" s="138"/>
      <c r="H2348" s="138"/>
      <c r="I2348" s="126"/>
      <c r="J2348" s="15"/>
      <c r="K2348" s="15"/>
      <c r="L2348" s="20"/>
      <c r="M2348" s="20"/>
      <c r="N2348" s="126"/>
      <c r="O2348" s="126"/>
      <c r="P2348" s="126"/>
      <c r="Q2348" s="171"/>
      <c r="R2348" s="172"/>
      <c r="S2348" s="203"/>
      <c r="AE2348" s="15"/>
      <c r="AF2348" s="15"/>
      <c r="AG2348" s="15"/>
      <c r="AH2348" s="15"/>
      <c r="AI2348" s="15"/>
      <c r="AJ2348" s="15"/>
      <c r="AK2348" s="15"/>
      <c r="AL2348" s="15"/>
      <c r="AM2348" s="209"/>
      <c r="AN2348" s="210"/>
    </row>
    <row r="2349" s="100" customFormat="1" spans="3:40">
      <c r="C2349" s="136"/>
      <c r="D2349" s="136"/>
      <c r="F2349" s="15"/>
      <c r="G2349" s="138"/>
      <c r="H2349" s="138"/>
      <c r="I2349" s="126"/>
      <c r="J2349" s="15"/>
      <c r="K2349" s="15"/>
      <c r="L2349" s="20"/>
      <c r="M2349" s="20"/>
      <c r="N2349" s="126"/>
      <c r="O2349" s="126"/>
      <c r="P2349" s="126"/>
      <c r="Q2349" s="171"/>
      <c r="R2349" s="172"/>
      <c r="S2349" s="203"/>
      <c r="AE2349" s="15"/>
      <c r="AF2349" s="15"/>
      <c r="AG2349" s="15"/>
      <c r="AH2349" s="15"/>
      <c r="AI2349" s="15"/>
      <c r="AJ2349" s="15"/>
      <c r="AK2349" s="213"/>
      <c r="AL2349" s="211"/>
      <c r="AM2349" s="209"/>
      <c r="AN2349" s="209"/>
    </row>
    <row r="2350" s="100" customFormat="1" spans="3:40">
      <c r="C2350" s="136"/>
      <c r="D2350" s="136"/>
      <c r="F2350" s="15"/>
      <c r="G2350" s="138"/>
      <c r="H2350" s="138"/>
      <c r="I2350" s="126"/>
      <c r="J2350" s="15"/>
      <c r="K2350" s="15"/>
      <c r="L2350" s="20"/>
      <c r="M2350" s="20"/>
      <c r="N2350" s="126"/>
      <c r="O2350" s="126"/>
      <c r="P2350" s="126"/>
      <c r="Q2350" s="171"/>
      <c r="R2350" s="172"/>
      <c r="S2350" s="203"/>
      <c r="AE2350" s="15"/>
      <c r="AF2350" s="15"/>
      <c r="AG2350" s="15"/>
      <c r="AH2350" s="15"/>
      <c r="AI2350" s="15"/>
      <c r="AJ2350" s="15"/>
      <c r="AK2350" s="213"/>
      <c r="AL2350" s="15"/>
      <c r="AM2350" s="209"/>
      <c r="AN2350" s="209"/>
    </row>
    <row r="2351" s="100" customFormat="1" spans="3:40">
      <c r="C2351" s="136"/>
      <c r="D2351" s="136"/>
      <c r="F2351" s="15"/>
      <c r="G2351" s="138"/>
      <c r="H2351" s="138"/>
      <c r="I2351" s="126"/>
      <c r="J2351" s="15"/>
      <c r="K2351" s="15"/>
      <c r="L2351" s="20"/>
      <c r="M2351" s="20"/>
      <c r="N2351" s="126"/>
      <c r="O2351" s="126"/>
      <c r="P2351" s="126"/>
      <c r="Q2351" s="171"/>
      <c r="R2351" s="172"/>
      <c r="S2351" s="203"/>
      <c r="AE2351" s="15"/>
      <c r="AF2351" s="15"/>
      <c r="AG2351" s="15"/>
      <c r="AH2351" s="15"/>
      <c r="AI2351" s="15"/>
      <c r="AJ2351" s="15"/>
      <c r="AK2351" s="15"/>
      <c r="AL2351" s="211"/>
      <c r="AM2351" s="209"/>
      <c r="AN2351" s="210"/>
    </row>
    <row r="2352" s="100" customFormat="1" spans="3:40">
      <c r="C2352" s="136"/>
      <c r="D2352" s="136"/>
      <c r="F2352" s="15"/>
      <c r="G2352" s="138"/>
      <c r="H2352" s="138"/>
      <c r="I2352" s="126"/>
      <c r="J2352" s="15"/>
      <c r="K2352" s="15"/>
      <c r="L2352" s="20"/>
      <c r="M2352" s="20"/>
      <c r="N2352" s="126"/>
      <c r="O2352" s="126"/>
      <c r="P2352" s="126"/>
      <c r="Q2352" s="171"/>
      <c r="R2352" s="172"/>
      <c r="S2352" s="203"/>
      <c r="AE2352" s="15"/>
      <c r="AF2352" s="15"/>
      <c r="AG2352" s="15"/>
      <c r="AH2352" s="15"/>
      <c r="AI2352" s="15"/>
      <c r="AJ2352" s="15"/>
      <c r="AK2352" s="213"/>
      <c r="AL2352" s="15"/>
      <c r="AM2352" s="209"/>
      <c r="AN2352" s="209"/>
    </row>
    <row r="2353" s="100" customFormat="1" spans="3:40">
      <c r="C2353" s="136"/>
      <c r="D2353" s="136"/>
      <c r="F2353" s="15"/>
      <c r="G2353" s="138"/>
      <c r="H2353" s="138"/>
      <c r="I2353" s="126"/>
      <c r="J2353" s="15"/>
      <c r="K2353" s="15"/>
      <c r="L2353" s="20"/>
      <c r="M2353" s="20"/>
      <c r="N2353" s="126"/>
      <c r="O2353" s="126"/>
      <c r="P2353" s="126"/>
      <c r="Q2353" s="171"/>
      <c r="R2353" s="172"/>
      <c r="S2353" s="203"/>
      <c r="AE2353" s="15"/>
      <c r="AF2353" s="15"/>
      <c r="AG2353" s="15"/>
      <c r="AH2353" s="15"/>
      <c r="AI2353" s="15"/>
      <c r="AJ2353" s="15"/>
      <c r="AK2353" s="213"/>
      <c r="AL2353" s="15"/>
      <c r="AM2353" s="209"/>
      <c r="AN2353" s="209"/>
    </row>
    <row r="2354" s="100" customFormat="1" spans="3:40">
      <c r="C2354" s="136"/>
      <c r="D2354" s="136"/>
      <c r="F2354" s="15"/>
      <c r="G2354" s="138"/>
      <c r="H2354" s="138"/>
      <c r="I2354" s="126"/>
      <c r="J2354" s="15"/>
      <c r="K2354" s="15"/>
      <c r="L2354" s="20"/>
      <c r="M2354" s="20"/>
      <c r="N2354" s="126"/>
      <c r="O2354" s="126"/>
      <c r="P2354" s="126"/>
      <c r="Q2354" s="171"/>
      <c r="R2354" s="172"/>
      <c r="S2354" s="203"/>
      <c r="AE2354" s="15"/>
      <c r="AF2354" s="15"/>
      <c r="AG2354" s="15"/>
      <c r="AH2354" s="15"/>
      <c r="AI2354" s="15"/>
      <c r="AJ2354" s="15"/>
      <c r="AK2354" s="213"/>
      <c r="AL2354" s="15"/>
      <c r="AM2354" s="209"/>
      <c r="AN2354" s="209"/>
    </row>
    <row r="2355" s="100" customFormat="1" spans="3:40">
      <c r="C2355" s="136"/>
      <c r="D2355" s="136"/>
      <c r="F2355" s="15"/>
      <c r="G2355" s="138"/>
      <c r="H2355" s="138"/>
      <c r="I2355" s="126"/>
      <c r="J2355" s="15"/>
      <c r="K2355" s="15"/>
      <c r="L2355" s="20"/>
      <c r="M2355" s="20"/>
      <c r="N2355" s="126"/>
      <c r="O2355" s="126"/>
      <c r="P2355" s="126"/>
      <c r="Q2355" s="171"/>
      <c r="R2355" s="172"/>
      <c r="S2355" s="203"/>
      <c r="AE2355" s="15"/>
      <c r="AF2355" s="15"/>
      <c r="AG2355" s="15"/>
      <c r="AH2355" s="15"/>
      <c r="AI2355" s="15"/>
      <c r="AJ2355" s="15"/>
      <c r="AK2355" s="213"/>
      <c r="AL2355" s="15"/>
      <c r="AM2355" s="209"/>
      <c r="AN2355" s="209"/>
    </row>
    <row r="2356" s="100" customFormat="1" spans="3:40">
      <c r="C2356" s="136"/>
      <c r="D2356" s="136"/>
      <c r="F2356" s="15"/>
      <c r="G2356" s="138"/>
      <c r="H2356" s="138"/>
      <c r="I2356" s="126"/>
      <c r="J2356" s="15"/>
      <c r="K2356" s="15"/>
      <c r="L2356" s="20"/>
      <c r="M2356" s="20"/>
      <c r="N2356" s="126"/>
      <c r="O2356" s="126"/>
      <c r="P2356" s="126"/>
      <c r="Q2356" s="171"/>
      <c r="R2356" s="172"/>
      <c r="S2356" s="172"/>
      <c r="AE2356" s="15"/>
      <c r="AF2356" s="15"/>
      <c r="AG2356" s="15"/>
      <c r="AH2356" s="15"/>
      <c r="AI2356" s="15"/>
      <c r="AJ2356" s="15"/>
      <c r="AK2356" s="15"/>
      <c r="AL2356" s="15"/>
      <c r="AM2356" s="209"/>
      <c r="AN2356" s="209"/>
    </row>
    <row r="2357" s="100" customFormat="1" spans="3:40">
      <c r="C2357" s="136"/>
      <c r="D2357" s="136"/>
      <c r="F2357" s="15"/>
      <c r="G2357" s="138"/>
      <c r="H2357" s="138"/>
      <c r="I2357" s="126"/>
      <c r="J2357" s="15"/>
      <c r="K2357" s="15"/>
      <c r="L2357" s="20"/>
      <c r="M2357" s="20"/>
      <c r="N2357" s="126"/>
      <c r="O2357" s="126"/>
      <c r="P2357" s="126"/>
      <c r="Q2357" s="171"/>
      <c r="R2357" s="172"/>
      <c r="S2357" s="172"/>
      <c r="AE2357" s="15"/>
      <c r="AF2357" s="15"/>
      <c r="AG2357" s="15"/>
      <c r="AH2357" s="15"/>
      <c r="AI2357" s="15"/>
      <c r="AJ2357" s="15"/>
      <c r="AK2357" s="15"/>
      <c r="AL2357" s="15"/>
      <c r="AM2357" s="209"/>
      <c r="AN2357" s="209"/>
    </row>
    <row r="2358" s="100" customFormat="1" spans="3:40">
      <c r="C2358" s="136"/>
      <c r="D2358" s="136"/>
      <c r="F2358" s="15"/>
      <c r="G2358" s="138"/>
      <c r="H2358" s="138"/>
      <c r="I2358" s="126"/>
      <c r="J2358" s="15"/>
      <c r="K2358" s="15"/>
      <c r="L2358" s="20"/>
      <c r="M2358" s="20"/>
      <c r="N2358" s="126"/>
      <c r="O2358" s="126"/>
      <c r="P2358" s="126"/>
      <c r="Q2358" s="171"/>
      <c r="R2358" s="172"/>
      <c r="S2358" s="172"/>
      <c r="AE2358" s="15"/>
      <c r="AF2358" s="15"/>
      <c r="AG2358" s="15"/>
      <c r="AH2358" s="15"/>
      <c r="AI2358" s="15"/>
      <c r="AJ2358" s="15"/>
      <c r="AK2358" s="15"/>
      <c r="AL2358" s="15"/>
      <c r="AM2358" s="209"/>
      <c r="AN2358" s="209"/>
    </row>
    <row r="2359" s="100" customFormat="1" spans="3:40">
      <c r="C2359" s="136"/>
      <c r="D2359" s="136"/>
      <c r="F2359" s="15"/>
      <c r="G2359" s="138"/>
      <c r="H2359" s="138"/>
      <c r="I2359" s="126"/>
      <c r="J2359" s="15"/>
      <c r="K2359" s="15"/>
      <c r="L2359" s="20"/>
      <c r="M2359" s="20"/>
      <c r="N2359" s="126"/>
      <c r="O2359" s="126"/>
      <c r="P2359" s="126"/>
      <c r="Q2359" s="171"/>
      <c r="R2359" s="172"/>
      <c r="S2359" s="172"/>
      <c r="AE2359" s="15"/>
      <c r="AF2359" s="15"/>
      <c r="AG2359" s="15"/>
      <c r="AH2359" s="15"/>
      <c r="AI2359" s="15"/>
      <c r="AJ2359" s="15"/>
      <c r="AK2359" s="15"/>
      <c r="AL2359" s="211"/>
      <c r="AM2359" s="209"/>
      <c r="AN2359" s="209"/>
    </row>
    <row r="2360" s="100" customFormat="1" spans="3:40">
      <c r="C2360" s="136"/>
      <c r="D2360" s="136"/>
      <c r="F2360" s="15"/>
      <c r="G2360" s="138"/>
      <c r="H2360" s="138"/>
      <c r="I2360" s="126"/>
      <c r="J2360" s="15"/>
      <c r="K2360" s="15"/>
      <c r="L2360" s="20"/>
      <c r="M2360" s="20"/>
      <c r="N2360" s="126"/>
      <c r="O2360" s="126"/>
      <c r="P2360" s="126"/>
      <c r="Q2360" s="171"/>
      <c r="R2360" s="172"/>
      <c r="S2360" s="172"/>
      <c r="AE2360" s="15"/>
      <c r="AF2360" s="15"/>
      <c r="AG2360" s="15"/>
      <c r="AH2360" s="15"/>
      <c r="AI2360" s="15"/>
      <c r="AJ2360" s="15"/>
      <c r="AK2360" s="15"/>
      <c r="AL2360" s="15"/>
      <c r="AM2360" s="209"/>
      <c r="AN2360" s="209"/>
    </row>
    <row r="2361" s="100" customFormat="1" spans="3:40">
      <c r="C2361" s="136"/>
      <c r="D2361" s="136"/>
      <c r="F2361" s="15"/>
      <c r="G2361" s="138"/>
      <c r="H2361" s="138"/>
      <c r="I2361" s="126"/>
      <c r="J2361" s="15"/>
      <c r="K2361" s="15"/>
      <c r="L2361" s="20"/>
      <c r="M2361" s="20"/>
      <c r="N2361" s="126"/>
      <c r="O2361" s="126"/>
      <c r="P2361" s="126"/>
      <c r="Q2361" s="171"/>
      <c r="R2361" s="172"/>
      <c r="S2361" s="172"/>
      <c r="AE2361" s="15"/>
      <c r="AF2361" s="15"/>
      <c r="AG2361" s="15"/>
      <c r="AH2361" s="15"/>
      <c r="AI2361" s="15"/>
      <c r="AJ2361" s="15"/>
      <c r="AK2361" s="15"/>
      <c r="AL2361" s="211"/>
      <c r="AM2361" s="209"/>
      <c r="AN2361" s="209"/>
    </row>
    <row r="2362" s="100" customFormat="1" spans="3:40">
      <c r="C2362" s="136"/>
      <c r="D2362" s="136"/>
      <c r="F2362" s="15"/>
      <c r="G2362" s="138"/>
      <c r="H2362" s="138"/>
      <c r="I2362" s="126"/>
      <c r="J2362" s="15"/>
      <c r="K2362" s="15"/>
      <c r="L2362" s="20"/>
      <c r="M2362" s="20"/>
      <c r="N2362" s="126"/>
      <c r="O2362" s="126"/>
      <c r="P2362" s="126"/>
      <c r="Q2362" s="171"/>
      <c r="R2362" s="172"/>
      <c r="S2362" s="172"/>
      <c r="AE2362" s="15"/>
      <c r="AF2362" s="15"/>
      <c r="AG2362" s="15"/>
      <c r="AH2362" s="15"/>
      <c r="AI2362" s="15"/>
      <c r="AJ2362" s="15"/>
      <c r="AK2362" s="15"/>
      <c r="AL2362" s="15"/>
      <c r="AM2362" s="209"/>
      <c r="AN2362" s="209"/>
    </row>
    <row r="2363" s="100" customFormat="1" spans="3:40">
      <c r="C2363" s="136"/>
      <c r="D2363" s="136"/>
      <c r="F2363" s="15"/>
      <c r="G2363" s="138"/>
      <c r="H2363" s="138"/>
      <c r="I2363" s="126"/>
      <c r="J2363" s="15"/>
      <c r="K2363" s="15"/>
      <c r="L2363" s="20"/>
      <c r="M2363" s="20"/>
      <c r="N2363" s="126"/>
      <c r="O2363" s="126"/>
      <c r="P2363" s="126"/>
      <c r="Q2363" s="171"/>
      <c r="R2363" s="172"/>
      <c r="S2363" s="172"/>
      <c r="AE2363" s="15"/>
      <c r="AF2363" s="15"/>
      <c r="AG2363" s="15"/>
      <c r="AH2363" s="15"/>
      <c r="AI2363" s="15"/>
      <c r="AJ2363" s="15"/>
      <c r="AK2363" s="15"/>
      <c r="AL2363" s="15"/>
      <c r="AM2363" s="209"/>
      <c r="AN2363" s="210"/>
    </row>
    <row r="2364" s="100" customFormat="1" spans="3:40">
      <c r="C2364" s="136"/>
      <c r="D2364" s="136"/>
      <c r="F2364" s="15"/>
      <c r="G2364" s="138"/>
      <c r="H2364" s="138"/>
      <c r="I2364" s="126"/>
      <c r="J2364" s="15"/>
      <c r="K2364" s="15"/>
      <c r="L2364" s="20"/>
      <c r="M2364" s="20"/>
      <c r="N2364" s="126"/>
      <c r="O2364" s="126"/>
      <c r="P2364" s="126"/>
      <c r="Q2364" s="171"/>
      <c r="R2364" s="172"/>
      <c r="S2364" s="172"/>
      <c r="AE2364" s="15"/>
      <c r="AF2364" s="15"/>
      <c r="AG2364" s="15"/>
      <c r="AH2364" s="15"/>
      <c r="AI2364" s="15"/>
      <c r="AJ2364" s="15"/>
      <c r="AK2364" s="15"/>
      <c r="AL2364" s="15"/>
      <c r="AM2364" s="209"/>
      <c r="AN2364" s="209"/>
    </row>
    <row r="2365" s="100" customFormat="1" spans="3:40">
      <c r="C2365" s="136"/>
      <c r="D2365" s="136"/>
      <c r="F2365" s="15"/>
      <c r="G2365" s="138"/>
      <c r="H2365" s="138"/>
      <c r="I2365" s="126"/>
      <c r="J2365" s="15"/>
      <c r="K2365" s="15"/>
      <c r="L2365" s="20"/>
      <c r="M2365" s="20"/>
      <c r="N2365" s="126"/>
      <c r="O2365" s="126"/>
      <c r="P2365" s="126"/>
      <c r="Q2365" s="171"/>
      <c r="R2365" s="172"/>
      <c r="S2365" s="172"/>
      <c r="AE2365" s="15"/>
      <c r="AF2365" s="15"/>
      <c r="AG2365" s="15"/>
      <c r="AH2365" s="15"/>
      <c r="AI2365" s="15"/>
      <c r="AJ2365" s="15"/>
      <c r="AK2365" s="15"/>
      <c r="AL2365" s="15"/>
      <c r="AM2365" s="209"/>
      <c r="AN2365" s="209"/>
    </row>
    <row r="2366" s="100" customFormat="1" spans="3:40">
      <c r="C2366" s="136"/>
      <c r="D2366" s="136"/>
      <c r="F2366" s="15"/>
      <c r="G2366" s="138"/>
      <c r="H2366" s="138"/>
      <c r="I2366" s="126"/>
      <c r="J2366" s="15"/>
      <c r="K2366" s="15"/>
      <c r="L2366" s="20"/>
      <c r="M2366" s="20"/>
      <c r="N2366" s="126"/>
      <c r="O2366" s="126"/>
      <c r="P2366" s="126"/>
      <c r="Q2366" s="171"/>
      <c r="R2366" s="172"/>
      <c r="S2366" s="172"/>
      <c r="AE2366" s="15"/>
      <c r="AF2366" s="15"/>
      <c r="AG2366" s="15"/>
      <c r="AH2366" s="15"/>
      <c r="AI2366" s="15"/>
      <c r="AJ2366" s="15"/>
      <c r="AK2366" s="15"/>
      <c r="AL2366" s="15"/>
      <c r="AM2366" s="209"/>
      <c r="AN2366" s="209"/>
    </row>
    <row r="2367" s="100" customFormat="1" spans="3:40">
      <c r="C2367" s="136"/>
      <c r="D2367" s="136"/>
      <c r="F2367" s="15"/>
      <c r="G2367" s="138"/>
      <c r="H2367" s="138"/>
      <c r="I2367" s="126"/>
      <c r="J2367" s="15"/>
      <c r="K2367" s="15"/>
      <c r="L2367" s="20"/>
      <c r="M2367" s="20"/>
      <c r="N2367" s="126"/>
      <c r="O2367" s="126"/>
      <c r="P2367" s="126"/>
      <c r="Q2367" s="171"/>
      <c r="R2367" s="172"/>
      <c r="S2367" s="172"/>
      <c r="AE2367" s="15"/>
      <c r="AF2367" s="15"/>
      <c r="AG2367" s="15"/>
      <c r="AH2367" s="15"/>
      <c r="AI2367" s="15"/>
      <c r="AJ2367" s="15"/>
      <c r="AK2367" s="15"/>
      <c r="AL2367" s="211"/>
      <c r="AM2367" s="209"/>
      <c r="AN2367" s="209"/>
    </row>
    <row r="2368" s="100" customFormat="1" spans="3:40">
      <c r="C2368" s="136"/>
      <c r="D2368" s="136"/>
      <c r="F2368" s="15"/>
      <c r="G2368" s="138"/>
      <c r="H2368" s="138"/>
      <c r="I2368" s="126"/>
      <c r="J2368" s="15"/>
      <c r="K2368" s="15"/>
      <c r="L2368" s="20"/>
      <c r="M2368" s="20"/>
      <c r="N2368" s="126"/>
      <c r="O2368" s="126"/>
      <c r="P2368" s="126"/>
      <c r="Q2368" s="171"/>
      <c r="R2368" s="172"/>
      <c r="S2368" s="172"/>
      <c r="AE2368" s="15"/>
      <c r="AF2368" s="15"/>
      <c r="AG2368" s="15"/>
      <c r="AH2368" s="15"/>
      <c r="AI2368" s="15"/>
      <c r="AJ2368" s="15"/>
      <c r="AK2368" s="15"/>
      <c r="AL2368" s="15"/>
      <c r="AM2368" s="209"/>
      <c r="AN2368" s="209"/>
    </row>
    <row r="2369" s="100" customFormat="1" spans="3:40">
      <c r="C2369" s="136"/>
      <c r="D2369" s="136"/>
      <c r="F2369" s="15"/>
      <c r="G2369" s="138"/>
      <c r="H2369" s="138"/>
      <c r="I2369" s="126"/>
      <c r="J2369" s="15"/>
      <c r="K2369" s="15"/>
      <c r="L2369" s="20"/>
      <c r="M2369" s="20"/>
      <c r="N2369" s="126"/>
      <c r="O2369" s="126"/>
      <c r="P2369" s="126"/>
      <c r="Q2369" s="171"/>
      <c r="R2369" s="172"/>
      <c r="S2369" s="172"/>
      <c r="AE2369" s="15"/>
      <c r="AF2369" s="15"/>
      <c r="AG2369" s="15"/>
      <c r="AH2369" s="15"/>
      <c r="AI2369" s="15"/>
      <c r="AJ2369" s="15"/>
      <c r="AK2369" s="15"/>
      <c r="AL2369" s="15"/>
      <c r="AM2369" s="209"/>
      <c r="AN2369" s="209"/>
    </row>
    <row r="2370" s="100" customFormat="1" spans="3:40">
      <c r="C2370" s="136"/>
      <c r="D2370" s="136"/>
      <c r="F2370" s="15"/>
      <c r="G2370" s="138"/>
      <c r="H2370" s="138"/>
      <c r="I2370" s="126"/>
      <c r="J2370" s="15"/>
      <c r="K2370" s="15"/>
      <c r="L2370" s="20"/>
      <c r="M2370" s="20"/>
      <c r="N2370" s="126"/>
      <c r="O2370" s="126"/>
      <c r="P2370" s="126"/>
      <c r="Q2370" s="171"/>
      <c r="R2370" s="172"/>
      <c r="S2370" s="172"/>
      <c r="AE2370" s="15"/>
      <c r="AF2370" s="15"/>
      <c r="AG2370" s="15"/>
      <c r="AH2370" s="15"/>
      <c r="AI2370" s="15"/>
      <c r="AJ2370" s="15"/>
      <c r="AK2370" s="15"/>
      <c r="AL2370" s="15"/>
      <c r="AM2370" s="209"/>
      <c r="AN2370" s="209"/>
    </row>
    <row r="2371" s="100" customFormat="1" spans="3:40">
      <c r="C2371" s="136"/>
      <c r="D2371" s="136"/>
      <c r="F2371" s="15"/>
      <c r="G2371" s="138"/>
      <c r="H2371" s="138"/>
      <c r="I2371" s="126"/>
      <c r="J2371" s="15"/>
      <c r="K2371" s="15"/>
      <c r="L2371" s="20"/>
      <c r="M2371" s="20"/>
      <c r="N2371" s="126"/>
      <c r="O2371" s="126"/>
      <c r="P2371" s="126"/>
      <c r="Q2371" s="171"/>
      <c r="R2371" s="172"/>
      <c r="S2371" s="172"/>
      <c r="AE2371" s="15"/>
      <c r="AF2371" s="15"/>
      <c r="AG2371" s="15"/>
      <c r="AH2371" s="15"/>
      <c r="AI2371" s="15"/>
      <c r="AJ2371" s="15"/>
      <c r="AK2371" s="15"/>
      <c r="AL2371" s="15"/>
      <c r="AM2371" s="209"/>
      <c r="AN2371" s="209"/>
    </row>
    <row r="2372" s="100" customFormat="1" spans="3:40">
      <c r="C2372" s="136"/>
      <c r="D2372" s="136"/>
      <c r="F2372" s="15"/>
      <c r="G2372" s="138"/>
      <c r="H2372" s="138"/>
      <c r="I2372" s="126"/>
      <c r="J2372" s="15"/>
      <c r="K2372" s="15"/>
      <c r="L2372" s="20"/>
      <c r="M2372" s="20"/>
      <c r="N2372" s="126"/>
      <c r="O2372" s="126"/>
      <c r="P2372" s="126"/>
      <c r="Q2372" s="171"/>
      <c r="R2372" s="172"/>
      <c r="S2372" s="172"/>
      <c r="AE2372" s="15"/>
      <c r="AF2372" s="15"/>
      <c r="AG2372" s="15"/>
      <c r="AH2372" s="15"/>
      <c r="AI2372" s="15"/>
      <c r="AJ2372" s="15"/>
      <c r="AK2372" s="15"/>
      <c r="AL2372" s="211"/>
      <c r="AM2372" s="209"/>
      <c r="AN2372" s="209"/>
    </row>
    <row r="2373" s="100" customFormat="1" spans="3:40">
      <c r="C2373" s="136"/>
      <c r="D2373" s="136"/>
      <c r="F2373" s="15"/>
      <c r="G2373" s="138"/>
      <c r="H2373" s="138"/>
      <c r="I2373" s="126"/>
      <c r="J2373" s="15"/>
      <c r="K2373" s="15"/>
      <c r="L2373" s="20"/>
      <c r="M2373" s="20"/>
      <c r="N2373" s="126"/>
      <c r="O2373" s="126"/>
      <c r="P2373" s="126"/>
      <c r="Q2373" s="171"/>
      <c r="R2373" s="172"/>
      <c r="S2373" s="172"/>
      <c r="AE2373" s="15"/>
      <c r="AF2373" s="15"/>
      <c r="AG2373" s="15"/>
      <c r="AH2373" s="15"/>
      <c r="AI2373" s="15"/>
      <c r="AJ2373" s="15"/>
      <c r="AK2373" s="15"/>
      <c r="AL2373" s="15"/>
      <c r="AM2373" s="209"/>
      <c r="AN2373" s="209"/>
    </row>
    <row r="2374" s="100" customFormat="1" spans="3:40">
      <c r="C2374" s="136"/>
      <c r="D2374" s="136"/>
      <c r="F2374" s="15"/>
      <c r="G2374" s="138"/>
      <c r="H2374" s="138"/>
      <c r="I2374" s="126"/>
      <c r="J2374" s="15"/>
      <c r="K2374" s="15"/>
      <c r="L2374" s="20"/>
      <c r="M2374" s="20"/>
      <c r="N2374" s="126"/>
      <c r="O2374" s="126"/>
      <c r="P2374" s="126"/>
      <c r="Q2374" s="171"/>
      <c r="R2374" s="172"/>
      <c r="S2374" s="172"/>
      <c r="AE2374" s="15"/>
      <c r="AF2374" s="15"/>
      <c r="AG2374" s="15"/>
      <c r="AH2374" s="15"/>
      <c r="AI2374" s="15"/>
      <c r="AJ2374" s="15"/>
      <c r="AK2374" s="15"/>
      <c r="AL2374" s="15"/>
      <c r="AM2374" s="209"/>
      <c r="AN2374" s="209"/>
    </row>
    <row r="2375" s="100" customFormat="1" spans="3:40">
      <c r="C2375" s="136"/>
      <c r="D2375" s="136"/>
      <c r="F2375" s="15"/>
      <c r="G2375" s="138"/>
      <c r="H2375" s="138"/>
      <c r="I2375" s="126"/>
      <c r="J2375" s="15"/>
      <c r="K2375" s="15"/>
      <c r="L2375" s="20"/>
      <c r="M2375" s="20"/>
      <c r="N2375" s="126"/>
      <c r="O2375" s="126"/>
      <c r="P2375" s="126"/>
      <c r="Q2375" s="171"/>
      <c r="R2375" s="172"/>
      <c r="S2375" s="172"/>
      <c r="AE2375" s="15"/>
      <c r="AF2375" s="15"/>
      <c r="AG2375" s="15"/>
      <c r="AH2375" s="15"/>
      <c r="AI2375" s="15"/>
      <c r="AJ2375" s="15"/>
      <c r="AK2375" s="15"/>
      <c r="AL2375" s="15"/>
      <c r="AM2375" s="209"/>
      <c r="AN2375" s="209"/>
    </row>
    <row r="2376" s="100" customFormat="1" spans="3:40">
      <c r="C2376" s="136"/>
      <c r="D2376" s="136"/>
      <c r="F2376" s="15"/>
      <c r="G2376" s="138"/>
      <c r="H2376" s="138"/>
      <c r="I2376" s="126"/>
      <c r="J2376" s="15"/>
      <c r="K2376" s="15"/>
      <c r="L2376" s="20"/>
      <c r="M2376" s="20"/>
      <c r="N2376" s="126"/>
      <c r="O2376" s="126"/>
      <c r="P2376" s="126"/>
      <c r="Q2376" s="171"/>
      <c r="R2376" s="172"/>
      <c r="S2376" s="172"/>
      <c r="AE2376" s="15"/>
      <c r="AF2376" s="15"/>
      <c r="AG2376" s="15"/>
      <c r="AH2376" s="15"/>
      <c r="AI2376" s="15"/>
      <c r="AJ2376" s="15"/>
      <c r="AK2376" s="15"/>
      <c r="AL2376" s="15"/>
      <c r="AM2376" s="209"/>
      <c r="AN2376" s="209"/>
    </row>
    <row r="2377" s="100" customFormat="1" spans="3:40">
      <c r="C2377" s="136"/>
      <c r="D2377" s="136"/>
      <c r="F2377" s="15"/>
      <c r="G2377" s="138"/>
      <c r="H2377" s="138"/>
      <c r="I2377" s="126"/>
      <c r="J2377" s="15"/>
      <c r="K2377" s="15"/>
      <c r="L2377" s="20"/>
      <c r="M2377" s="20"/>
      <c r="N2377" s="126"/>
      <c r="O2377" s="126"/>
      <c r="P2377" s="126"/>
      <c r="Q2377" s="171"/>
      <c r="R2377" s="172"/>
      <c r="S2377" s="172"/>
      <c r="AE2377" s="15"/>
      <c r="AF2377" s="15"/>
      <c r="AG2377" s="15"/>
      <c r="AH2377" s="15"/>
      <c r="AI2377" s="15"/>
      <c r="AJ2377" s="15"/>
      <c r="AK2377" s="15"/>
      <c r="AL2377" s="15"/>
      <c r="AM2377" s="209"/>
      <c r="AN2377" s="209"/>
    </row>
    <row r="2378" s="100" customFormat="1" spans="3:40">
      <c r="C2378" s="136"/>
      <c r="D2378" s="136"/>
      <c r="F2378" s="15"/>
      <c r="G2378" s="138"/>
      <c r="H2378" s="138"/>
      <c r="I2378" s="126"/>
      <c r="J2378" s="15"/>
      <c r="K2378" s="15"/>
      <c r="L2378" s="20"/>
      <c r="M2378" s="20"/>
      <c r="N2378" s="126"/>
      <c r="O2378" s="126"/>
      <c r="P2378" s="126"/>
      <c r="Q2378" s="171"/>
      <c r="R2378" s="172"/>
      <c r="S2378" s="172"/>
      <c r="AE2378" s="15"/>
      <c r="AF2378" s="15"/>
      <c r="AG2378" s="15"/>
      <c r="AH2378" s="15"/>
      <c r="AI2378" s="15"/>
      <c r="AJ2378" s="15"/>
      <c r="AK2378" s="15"/>
      <c r="AL2378" s="15"/>
      <c r="AM2378" s="209"/>
      <c r="AN2378" s="209"/>
    </row>
    <row r="2379" s="100" customFormat="1" spans="3:40">
      <c r="C2379" s="136"/>
      <c r="D2379" s="136"/>
      <c r="F2379" s="15"/>
      <c r="G2379" s="138"/>
      <c r="H2379" s="138"/>
      <c r="I2379" s="126"/>
      <c r="J2379" s="15"/>
      <c r="K2379" s="15"/>
      <c r="L2379" s="20"/>
      <c r="M2379" s="20"/>
      <c r="N2379" s="126"/>
      <c r="O2379" s="126"/>
      <c r="P2379" s="126"/>
      <c r="Q2379" s="171"/>
      <c r="R2379" s="172"/>
      <c r="S2379" s="172"/>
      <c r="AE2379" s="15"/>
      <c r="AF2379" s="15"/>
      <c r="AG2379" s="15"/>
      <c r="AH2379" s="15"/>
      <c r="AI2379" s="15"/>
      <c r="AJ2379" s="15"/>
      <c r="AK2379" s="15"/>
      <c r="AL2379" s="15"/>
      <c r="AM2379" s="209"/>
      <c r="AN2379" s="209"/>
    </row>
    <row r="2380" s="100" customFormat="1" spans="3:40">
      <c r="C2380" s="136"/>
      <c r="D2380" s="136"/>
      <c r="F2380" s="15"/>
      <c r="G2380" s="138"/>
      <c r="H2380" s="138"/>
      <c r="I2380" s="126"/>
      <c r="J2380" s="15"/>
      <c r="K2380" s="15"/>
      <c r="L2380" s="20"/>
      <c r="M2380" s="20"/>
      <c r="N2380" s="126"/>
      <c r="O2380" s="126"/>
      <c r="P2380" s="126"/>
      <c r="Q2380" s="171"/>
      <c r="R2380" s="172"/>
      <c r="S2380" s="172"/>
      <c r="AE2380" s="15"/>
      <c r="AF2380" s="15"/>
      <c r="AG2380" s="15"/>
      <c r="AH2380" s="15"/>
      <c r="AI2380" s="15"/>
      <c r="AJ2380" s="15"/>
      <c r="AK2380" s="15"/>
      <c r="AL2380" s="15"/>
      <c r="AM2380" s="209"/>
      <c r="AN2380" s="209"/>
    </row>
    <row r="2381" s="100" customFormat="1" spans="3:40">
      <c r="C2381" s="136"/>
      <c r="D2381" s="136"/>
      <c r="F2381" s="15"/>
      <c r="G2381" s="138"/>
      <c r="H2381" s="138"/>
      <c r="I2381" s="126"/>
      <c r="J2381" s="15"/>
      <c r="K2381" s="15"/>
      <c r="L2381" s="20"/>
      <c r="M2381" s="20"/>
      <c r="N2381" s="126"/>
      <c r="O2381" s="126"/>
      <c r="P2381" s="126"/>
      <c r="Q2381" s="171"/>
      <c r="R2381" s="172"/>
      <c r="S2381" s="172"/>
      <c r="AE2381" s="15"/>
      <c r="AF2381" s="15"/>
      <c r="AG2381" s="15"/>
      <c r="AH2381" s="15"/>
      <c r="AI2381" s="15"/>
      <c r="AJ2381" s="15"/>
      <c r="AK2381" s="15"/>
      <c r="AL2381" s="15"/>
      <c r="AM2381" s="209"/>
      <c r="AN2381" s="209"/>
    </row>
    <row r="2382" s="100" customFormat="1" spans="3:40">
      <c r="C2382" s="136"/>
      <c r="D2382" s="136"/>
      <c r="F2382" s="15"/>
      <c r="G2382" s="138"/>
      <c r="H2382" s="138"/>
      <c r="I2382" s="126"/>
      <c r="J2382" s="15"/>
      <c r="K2382" s="15"/>
      <c r="L2382" s="20"/>
      <c r="M2382" s="20"/>
      <c r="N2382" s="126"/>
      <c r="O2382" s="126"/>
      <c r="P2382" s="126"/>
      <c r="Q2382" s="171"/>
      <c r="R2382" s="172"/>
      <c r="S2382" s="172"/>
      <c r="AE2382" s="15"/>
      <c r="AF2382" s="15"/>
      <c r="AG2382" s="15"/>
      <c r="AH2382" s="15"/>
      <c r="AI2382" s="15"/>
      <c r="AJ2382" s="15"/>
      <c r="AK2382" s="15"/>
      <c r="AL2382" s="15"/>
      <c r="AM2382" s="209"/>
      <c r="AN2382" s="209"/>
    </row>
    <row r="2383" s="100" customFormat="1" spans="3:40">
      <c r="C2383" s="136"/>
      <c r="D2383" s="136"/>
      <c r="F2383" s="15"/>
      <c r="G2383" s="138"/>
      <c r="H2383" s="138"/>
      <c r="I2383" s="126"/>
      <c r="J2383" s="15"/>
      <c r="K2383" s="15"/>
      <c r="L2383" s="20"/>
      <c r="M2383" s="20"/>
      <c r="N2383" s="126"/>
      <c r="O2383" s="126"/>
      <c r="P2383" s="126"/>
      <c r="Q2383" s="171"/>
      <c r="R2383" s="172"/>
      <c r="S2383" s="172"/>
      <c r="AE2383" s="15"/>
      <c r="AF2383" s="15"/>
      <c r="AG2383" s="15"/>
      <c r="AH2383" s="15"/>
      <c r="AI2383" s="15"/>
      <c r="AJ2383" s="15"/>
      <c r="AK2383" s="15"/>
      <c r="AL2383" s="15"/>
      <c r="AM2383" s="209"/>
      <c r="AN2383" s="209"/>
    </row>
    <row r="2384" s="100" customFormat="1" spans="3:40">
      <c r="C2384" s="136"/>
      <c r="D2384" s="136"/>
      <c r="F2384" s="15"/>
      <c r="G2384" s="138"/>
      <c r="H2384" s="138"/>
      <c r="I2384" s="126"/>
      <c r="J2384" s="15"/>
      <c r="K2384" s="15"/>
      <c r="L2384" s="20"/>
      <c r="M2384" s="20"/>
      <c r="N2384" s="126"/>
      <c r="O2384" s="126"/>
      <c r="P2384" s="126"/>
      <c r="Q2384" s="171"/>
      <c r="R2384" s="172"/>
      <c r="S2384" s="172"/>
      <c r="AE2384" s="15"/>
      <c r="AF2384" s="15"/>
      <c r="AG2384" s="15"/>
      <c r="AH2384" s="15"/>
      <c r="AI2384" s="15"/>
      <c r="AJ2384" s="15"/>
      <c r="AK2384" s="15"/>
      <c r="AL2384" s="15"/>
      <c r="AM2384" s="209"/>
      <c r="AN2384" s="209"/>
    </row>
    <row r="2385" s="100" customFormat="1" spans="3:40">
      <c r="C2385" s="136"/>
      <c r="D2385" s="136"/>
      <c r="F2385" s="15"/>
      <c r="G2385" s="138"/>
      <c r="H2385" s="138"/>
      <c r="I2385" s="126"/>
      <c r="J2385" s="15"/>
      <c r="K2385" s="15"/>
      <c r="L2385" s="20"/>
      <c r="M2385" s="20"/>
      <c r="N2385" s="126"/>
      <c r="O2385" s="126"/>
      <c r="P2385" s="126"/>
      <c r="Q2385" s="171"/>
      <c r="R2385" s="172"/>
      <c r="S2385" s="172"/>
      <c r="AE2385" s="15"/>
      <c r="AF2385" s="15"/>
      <c r="AG2385" s="15"/>
      <c r="AH2385" s="15"/>
      <c r="AI2385" s="15"/>
      <c r="AJ2385" s="15"/>
      <c r="AK2385" s="15"/>
      <c r="AL2385" s="15"/>
      <c r="AM2385" s="209"/>
      <c r="AN2385" s="209"/>
    </row>
    <row r="2386" s="100" customFormat="1" spans="3:40">
      <c r="C2386" s="136"/>
      <c r="D2386" s="136"/>
      <c r="F2386" s="15"/>
      <c r="G2386" s="138"/>
      <c r="H2386" s="138"/>
      <c r="I2386" s="126"/>
      <c r="J2386" s="15"/>
      <c r="K2386" s="15"/>
      <c r="L2386" s="20"/>
      <c r="M2386" s="20"/>
      <c r="N2386" s="126"/>
      <c r="O2386" s="126"/>
      <c r="P2386" s="126"/>
      <c r="Q2386" s="171"/>
      <c r="R2386" s="172"/>
      <c r="S2386" s="172"/>
      <c r="AE2386" s="15"/>
      <c r="AF2386" s="15"/>
      <c r="AG2386" s="15"/>
      <c r="AH2386" s="15"/>
      <c r="AI2386" s="15"/>
      <c r="AJ2386" s="15"/>
      <c r="AK2386" s="15"/>
      <c r="AL2386" s="15"/>
      <c r="AM2386" s="209"/>
      <c r="AN2386" s="209"/>
    </row>
    <row r="2387" s="100" customFormat="1" spans="3:40">
      <c r="C2387" s="136"/>
      <c r="D2387" s="136"/>
      <c r="F2387" s="15"/>
      <c r="G2387" s="138"/>
      <c r="H2387" s="138"/>
      <c r="I2387" s="126"/>
      <c r="J2387" s="15"/>
      <c r="K2387" s="15"/>
      <c r="L2387" s="20"/>
      <c r="M2387" s="20"/>
      <c r="N2387" s="126"/>
      <c r="O2387" s="126"/>
      <c r="P2387" s="126"/>
      <c r="Q2387" s="171"/>
      <c r="R2387" s="172"/>
      <c r="S2387" s="172"/>
      <c r="AE2387" s="15"/>
      <c r="AF2387" s="15"/>
      <c r="AG2387" s="15"/>
      <c r="AH2387" s="15"/>
      <c r="AI2387" s="15"/>
      <c r="AJ2387" s="15"/>
      <c r="AK2387" s="15"/>
      <c r="AL2387" s="15"/>
      <c r="AM2387" s="209"/>
      <c r="AN2387" s="209"/>
    </row>
    <row r="2388" s="100" customFormat="1" spans="3:40">
      <c r="C2388" s="136"/>
      <c r="D2388" s="136"/>
      <c r="F2388" s="15"/>
      <c r="G2388" s="138"/>
      <c r="H2388" s="138"/>
      <c r="I2388" s="126"/>
      <c r="J2388" s="15"/>
      <c r="K2388" s="15"/>
      <c r="L2388" s="20"/>
      <c r="M2388" s="20"/>
      <c r="N2388" s="126"/>
      <c r="O2388" s="126"/>
      <c r="P2388" s="126"/>
      <c r="Q2388" s="171"/>
      <c r="R2388" s="172"/>
      <c r="S2388" s="172"/>
      <c r="AE2388" s="15"/>
      <c r="AF2388" s="15"/>
      <c r="AG2388" s="15"/>
      <c r="AH2388" s="15"/>
      <c r="AI2388" s="15"/>
      <c r="AJ2388" s="15"/>
      <c r="AK2388" s="15"/>
      <c r="AL2388" s="15"/>
      <c r="AM2388" s="209"/>
      <c r="AN2388" s="209"/>
    </row>
    <row r="2389" s="100" customFormat="1" spans="3:40">
      <c r="C2389" s="136"/>
      <c r="D2389" s="136"/>
      <c r="F2389" s="15"/>
      <c r="G2389" s="138"/>
      <c r="H2389" s="138"/>
      <c r="I2389" s="126"/>
      <c r="J2389" s="15"/>
      <c r="K2389" s="15"/>
      <c r="L2389" s="20"/>
      <c r="M2389" s="20"/>
      <c r="N2389" s="126"/>
      <c r="O2389" s="126"/>
      <c r="P2389" s="126"/>
      <c r="Q2389" s="171"/>
      <c r="R2389" s="172"/>
      <c r="S2389" s="172"/>
      <c r="AE2389" s="15"/>
      <c r="AF2389" s="15"/>
      <c r="AG2389" s="15"/>
      <c r="AH2389" s="15"/>
      <c r="AI2389" s="15"/>
      <c r="AJ2389" s="15"/>
      <c r="AK2389" s="15"/>
      <c r="AL2389" s="15"/>
      <c r="AM2389" s="209"/>
      <c r="AN2389" s="209"/>
    </row>
    <row r="2390" s="100" customFormat="1" spans="3:40">
      <c r="C2390" s="136"/>
      <c r="D2390" s="136"/>
      <c r="F2390" s="15"/>
      <c r="G2390" s="138"/>
      <c r="H2390" s="138"/>
      <c r="I2390" s="126"/>
      <c r="J2390" s="15"/>
      <c r="K2390" s="15"/>
      <c r="L2390" s="20"/>
      <c r="M2390" s="20"/>
      <c r="N2390" s="126"/>
      <c r="O2390" s="126"/>
      <c r="P2390" s="126"/>
      <c r="Q2390" s="171"/>
      <c r="R2390" s="172"/>
      <c r="S2390" s="172"/>
      <c r="AE2390" s="15"/>
      <c r="AF2390" s="15"/>
      <c r="AG2390" s="15"/>
      <c r="AH2390" s="15"/>
      <c r="AI2390" s="15"/>
      <c r="AJ2390" s="15"/>
      <c r="AK2390" s="15"/>
      <c r="AL2390" s="15"/>
      <c r="AM2390" s="209"/>
      <c r="AN2390" s="209"/>
    </row>
    <row r="2391" s="100" customFormat="1" spans="3:40">
      <c r="C2391" s="136"/>
      <c r="D2391" s="136"/>
      <c r="F2391" s="15"/>
      <c r="G2391" s="138"/>
      <c r="H2391" s="138"/>
      <c r="I2391" s="126"/>
      <c r="J2391" s="15"/>
      <c r="K2391" s="15"/>
      <c r="L2391" s="20"/>
      <c r="M2391" s="20"/>
      <c r="N2391" s="126"/>
      <c r="O2391" s="126"/>
      <c r="P2391" s="126"/>
      <c r="Q2391" s="171"/>
      <c r="R2391" s="172"/>
      <c r="S2391" s="172"/>
      <c r="AE2391" s="15"/>
      <c r="AF2391" s="15"/>
      <c r="AG2391" s="15"/>
      <c r="AH2391" s="15"/>
      <c r="AI2391" s="15"/>
      <c r="AJ2391" s="15"/>
      <c r="AK2391" s="15"/>
      <c r="AL2391" s="15"/>
      <c r="AM2391" s="209"/>
      <c r="AN2391" s="209"/>
    </row>
    <row r="2392" s="100" customFormat="1" spans="3:40">
      <c r="C2392" s="136"/>
      <c r="D2392" s="136"/>
      <c r="F2392" s="15"/>
      <c r="G2392" s="138"/>
      <c r="H2392" s="138"/>
      <c r="I2392" s="126"/>
      <c r="J2392" s="15"/>
      <c r="K2392" s="15"/>
      <c r="L2392" s="20"/>
      <c r="M2392" s="20"/>
      <c r="N2392" s="126"/>
      <c r="O2392" s="126"/>
      <c r="P2392" s="126"/>
      <c r="Q2392" s="171"/>
      <c r="R2392" s="172"/>
      <c r="S2392" s="172"/>
      <c r="AE2392" s="15"/>
      <c r="AF2392" s="15"/>
      <c r="AG2392" s="15"/>
      <c r="AH2392" s="15"/>
      <c r="AI2392" s="15"/>
      <c r="AJ2392" s="15"/>
      <c r="AK2392" s="15"/>
      <c r="AL2392" s="15"/>
      <c r="AM2392" s="209"/>
      <c r="AN2392" s="209"/>
    </row>
    <row r="2393" s="100" customFormat="1" spans="3:40">
      <c r="C2393" s="136"/>
      <c r="D2393" s="136"/>
      <c r="F2393" s="15"/>
      <c r="G2393" s="138"/>
      <c r="H2393" s="138"/>
      <c r="I2393" s="126"/>
      <c r="J2393" s="15"/>
      <c r="K2393" s="15"/>
      <c r="L2393" s="20"/>
      <c r="M2393" s="20"/>
      <c r="N2393" s="126"/>
      <c r="O2393" s="126"/>
      <c r="P2393" s="126"/>
      <c r="Q2393" s="171"/>
      <c r="R2393" s="172"/>
      <c r="S2393" s="172"/>
      <c r="AE2393" s="15"/>
      <c r="AF2393" s="15"/>
      <c r="AG2393" s="15"/>
      <c r="AH2393" s="15"/>
      <c r="AI2393" s="15"/>
      <c r="AJ2393" s="15"/>
      <c r="AK2393" s="15"/>
      <c r="AL2393" s="15"/>
      <c r="AM2393" s="209"/>
      <c r="AN2393" s="209"/>
    </row>
    <row r="2394" s="100" customFormat="1" spans="3:40">
      <c r="C2394" s="136"/>
      <c r="D2394" s="136"/>
      <c r="F2394" s="15"/>
      <c r="G2394" s="138"/>
      <c r="H2394" s="138"/>
      <c r="I2394" s="126"/>
      <c r="J2394" s="15"/>
      <c r="K2394" s="15"/>
      <c r="L2394" s="20"/>
      <c r="M2394" s="20"/>
      <c r="N2394" s="126"/>
      <c r="O2394" s="126"/>
      <c r="P2394" s="126"/>
      <c r="Q2394" s="171"/>
      <c r="R2394" s="172"/>
      <c r="S2394" s="172"/>
      <c r="AE2394" s="15"/>
      <c r="AF2394" s="15"/>
      <c r="AG2394" s="15"/>
      <c r="AH2394" s="15"/>
      <c r="AI2394" s="15"/>
      <c r="AJ2394" s="15"/>
      <c r="AK2394" s="15"/>
      <c r="AL2394" s="15"/>
      <c r="AM2394" s="209"/>
      <c r="AN2394" s="209"/>
    </row>
    <row r="2395" s="100" customFormat="1" spans="3:40">
      <c r="C2395" s="136"/>
      <c r="D2395" s="136"/>
      <c r="F2395" s="15"/>
      <c r="G2395" s="138"/>
      <c r="H2395" s="138"/>
      <c r="I2395" s="126"/>
      <c r="J2395" s="15"/>
      <c r="K2395" s="15"/>
      <c r="L2395" s="20"/>
      <c r="M2395" s="20"/>
      <c r="N2395" s="126"/>
      <c r="O2395" s="126"/>
      <c r="P2395" s="126"/>
      <c r="Q2395" s="171"/>
      <c r="R2395" s="172"/>
      <c r="S2395" s="172"/>
      <c r="AE2395" s="15"/>
      <c r="AF2395" s="15"/>
      <c r="AG2395" s="15"/>
      <c r="AH2395" s="15"/>
      <c r="AI2395" s="15"/>
      <c r="AJ2395" s="15"/>
      <c r="AK2395" s="15"/>
      <c r="AL2395" s="15"/>
      <c r="AM2395" s="209"/>
      <c r="AN2395" s="209"/>
    </row>
    <row r="2396" s="100" customFormat="1" spans="3:40">
      <c r="C2396" s="136"/>
      <c r="D2396" s="136"/>
      <c r="F2396" s="15"/>
      <c r="G2396" s="138"/>
      <c r="H2396" s="138"/>
      <c r="I2396" s="126"/>
      <c r="J2396" s="15"/>
      <c r="K2396" s="15"/>
      <c r="L2396" s="20"/>
      <c r="M2396" s="20"/>
      <c r="N2396" s="126"/>
      <c r="O2396" s="126"/>
      <c r="P2396" s="126"/>
      <c r="Q2396" s="171"/>
      <c r="R2396" s="172"/>
      <c r="S2396" s="172"/>
      <c r="AE2396" s="15"/>
      <c r="AF2396" s="15"/>
      <c r="AG2396" s="15"/>
      <c r="AH2396" s="15"/>
      <c r="AI2396" s="15"/>
      <c r="AJ2396" s="15"/>
      <c r="AK2396" s="15"/>
      <c r="AL2396" s="15"/>
      <c r="AM2396" s="209"/>
      <c r="AN2396" s="209"/>
    </row>
    <row r="2397" s="100" customFormat="1" spans="3:40">
      <c r="C2397" s="136"/>
      <c r="D2397" s="136"/>
      <c r="F2397" s="15"/>
      <c r="G2397" s="138"/>
      <c r="H2397" s="138"/>
      <c r="I2397" s="126"/>
      <c r="J2397" s="15"/>
      <c r="K2397" s="15"/>
      <c r="L2397" s="20"/>
      <c r="M2397" s="20"/>
      <c r="N2397" s="126"/>
      <c r="O2397" s="126"/>
      <c r="P2397" s="126"/>
      <c r="Q2397" s="171"/>
      <c r="R2397" s="172"/>
      <c r="S2397" s="172"/>
      <c r="AE2397" s="15"/>
      <c r="AF2397" s="15"/>
      <c r="AG2397" s="15"/>
      <c r="AH2397" s="15"/>
      <c r="AI2397" s="15"/>
      <c r="AJ2397" s="15"/>
      <c r="AK2397" s="15"/>
      <c r="AL2397" s="15"/>
      <c r="AM2397" s="209"/>
      <c r="AN2397" s="209"/>
    </row>
    <row r="2398" s="100" customFormat="1" spans="3:40">
      <c r="C2398" s="136"/>
      <c r="D2398" s="136"/>
      <c r="F2398" s="15"/>
      <c r="G2398" s="138"/>
      <c r="H2398" s="138"/>
      <c r="I2398" s="126"/>
      <c r="J2398" s="15"/>
      <c r="K2398" s="15"/>
      <c r="L2398" s="20"/>
      <c r="M2398" s="20"/>
      <c r="N2398" s="126"/>
      <c r="O2398" s="126"/>
      <c r="P2398" s="126"/>
      <c r="Q2398" s="171"/>
      <c r="R2398" s="172"/>
      <c r="S2398" s="172"/>
      <c r="AE2398" s="15"/>
      <c r="AF2398" s="15"/>
      <c r="AG2398" s="15"/>
      <c r="AH2398" s="15"/>
      <c r="AI2398" s="15"/>
      <c r="AJ2398" s="15"/>
      <c r="AK2398" s="15"/>
      <c r="AL2398" s="15"/>
      <c r="AM2398" s="209"/>
      <c r="AN2398" s="209"/>
    </row>
    <row r="2399" s="100" customFormat="1" spans="3:40">
      <c r="C2399" s="136"/>
      <c r="D2399" s="136"/>
      <c r="F2399" s="15"/>
      <c r="G2399" s="138"/>
      <c r="H2399" s="138"/>
      <c r="I2399" s="126"/>
      <c r="J2399" s="15"/>
      <c r="K2399" s="15"/>
      <c r="L2399" s="20"/>
      <c r="M2399" s="20"/>
      <c r="N2399" s="126"/>
      <c r="O2399" s="126"/>
      <c r="P2399" s="126"/>
      <c r="Q2399" s="171"/>
      <c r="R2399" s="172"/>
      <c r="S2399" s="172"/>
      <c r="AE2399" s="15"/>
      <c r="AF2399" s="15"/>
      <c r="AG2399" s="15"/>
      <c r="AH2399" s="15"/>
      <c r="AI2399" s="15"/>
      <c r="AJ2399" s="15"/>
      <c r="AK2399" s="15"/>
      <c r="AL2399" s="15"/>
      <c r="AM2399" s="209"/>
      <c r="AN2399" s="210"/>
    </row>
    <row r="2400" s="100" customFormat="1" spans="3:40">
      <c r="C2400" s="136"/>
      <c r="D2400" s="136"/>
      <c r="F2400" s="15"/>
      <c r="G2400" s="138"/>
      <c r="H2400" s="138"/>
      <c r="I2400" s="126"/>
      <c r="J2400" s="15"/>
      <c r="K2400" s="15"/>
      <c r="L2400" s="20"/>
      <c r="M2400" s="20"/>
      <c r="N2400" s="126"/>
      <c r="O2400" s="126"/>
      <c r="P2400" s="126"/>
      <c r="Q2400" s="171"/>
      <c r="R2400" s="172"/>
      <c r="S2400" s="172"/>
      <c r="AE2400" s="15"/>
      <c r="AF2400" s="15"/>
      <c r="AG2400" s="15"/>
      <c r="AH2400" s="15"/>
      <c r="AI2400" s="15"/>
      <c r="AJ2400" s="15"/>
      <c r="AK2400" s="15"/>
      <c r="AL2400" s="15"/>
      <c r="AM2400" s="209"/>
      <c r="AN2400" s="209"/>
    </row>
    <row r="2401" s="100" customFormat="1" spans="3:40">
      <c r="C2401" s="136"/>
      <c r="D2401" s="136"/>
      <c r="F2401" s="15"/>
      <c r="G2401" s="138"/>
      <c r="H2401" s="138"/>
      <c r="I2401" s="126"/>
      <c r="J2401" s="15"/>
      <c r="K2401" s="15"/>
      <c r="L2401" s="20"/>
      <c r="M2401" s="20"/>
      <c r="N2401" s="126"/>
      <c r="O2401" s="126"/>
      <c r="P2401" s="126"/>
      <c r="Q2401" s="171"/>
      <c r="R2401" s="172"/>
      <c r="S2401" s="172"/>
      <c r="AE2401" s="15"/>
      <c r="AF2401" s="15"/>
      <c r="AG2401" s="15"/>
      <c r="AH2401" s="15"/>
      <c r="AI2401" s="15"/>
      <c r="AJ2401" s="15"/>
      <c r="AK2401" s="15"/>
      <c r="AL2401" s="15"/>
      <c r="AM2401" s="209"/>
      <c r="AN2401" s="209"/>
    </row>
    <row r="2402" s="100" customFormat="1" spans="3:40">
      <c r="C2402" s="136"/>
      <c r="D2402" s="136"/>
      <c r="F2402" s="15"/>
      <c r="G2402" s="138"/>
      <c r="H2402" s="138"/>
      <c r="I2402" s="126"/>
      <c r="J2402" s="15"/>
      <c r="K2402" s="15"/>
      <c r="L2402" s="20"/>
      <c r="M2402" s="20"/>
      <c r="N2402" s="126"/>
      <c r="O2402" s="126"/>
      <c r="P2402" s="126"/>
      <c r="Q2402" s="171"/>
      <c r="R2402" s="172"/>
      <c r="S2402" s="172"/>
      <c r="AE2402" s="15"/>
      <c r="AF2402" s="15"/>
      <c r="AG2402" s="15"/>
      <c r="AH2402" s="15"/>
      <c r="AI2402" s="15"/>
      <c r="AJ2402" s="15"/>
      <c r="AK2402" s="15"/>
      <c r="AL2402" s="15"/>
      <c r="AM2402" s="209"/>
      <c r="AN2402" s="209"/>
    </row>
    <row r="2403" s="100" customFormat="1" spans="3:40">
      <c r="C2403" s="136"/>
      <c r="D2403" s="136"/>
      <c r="F2403" s="15"/>
      <c r="G2403" s="138"/>
      <c r="H2403" s="138"/>
      <c r="I2403" s="126"/>
      <c r="J2403" s="15"/>
      <c r="K2403" s="15"/>
      <c r="L2403" s="20"/>
      <c r="M2403" s="20"/>
      <c r="N2403" s="126"/>
      <c r="O2403" s="126"/>
      <c r="P2403" s="126"/>
      <c r="Q2403" s="171"/>
      <c r="R2403" s="172"/>
      <c r="S2403" s="172"/>
      <c r="AE2403" s="15"/>
      <c r="AF2403" s="15"/>
      <c r="AG2403" s="15"/>
      <c r="AH2403" s="15"/>
      <c r="AI2403" s="15"/>
      <c r="AJ2403" s="15"/>
      <c r="AK2403" s="15"/>
      <c r="AL2403" s="15"/>
      <c r="AM2403" s="209"/>
      <c r="AN2403" s="209"/>
    </row>
    <row r="2404" s="100" customFormat="1" spans="3:40">
      <c r="C2404" s="136"/>
      <c r="D2404" s="136"/>
      <c r="F2404" s="15"/>
      <c r="G2404" s="138"/>
      <c r="H2404" s="138"/>
      <c r="I2404" s="126"/>
      <c r="J2404" s="15"/>
      <c r="K2404" s="15"/>
      <c r="L2404" s="20"/>
      <c r="M2404" s="20"/>
      <c r="N2404" s="126"/>
      <c r="O2404" s="126"/>
      <c r="P2404" s="126"/>
      <c r="Q2404" s="171"/>
      <c r="R2404" s="172"/>
      <c r="S2404" s="172"/>
      <c r="AE2404" s="15"/>
      <c r="AF2404" s="15"/>
      <c r="AG2404" s="15"/>
      <c r="AH2404" s="15"/>
      <c r="AI2404" s="15"/>
      <c r="AJ2404" s="15"/>
      <c r="AK2404" s="15"/>
      <c r="AL2404" s="15"/>
      <c r="AM2404" s="209"/>
      <c r="AN2404" s="209"/>
    </row>
    <row r="2405" s="100" customFormat="1" spans="3:40">
      <c r="C2405" s="136"/>
      <c r="D2405" s="136"/>
      <c r="F2405" s="15"/>
      <c r="G2405" s="138"/>
      <c r="H2405" s="138"/>
      <c r="I2405" s="126"/>
      <c r="J2405" s="15"/>
      <c r="K2405" s="15"/>
      <c r="L2405" s="20"/>
      <c r="M2405" s="20"/>
      <c r="N2405" s="126"/>
      <c r="O2405" s="126"/>
      <c r="P2405" s="126"/>
      <c r="Q2405" s="171"/>
      <c r="R2405" s="172"/>
      <c r="S2405" s="172"/>
      <c r="AE2405" s="15"/>
      <c r="AF2405" s="15"/>
      <c r="AG2405" s="15"/>
      <c r="AH2405" s="15"/>
      <c r="AI2405" s="15"/>
      <c r="AJ2405" s="15"/>
      <c r="AK2405" s="15"/>
      <c r="AL2405" s="15"/>
      <c r="AM2405" s="209"/>
      <c r="AN2405" s="209"/>
    </row>
    <row r="2406" s="100" customFormat="1" spans="3:40">
      <c r="C2406" s="136"/>
      <c r="D2406" s="136"/>
      <c r="F2406" s="15"/>
      <c r="G2406" s="138"/>
      <c r="H2406" s="138"/>
      <c r="I2406" s="126"/>
      <c r="J2406" s="15"/>
      <c r="K2406" s="15"/>
      <c r="L2406" s="20"/>
      <c r="M2406" s="20"/>
      <c r="N2406" s="126"/>
      <c r="O2406" s="126"/>
      <c r="P2406" s="126"/>
      <c r="Q2406" s="171"/>
      <c r="R2406" s="172"/>
      <c r="S2406" s="172"/>
      <c r="AE2406" s="15"/>
      <c r="AF2406" s="15"/>
      <c r="AG2406" s="15"/>
      <c r="AH2406" s="15"/>
      <c r="AI2406" s="15"/>
      <c r="AJ2406" s="15"/>
      <c r="AK2406" s="15"/>
      <c r="AL2406" s="15"/>
      <c r="AM2406" s="209"/>
      <c r="AN2406" s="209"/>
    </row>
    <row r="2407" s="100" customFormat="1" spans="3:40">
      <c r="C2407" s="136"/>
      <c r="D2407" s="136"/>
      <c r="F2407" s="15"/>
      <c r="G2407" s="138"/>
      <c r="H2407" s="138"/>
      <c r="I2407" s="126"/>
      <c r="J2407" s="15"/>
      <c r="K2407" s="15"/>
      <c r="L2407" s="20"/>
      <c r="M2407" s="20"/>
      <c r="N2407" s="126"/>
      <c r="O2407" s="126"/>
      <c r="P2407" s="126"/>
      <c r="Q2407" s="171"/>
      <c r="R2407" s="172"/>
      <c r="S2407" s="172"/>
      <c r="AE2407" s="15"/>
      <c r="AF2407" s="15"/>
      <c r="AG2407" s="15"/>
      <c r="AH2407" s="15"/>
      <c r="AI2407" s="15"/>
      <c r="AJ2407" s="15"/>
      <c r="AK2407" s="15"/>
      <c r="AL2407" s="15"/>
      <c r="AM2407" s="209"/>
      <c r="AN2407" s="209"/>
    </row>
    <row r="2408" s="100" customFormat="1" spans="3:40">
      <c r="C2408" s="136"/>
      <c r="D2408" s="136"/>
      <c r="F2408" s="15"/>
      <c r="G2408" s="138"/>
      <c r="H2408" s="138"/>
      <c r="I2408" s="126"/>
      <c r="J2408" s="15"/>
      <c r="K2408" s="15"/>
      <c r="L2408" s="20"/>
      <c r="M2408" s="20"/>
      <c r="N2408" s="126"/>
      <c r="O2408" s="126"/>
      <c r="P2408" s="126"/>
      <c r="Q2408" s="171"/>
      <c r="R2408" s="172"/>
      <c r="S2408" s="172"/>
      <c r="AE2408" s="15"/>
      <c r="AF2408" s="15"/>
      <c r="AG2408" s="15"/>
      <c r="AH2408" s="15"/>
      <c r="AI2408" s="15"/>
      <c r="AJ2408" s="15"/>
      <c r="AK2408" s="15"/>
      <c r="AL2408" s="15"/>
      <c r="AM2408" s="209"/>
      <c r="AN2408" s="209"/>
    </row>
    <row r="2409" s="100" customFormat="1" spans="3:40">
      <c r="C2409" s="136"/>
      <c r="D2409" s="136"/>
      <c r="F2409" s="15"/>
      <c r="G2409" s="138"/>
      <c r="H2409" s="138"/>
      <c r="I2409" s="126"/>
      <c r="J2409" s="15"/>
      <c r="K2409" s="15"/>
      <c r="L2409" s="20"/>
      <c r="M2409" s="20"/>
      <c r="N2409" s="126"/>
      <c r="O2409" s="126"/>
      <c r="P2409" s="126"/>
      <c r="Q2409" s="171"/>
      <c r="R2409" s="172"/>
      <c r="S2409" s="172"/>
      <c r="AE2409" s="15"/>
      <c r="AF2409" s="15"/>
      <c r="AG2409" s="15"/>
      <c r="AH2409" s="15"/>
      <c r="AI2409" s="15"/>
      <c r="AJ2409" s="15"/>
      <c r="AK2409" s="15"/>
      <c r="AL2409" s="15"/>
      <c r="AM2409" s="209"/>
      <c r="AN2409" s="209"/>
    </row>
    <row r="2410" s="100" customFormat="1" spans="3:40">
      <c r="C2410" s="136"/>
      <c r="D2410" s="136"/>
      <c r="F2410" s="15"/>
      <c r="G2410" s="138"/>
      <c r="H2410" s="138"/>
      <c r="I2410" s="126"/>
      <c r="J2410" s="15"/>
      <c r="K2410" s="15"/>
      <c r="L2410" s="20"/>
      <c r="M2410" s="20"/>
      <c r="N2410" s="126"/>
      <c r="O2410" s="126"/>
      <c r="P2410" s="126"/>
      <c r="Q2410" s="171"/>
      <c r="R2410" s="172"/>
      <c r="S2410" s="172"/>
      <c r="AE2410" s="15"/>
      <c r="AF2410" s="15"/>
      <c r="AG2410" s="15"/>
      <c r="AH2410" s="15"/>
      <c r="AI2410" s="15"/>
      <c r="AJ2410" s="15"/>
      <c r="AK2410" s="15"/>
      <c r="AL2410" s="15"/>
      <c r="AM2410" s="209"/>
      <c r="AN2410" s="209"/>
    </row>
    <row r="2411" s="100" customFormat="1" spans="3:40">
      <c r="C2411" s="136"/>
      <c r="D2411" s="136"/>
      <c r="F2411" s="15"/>
      <c r="G2411" s="138"/>
      <c r="H2411" s="138"/>
      <c r="I2411" s="126"/>
      <c r="J2411" s="15"/>
      <c r="K2411" s="15"/>
      <c r="L2411" s="20"/>
      <c r="M2411" s="20"/>
      <c r="N2411" s="126"/>
      <c r="O2411" s="126"/>
      <c r="P2411" s="126"/>
      <c r="Q2411" s="171"/>
      <c r="R2411" s="172"/>
      <c r="S2411" s="172"/>
      <c r="AE2411" s="15"/>
      <c r="AF2411" s="15"/>
      <c r="AG2411" s="15"/>
      <c r="AH2411" s="15"/>
      <c r="AI2411" s="15"/>
      <c r="AJ2411" s="15"/>
      <c r="AK2411" s="15"/>
      <c r="AL2411" s="15"/>
      <c r="AM2411" s="209"/>
      <c r="AN2411" s="209"/>
    </row>
    <row r="2412" s="100" customFormat="1" spans="3:40">
      <c r="C2412" s="136"/>
      <c r="D2412" s="136"/>
      <c r="F2412" s="15"/>
      <c r="G2412" s="138"/>
      <c r="H2412" s="138"/>
      <c r="I2412" s="126"/>
      <c r="J2412" s="15"/>
      <c r="K2412" s="15"/>
      <c r="L2412" s="20"/>
      <c r="M2412" s="20"/>
      <c r="N2412" s="126"/>
      <c r="O2412" s="126"/>
      <c r="P2412" s="126"/>
      <c r="Q2412" s="171"/>
      <c r="R2412" s="172"/>
      <c r="S2412" s="172"/>
      <c r="AE2412" s="15"/>
      <c r="AF2412" s="15"/>
      <c r="AG2412" s="15"/>
      <c r="AH2412" s="15"/>
      <c r="AI2412" s="15"/>
      <c r="AJ2412" s="15"/>
      <c r="AK2412" s="15"/>
      <c r="AL2412" s="15"/>
      <c r="AM2412" s="209"/>
      <c r="AN2412" s="209"/>
    </row>
    <row r="2413" s="100" customFormat="1" spans="3:40">
      <c r="C2413" s="136"/>
      <c r="D2413" s="136"/>
      <c r="F2413" s="15"/>
      <c r="G2413" s="138"/>
      <c r="H2413" s="138"/>
      <c r="I2413" s="126"/>
      <c r="J2413" s="15"/>
      <c r="K2413" s="15"/>
      <c r="L2413" s="20"/>
      <c r="M2413" s="20"/>
      <c r="N2413" s="126"/>
      <c r="O2413" s="126"/>
      <c r="P2413" s="126"/>
      <c r="Q2413" s="171"/>
      <c r="R2413" s="172"/>
      <c r="S2413" s="172"/>
      <c r="AE2413" s="15"/>
      <c r="AF2413" s="15"/>
      <c r="AG2413" s="15"/>
      <c r="AH2413" s="15"/>
      <c r="AI2413" s="15"/>
      <c r="AJ2413" s="15"/>
      <c r="AK2413" s="15"/>
      <c r="AL2413" s="15"/>
      <c r="AM2413" s="15"/>
      <c r="AN2413" s="209"/>
    </row>
    <row r="2414" s="100" customFormat="1" spans="3:40">
      <c r="C2414" s="136"/>
      <c r="D2414" s="136"/>
      <c r="F2414" s="15"/>
      <c r="G2414" s="138"/>
      <c r="H2414" s="138"/>
      <c r="I2414" s="126"/>
      <c r="J2414" s="15"/>
      <c r="K2414" s="15"/>
      <c r="L2414" s="20"/>
      <c r="M2414" s="20"/>
      <c r="N2414" s="126"/>
      <c r="O2414" s="126"/>
      <c r="P2414" s="126"/>
      <c r="Q2414" s="171"/>
      <c r="R2414" s="172"/>
      <c r="S2414" s="172"/>
      <c r="AE2414" s="15"/>
      <c r="AF2414" s="15"/>
      <c r="AG2414" s="15"/>
      <c r="AH2414" s="15"/>
      <c r="AI2414" s="15"/>
      <c r="AJ2414" s="15"/>
      <c r="AK2414" s="15"/>
      <c r="AL2414" s="15"/>
      <c r="AM2414" s="209"/>
      <c r="AN2414" s="209"/>
    </row>
    <row r="2415" s="100" customFormat="1" spans="3:40">
      <c r="C2415" s="136"/>
      <c r="D2415" s="136"/>
      <c r="F2415" s="15"/>
      <c r="G2415" s="138"/>
      <c r="H2415" s="138"/>
      <c r="I2415" s="126"/>
      <c r="J2415" s="15"/>
      <c r="K2415" s="15"/>
      <c r="L2415" s="20"/>
      <c r="M2415" s="20"/>
      <c r="N2415" s="126"/>
      <c r="O2415" s="126"/>
      <c r="P2415" s="126"/>
      <c r="Q2415" s="171"/>
      <c r="R2415" s="172"/>
      <c r="S2415" s="172"/>
      <c r="AE2415" s="15"/>
      <c r="AF2415" s="15"/>
      <c r="AG2415" s="15"/>
      <c r="AH2415" s="15"/>
      <c r="AI2415" s="15"/>
      <c r="AJ2415" s="15"/>
      <c r="AK2415" s="15"/>
      <c r="AL2415" s="15"/>
      <c r="AM2415" s="209"/>
      <c r="AN2415" s="209"/>
    </row>
    <row r="2416" s="100" customFormat="1" spans="3:40">
      <c r="C2416" s="136"/>
      <c r="D2416" s="136"/>
      <c r="F2416" s="15"/>
      <c r="G2416" s="138"/>
      <c r="H2416" s="138"/>
      <c r="I2416" s="126"/>
      <c r="J2416" s="15"/>
      <c r="K2416" s="15"/>
      <c r="L2416" s="20"/>
      <c r="M2416" s="20"/>
      <c r="N2416" s="126"/>
      <c r="O2416" s="126"/>
      <c r="P2416" s="126"/>
      <c r="Q2416" s="171"/>
      <c r="R2416" s="172"/>
      <c r="S2416" s="172"/>
      <c r="AE2416" s="15"/>
      <c r="AF2416" s="15"/>
      <c r="AG2416" s="15"/>
      <c r="AH2416" s="15"/>
      <c r="AI2416" s="15"/>
      <c r="AJ2416" s="15"/>
      <c r="AK2416" s="15"/>
      <c r="AL2416" s="15"/>
      <c r="AM2416" s="209"/>
      <c r="AN2416" s="209"/>
    </row>
    <row r="2417" s="100" customFormat="1" spans="3:40">
      <c r="C2417" s="136"/>
      <c r="D2417" s="136"/>
      <c r="F2417" s="15"/>
      <c r="G2417" s="138"/>
      <c r="H2417" s="138"/>
      <c r="I2417" s="126"/>
      <c r="J2417" s="15"/>
      <c r="K2417" s="15"/>
      <c r="L2417" s="20"/>
      <c r="M2417" s="20"/>
      <c r="N2417" s="126"/>
      <c r="O2417" s="126"/>
      <c r="P2417" s="126"/>
      <c r="Q2417" s="171"/>
      <c r="R2417" s="172"/>
      <c r="S2417" s="172"/>
      <c r="AE2417" s="15"/>
      <c r="AF2417" s="15"/>
      <c r="AG2417" s="15"/>
      <c r="AH2417" s="15"/>
      <c r="AI2417" s="15"/>
      <c r="AJ2417" s="15"/>
      <c r="AK2417" s="15"/>
      <c r="AL2417" s="15"/>
      <c r="AM2417" s="209"/>
      <c r="AN2417" s="209"/>
    </row>
    <row r="2418" s="100" customFormat="1" spans="3:40">
      <c r="C2418" s="136"/>
      <c r="D2418" s="136"/>
      <c r="F2418" s="15"/>
      <c r="G2418" s="138"/>
      <c r="H2418" s="138"/>
      <c r="I2418" s="126"/>
      <c r="J2418" s="15"/>
      <c r="K2418" s="15"/>
      <c r="L2418" s="20"/>
      <c r="M2418" s="20"/>
      <c r="N2418" s="126"/>
      <c r="O2418" s="126"/>
      <c r="P2418" s="126"/>
      <c r="Q2418" s="171"/>
      <c r="R2418" s="172"/>
      <c r="S2418" s="172"/>
      <c r="AE2418" s="15"/>
      <c r="AF2418" s="15"/>
      <c r="AG2418" s="15"/>
      <c r="AH2418" s="15"/>
      <c r="AI2418" s="15"/>
      <c r="AJ2418" s="15"/>
      <c r="AK2418" s="15"/>
      <c r="AL2418" s="15"/>
      <c r="AM2418" s="209"/>
      <c r="AN2418" s="209"/>
    </row>
    <row r="2419" s="100" customFormat="1" spans="3:40">
      <c r="C2419" s="136"/>
      <c r="D2419" s="136"/>
      <c r="F2419" s="15"/>
      <c r="G2419" s="138"/>
      <c r="H2419" s="138"/>
      <c r="I2419" s="126"/>
      <c r="J2419" s="15"/>
      <c r="K2419" s="15"/>
      <c r="L2419" s="20"/>
      <c r="M2419" s="20"/>
      <c r="N2419" s="126"/>
      <c r="O2419" s="126"/>
      <c r="P2419" s="126"/>
      <c r="Q2419" s="171"/>
      <c r="R2419" s="172"/>
      <c r="S2419" s="172"/>
      <c r="AE2419" s="15"/>
      <c r="AF2419" s="15"/>
      <c r="AG2419" s="15"/>
      <c r="AH2419" s="15"/>
      <c r="AI2419" s="15"/>
      <c r="AJ2419" s="15"/>
      <c r="AK2419" s="15"/>
      <c r="AL2419" s="15"/>
      <c r="AM2419" s="209"/>
      <c r="AN2419" s="209"/>
    </row>
    <row r="2420" s="100" customFormat="1" spans="3:40">
      <c r="C2420" s="136"/>
      <c r="D2420" s="136"/>
      <c r="F2420" s="15"/>
      <c r="G2420" s="138"/>
      <c r="H2420" s="138"/>
      <c r="I2420" s="126"/>
      <c r="J2420" s="15"/>
      <c r="K2420" s="15"/>
      <c r="L2420" s="20"/>
      <c r="M2420" s="20"/>
      <c r="N2420" s="126"/>
      <c r="O2420" s="126"/>
      <c r="P2420" s="126"/>
      <c r="Q2420" s="171"/>
      <c r="R2420" s="172"/>
      <c r="S2420" s="172"/>
      <c r="AE2420" s="15"/>
      <c r="AF2420" s="15"/>
      <c r="AG2420" s="15"/>
      <c r="AH2420" s="15"/>
      <c r="AI2420" s="15"/>
      <c r="AJ2420" s="15"/>
      <c r="AK2420" s="15"/>
      <c r="AL2420" s="15"/>
      <c r="AM2420" s="209"/>
      <c r="AN2420" s="209"/>
    </row>
    <row r="2421" s="100" customFormat="1" spans="3:40">
      <c r="C2421" s="136"/>
      <c r="D2421" s="136"/>
      <c r="F2421" s="15"/>
      <c r="G2421" s="138"/>
      <c r="H2421" s="138"/>
      <c r="I2421" s="126"/>
      <c r="J2421" s="15"/>
      <c r="K2421" s="15"/>
      <c r="L2421" s="20"/>
      <c r="M2421" s="20"/>
      <c r="N2421" s="126"/>
      <c r="O2421" s="126"/>
      <c r="P2421" s="126"/>
      <c r="Q2421" s="171"/>
      <c r="R2421" s="172"/>
      <c r="S2421" s="172"/>
      <c r="AE2421" s="15"/>
      <c r="AF2421" s="15"/>
      <c r="AG2421" s="15"/>
      <c r="AH2421" s="15"/>
      <c r="AI2421" s="15"/>
      <c r="AJ2421" s="15"/>
      <c r="AK2421" s="15"/>
      <c r="AL2421" s="15"/>
      <c r="AM2421" s="209"/>
      <c r="AN2421" s="209"/>
    </row>
    <row r="2422" s="100" customFormat="1" spans="3:40">
      <c r="C2422" s="136"/>
      <c r="D2422" s="136"/>
      <c r="F2422" s="15"/>
      <c r="G2422" s="138"/>
      <c r="H2422" s="138"/>
      <c r="I2422" s="126"/>
      <c r="J2422" s="15"/>
      <c r="K2422" s="15"/>
      <c r="L2422" s="20"/>
      <c r="M2422" s="20"/>
      <c r="N2422" s="126"/>
      <c r="O2422" s="126"/>
      <c r="P2422" s="126"/>
      <c r="Q2422" s="171"/>
      <c r="R2422" s="172"/>
      <c r="S2422" s="172"/>
      <c r="AE2422" s="15"/>
      <c r="AF2422" s="15"/>
      <c r="AG2422" s="15"/>
      <c r="AH2422" s="15"/>
      <c r="AI2422" s="15"/>
      <c r="AJ2422" s="15"/>
      <c r="AK2422" s="15"/>
      <c r="AL2422" s="15"/>
      <c r="AM2422" s="209"/>
      <c r="AN2422" s="209"/>
    </row>
    <row r="2423" s="100" customFormat="1" spans="3:40">
      <c r="C2423" s="136"/>
      <c r="D2423" s="136"/>
      <c r="F2423" s="15"/>
      <c r="G2423" s="138"/>
      <c r="H2423" s="138"/>
      <c r="I2423" s="126"/>
      <c r="J2423" s="15"/>
      <c r="K2423" s="15"/>
      <c r="L2423" s="20"/>
      <c r="M2423" s="20"/>
      <c r="N2423" s="126"/>
      <c r="O2423" s="126"/>
      <c r="P2423" s="126"/>
      <c r="Q2423" s="171"/>
      <c r="R2423" s="172"/>
      <c r="S2423" s="172"/>
      <c r="AE2423" s="15"/>
      <c r="AF2423" s="15"/>
      <c r="AG2423" s="15"/>
      <c r="AH2423" s="15"/>
      <c r="AI2423" s="15"/>
      <c r="AJ2423" s="15"/>
      <c r="AK2423" s="15"/>
      <c r="AL2423" s="15"/>
      <c r="AM2423" s="209"/>
      <c r="AN2423" s="209"/>
    </row>
    <row r="2424" s="100" customFormat="1" spans="3:40">
      <c r="C2424" s="136"/>
      <c r="D2424" s="136"/>
      <c r="F2424" s="15"/>
      <c r="G2424" s="138"/>
      <c r="H2424" s="138"/>
      <c r="I2424" s="126"/>
      <c r="J2424" s="15"/>
      <c r="K2424" s="15"/>
      <c r="L2424" s="20"/>
      <c r="M2424" s="20"/>
      <c r="N2424" s="126"/>
      <c r="O2424" s="126"/>
      <c r="P2424" s="126"/>
      <c r="Q2424" s="171"/>
      <c r="R2424" s="172"/>
      <c r="S2424" s="172"/>
      <c r="AE2424" s="15"/>
      <c r="AF2424" s="15"/>
      <c r="AG2424" s="15"/>
      <c r="AH2424" s="15"/>
      <c r="AI2424" s="15"/>
      <c r="AJ2424" s="15"/>
      <c r="AK2424" s="15"/>
      <c r="AL2424" s="15"/>
      <c r="AM2424" s="209"/>
      <c r="AN2424" s="209"/>
    </row>
    <row r="2425" s="100" customFormat="1" spans="3:40">
      <c r="C2425" s="136"/>
      <c r="D2425" s="136"/>
      <c r="F2425" s="15"/>
      <c r="G2425" s="138"/>
      <c r="H2425" s="138"/>
      <c r="I2425" s="126"/>
      <c r="J2425" s="15"/>
      <c r="K2425" s="15"/>
      <c r="L2425" s="20"/>
      <c r="M2425" s="20"/>
      <c r="N2425" s="126"/>
      <c r="O2425" s="126"/>
      <c r="P2425" s="126"/>
      <c r="Q2425" s="171"/>
      <c r="R2425" s="172"/>
      <c r="S2425" s="172"/>
      <c r="AE2425" s="15"/>
      <c r="AF2425" s="15"/>
      <c r="AG2425" s="15"/>
      <c r="AH2425" s="15"/>
      <c r="AI2425" s="15"/>
      <c r="AJ2425" s="15"/>
      <c r="AK2425" s="15"/>
      <c r="AL2425" s="15"/>
      <c r="AM2425" s="15"/>
      <c r="AN2425" s="209"/>
    </row>
    <row r="2426" s="100" customFormat="1" spans="3:40">
      <c r="C2426" s="136"/>
      <c r="D2426" s="136"/>
      <c r="F2426" s="15"/>
      <c r="G2426" s="138"/>
      <c r="H2426" s="138"/>
      <c r="I2426" s="126"/>
      <c r="J2426" s="15"/>
      <c r="K2426" s="15"/>
      <c r="L2426" s="20"/>
      <c r="M2426" s="20"/>
      <c r="N2426" s="126"/>
      <c r="O2426" s="126"/>
      <c r="P2426" s="126"/>
      <c r="Q2426" s="171"/>
      <c r="R2426" s="172"/>
      <c r="S2426" s="172"/>
      <c r="AE2426" s="15"/>
      <c r="AF2426" s="15"/>
      <c r="AG2426" s="15"/>
      <c r="AH2426" s="15"/>
      <c r="AI2426" s="15"/>
      <c r="AJ2426" s="15"/>
      <c r="AK2426" s="15"/>
      <c r="AL2426" s="15"/>
      <c r="AM2426" s="209"/>
      <c r="AN2426" s="209"/>
    </row>
    <row r="2427" s="100" customFormat="1" spans="3:40">
      <c r="C2427" s="136"/>
      <c r="D2427" s="136"/>
      <c r="F2427" s="15"/>
      <c r="G2427" s="138"/>
      <c r="H2427" s="138"/>
      <c r="I2427" s="126"/>
      <c r="J2427" s="15"/>
      <c r="K2427" s="15"/>
      <c r="L2427" s="20"/>
      <c r="M2427" s="20"/>
      <c r="N2427" s="126"/>
      <c r="O2427" s="126"/>
      <c r="P2427" s="126"/>
      <c r="Q2427" s="171"/>
      <c r="R2427" s="172"/>
      <c r="S2427" s="172"/>
      <c r="AE2427" s="15"/>
      <c r="AF2427" s="15"/>
      <c r="AG2427" s="15"/>
      <c r="AH2427" s="15"/>
      <c r="AI2427" s="15"/>
      <c r="AJ2427" s="15"/>
      <c r="AK2427" s="15"/>
      <c r="AL2427" s="15"/>
      <c r="AM2427" s="209"/>
      <c r="AN2427" s="209"/>
    </row>
    <row r="2428" s="100" customFormat="1" spans="3:40">
      <c r="C2428" s="136"/>
      <c r="D2428" s="136"/>
      <c r="F2428" s="15"/>
      <c r="G2428" s="138"/>
      <c r="H2428" s="138"/>
      <c r="I2428" s="126"/>
      <c r="J2428" s="15"/>
      <c r="K2428" s="15"/>
      <c r="L2428" s="20"/>
      <c r="M2428" s="20"/>
      <c r="N2428" s="126"/>
      <c r="O2428" s="126"/>
      <c r="P2428" s="126"/>
      <c r="Q2428" s="171"/>
      <c r="R2428" s="172"/>
      <c r="S2428" s="172"/>
      <c r="AE2428" s="15"/>
      <c r="AF2428" s="15"/>
      <c r="AG2428" s="15"/>
      <c r="AH2428" s="15"/>
      <c r="AI2428" s="15"/>
      <c r="AJ2428" s="15"/>
      <c r="AK2428" s="15"/>
      <c r="AL2428" s="15"/>
      <c r="AM2428" s="209"/>
      <c r="AN2428" s="209"/>
    </row>
    <row r="2429" s="100" customFormat="1" spans="3:40">
      <c r="C2429" s="136"/>
      <c r="D2429" s="136"/>
      <c r="F2429" s="15"/>
      <c r="G2429" s="138"/>
      <c r="H2429" s="138"/>
      <c r="I2429" s="126"/>
      <c r="J2429" s="15"/>
      <c r="K2429" s="15"/>
      <c r="L2429" s="20"/>
      <c r="M2429" s="20"/>
      <c r="N2429" s="126"/>
      <c r="O2429" s="126"/>
      <c r="P2429" s="126"/>
      <c r="Q2429" s="171"/>
      <c r="R2429" s="172"/>
      <c r="S2429" s="172"/>
      <c r="AE2429" s="15"/>
      <c r="AF2429" s="15"/>
      <c r="AG2429" s="15"/>
      <c r="AH2429" s="15"/>
      <c r="AI2429" s="15"/>
      <c r="AJ2429" s="15"/>
      <c r="AK2429" s="15"/>
      <c r="AL2429" s="15"/>
      <c r="AM2429" s="209"/>
      <c r="AN2429" s="209"/>
    </row>
    <row r="2430" s="100" customFormat="1" spans="3:40">
      <c r="C2430" s="136"/>
      <c r="D2430" s="136"/>
      <c r="F2430" s="15"/>
      <c r="G2430" s="138"/>
      <c r="H2430" s="138"/>
      <c r="I2430" s="126"/>
      <c r="J2430" s="15"/>
      <c r="K2430" s="15"/>
      <c r="L2430" s="20"/>
      <c r="M2430" s="20"/>
      <c r="N2430" s="126"/>
      <c r="O2430" s="126"/>
      <c r="P2430" s="126"/>
      <c r="Q2430" s="171"/>
      <c r="R2430" s="172"/>
      <c r="S2430" s="172"/>
      <c r="AE2430" s="15"/>
      <c r="AF2430" s="15"/>
      <c r="AG2430" s="15"/>
      <c r="AH2430" s="15"/>
      <c r="AI2430" s="15"/>
      <c r="AJ2430" s="15"/>
      <c r="AK2430" s="15"/>
      <c r="AL2430" s="15"/>
      <c r="AM2430" s="209"/>
      <c r="AN2430" s="209"/>
    </row>
    <row r="2431" s="100" customFormat="1" spans="3:40">
      <c r="C2431" s="136"/>
      <c r="D2431" s="136"/>
      <c r="F2431" s="15"/>
      <c r="G2431" s="138"/>
      <c r="H2431" s="138"/>
      <c r="I2431" s="126"/>
      <c r="J2431" s="15"/>
      <c r="K2431" s="15"/>
      <c r="L2431" s="20"/>
      <c r="M2431" s="20"/>
      <c r="N2431" s="126"/>
      <c r="O2431" s="126"/>
      <c r="P2431" s="126"/>
      <c r="Q2431" s="171"/>
      <c r="R2431" s="172"/>
      <c r="S2431" s="172"/>
      <c r="AE2431" s="15"/>
      <c r="AF2431" s="15"/>
      <c r="AG2431" s="15"/>
      <c r="AH2431" s="15"/>
      <c r="AI2431" s="15"/>
      <c r="AJ2431" s="15"/>
      <c r="AK2431" s="15"/>
      <c r="AL2431" s="15"/>
      <c r="AM2431" s="209"/>
      <c r="AN2431" s="209"/>
    </row>
    <row r="2432" s="100" customFormat="1" spans="3:40">
      <c r="C2432" s="136"/>
      <c r="D2432" s="136"/>
      <c r="F2432" s="15"/>
      <c r="G2432" s="138"/>
      <c r="H2432" s="138"/>
      <c r="I2432" s="126"/>
      <c r="J2432" s="15"/>
      <c r="K2432" s="15"/>
      <c r="L2432" s="20"/>
      <c r="M2432" s="20"/>
      <c r="N2432" s="126"/>
      <c r="O2432" s="126"/>
      <c r="P2432" s="126"/>
      <c r="Q2432" s="171"/>
      <c r="R2432" s="172"/>
      <c r="S2432" s="172"/>
      <c r="AE2432" s="15"/>
      <c r="AF2432" s="15"/>
      <c r="AG2432" s="15"/>
      <c r="AH2432" s="15"/>
      <c r="AI2432" s="15"/>
      <c r="AJ2432" s="15"/>
      <c r="AK2432" s="15"/>
      <c r="AL2432" s="15"/>
      <c r="AM2432" s="209"/>
      <c r="AN2432" s="209"/>
    </row>
    <row r="2433" s="100" customFormat="1" spans="3:40">
      <c r="C2433" s="136"/>
      <c r="D2433" s="136"/>
      <c r="F2433" s="15"/>
      <c r="G2433" s="138"/>
      <c r="H2433" s="138"/>
      <c r="I2433" s="126"/>
      <c r="J2433" s="15"/>
      <c r="K2433" s="15"/>
      <c r="L2433" s="20"/>
      <c r="M2433" s="20"/>
      <c r="N2433" s="126"/>
      <c r="O2433" s="126"/>
      <c r="P2433" s="126"/>
      <c r="Q2433" s="171"/>
      <c r="R2433" s="172"/>
      <c r="S2433" s="172"/>
      <c r="AE2433" s="15"/>
      <c r="AF2433" s="15"/>
      <c r="AG2433" s="15"/>
      <c r="AH2433" s="15"/>
      <c r="AI2433" s="15"/>
      <c r="AJ2433" s="15"/>
      <c r="AK2433" s="15"/>
      <c r="AL2433" s="15"/>
      <c r="AM2433" s="209"/>
      <c r="AN2433" s="209"/>
    </row>
    <row r="2434" s="100" customFormat="1" spans="3:40">
      <c r="C2434" s="136"/>
      <c r="D2434" s="136"/>
      <c r="F2434" s="15"/>
      <c r="G2434" s="138"/>
      <c r="H2434" s="138"/>
      <c r="I2434" s="126"/>
      <c r="J2434" s="15"/>
      <c r="K2434" s="15"/>
      <c r="L2434" s="20"/>
      <c r="M2434" s="20"/>
      <c r="N2434" s="126"/>
      <c r="O2434" s="126"/>
      <c r="P2434" s="126"/>
      <c r="Q2434" s="171"/>
      <c r="R2434" s="172"/>
      <c r="S2434" s="172"/>
      <c r="AE2434" s="15"/>
      <c r="AF2434" s="15"/>
      <c r="AG2434" s="15"/>
      <c r="AH2434" s="15"/>
      <c r="AI2434" s="15"/>
      <c r="AJ2434" s="15"/>
      <c r="AK2434" s="15"/>
      <c r="AL2434" s="211"/>
      <c r="AM2434" s="209"/>
      <c r="AN2434" s="209"/>
    </row>
    <row r="2435" s="100" customFormat="1" spans="3:40">
      <c r="C2435" s="136"/>
      <c r="D2435" s="136"/>
      <c r="F2435" s="15"/>
      <c r="G2435" s="138"/>
      <c r="H2435" s="138"/>
      <c r="I2435" s="126"/>
      <c r="J2435" s="15"/>
      <c r="K2435" s="15"/>
      <c r="L2435" s="20"/>
      <c r="M2435" s="20"/>
      <c r="N2435" s="126"/>
      <c r="O2435" s="126"/>
      <c r="P2435" s="126"/>
      <c r="Q2435" s="171"/>
      <c r="R2435" s="172"/>
      <c r="S2435" s="172"/>
      <c r="AE2435" s="15"/>
      <c r="AF2435" s="15"/>
      <c r="AG2435" s="15"/>
      <c r="AH2435" s="15"/>
      <c r="AI2435" s="15"/>
      <c r="AJ2435" s="15"/>
      <c r="AK2435" s="15"/>
      <c r="AL2435" s="15"/>
      <c r="AM2435" s="209"/>
      <c r="AN2435" s="209"/>
    </row>
    <row r="2436" s="100" customFormat="1" spans="3:40">
      <c r="C2436" s="136"/>
      <c r="D2436" s="136"/>
      <c r="F2436" s="15"/>
      <c r="G2436" s="138"/>
      <c r="H2436" s="138"/>
      <c r="I2436" s="126"/>
      <c r="J2436" s="15"/>
      <c r="K2436" s="15"/>
      <c r="L2436" s="20"/>
      <c r="M2436" s="20"/>
      <c r="N2436" s="126"/>
      <c r="O2436" s="126"/>
      <c r="P2436" s="126"/>
      <c r="Q2436" s="171"/>
      <c r="R2436" s="172"/>
      <c r="S2436" s="172"/>
      <c r="AE2436" s="15"/>
      <c r="AF2436" s="15"/>
      <c r="AG2436" s="15"/>
      <c r="AH2436" s="15"/>
      <c r="AI2436" s="15"/>
      <c r="AJ2436" s="15"/>
      <c r="AK2436" s="15"/>
      <c r="AL2436" s="15"/>
      <c r="AM2436" s="209"/>
      <c r="AN2436" s="210"/>
    </row>
    <row r="2437" s="100" customFormat="1" spans="3:40">
      <c r="C2437" s="136"/>
      <c r="D2437" s="136"/>
      <c r="F2437" s="15"/>
      <c r="G2437" s="138"/>
      <c r="H2437" s="138"/>
      <c r="I2437" s="126"/>
      <c r="J2437" s="15"/>
      <c r="K2437" s="15"/>
      <c r="L2437" s="20"/>
      <c r="M2437" s="20"/>
      <c r="N2437" s="126"/>
      <c r="O2437" s="126"/>
      <c r="P2437" s="126"/>
      <c r="Q2437" s="171"/>
      <c r="R2437" s="172"/>
      <c r="S2437" s="172"/>
      <c r="AE2437" s="15"/>
      <c r="AF2437" s="15"/>
      <c r="AG2437" s="15"/>
      <c r="AH2437" s="15"/>
      <c r="AI2437" s="15"/>
      <c r="AJ2437" s="15"/>
      <c r="AK2437" s="15"/>
      <c r="AL2437" s="15"/>
      <c r="AM2437" s="209"/>
      <c r="AN2437" s="209"/>
    </row>
    <row r="2438" s="100" customFormat="1" spans="3:40">
      <c r="C2438" s="136"/>
      <c r="D2438" s="136"/>
      <c r="F2438" s="15"/>
      <c r="G2438" s="138"/>
      <c r="H2438" s="138"/>
      <c r="I2438" s="126"/>
      <c r="J2438" s="15"/>
      <c r="K2438" s="15"/>
      <c r="L2438" s="20"/>
      <c r="M2438" s="20"/>
      <c r="N2438" s="126"/>
      <c r="O2438" s="126"/>
      <c r="P2438" s="126"/>
      <c r="Q2438" s="171"/>
      <c r="R2438" s="172"/>
      <c r="S2438" s="172"/>
      <c r="AE2438" s="15"/>
      <c r="AF2438" s="15"/>
      <c r="AG2438" s="15"/>
      <c r="AH2438" s="15"/>
      <c r="AI2438" s="15"/>
      <c r="AJ2438" s="15"/>
      <c r="AK2438" s="15"/>
      <c r="AL2438" s="15"/>
      <c r="AM2438" s="209"/>
      <c r="AN2438" s="209"/>
    </row>
    <row r="2439" s="100" customFormat="1" spans="3:40">
      <c r="C2439" s="136"/>
      <c r="D2439" s="136"/>
      <c r="F2439" s="15"/>
      <c r="G2439" s="138"/>
      <c r="H2439" s="138"/>
      <c r="I2439" s="126"/>
      <c r="J2439" s="15"/>
      <c r="K2439" s="15"/>
      <c r="L2439" s="20"/>
      <c r="M2439" s="20"/>
      <c r="N2439" s="126"/>
      <c r="O2439" s="126"/>
      <c r="P2439" s="126"/>
      <c r="Q2439" s="171"/>
      <c r="R2439" s="172"/>
      <c r="S2439" s="172"/>
      <c r="AE2439" s="15"/>
      <c r="AF2439" s="15"/>
      <c r="AG2439" s="15"/>
      <c r="AH2439" s="15"/>
      <c r="AI2439" s="15"/>
      <c r="AJ2439" s="15"/>
      <c r="AK2439" s="15"/>
      <c r="AL2439" s="15"/>
      <c r="AM2439" s="209"/>
      <c r="AN2439" s="209"/>
    </row>
    <row r="2440" s="100" customFormat="1" spans="3:40">
      <c r="C2440" s="136"/>
      <c r="D2440" s="136"/>
      <c r="F2440" s="15"/>
      <c r="G2440" s="138"/>
      <c r="H2440" s="138"/>
      <c r="I2440" s="126"/>
      <c r="J2440" s="15"/>
      <c r="K2440" s="15"/>
      <c r="L2440" s="20"/>
      <c r="M2440" s="20"/>
      <c r="N2440" s="126"/>
      <c r="O2440" s="126"/>
      <c r="P2440" s="126"/>
      <c r="Q2440" s="171"/>
      <c r="R2440" s="172"/>
      <c r="S2440" s="172"/>
      <c r="AE2440" s="15"/>
      <c r="AF2440" s="15"/>
      <c r="AG2440" s="15"/>
      <c r="AH2440" s="15"/>
      <c r="AI2440" s="15"/>
      <c r="AJ2440" s="15"/>
      <c r="AK2440" s="15"/>
      <c r="AL2440" s="15"/>
      <c r="AM2440" s="209"/>
      <c r="AN2440" s="209"/>
    </row>
    <row r="2441" s="100" customFormat="1" spans="3:40">
      <c r="C2441" s="136"/>
      <c r="D2441" s="136"/>
      <c r="F2441" s="15"/>
      <c r="G2441" s="138"/>
      <c r="H2441" s="138"/>
      <c r="I2441" s="126"/>
      <c r="J2441" s="15"/>
      <c r="K2441" s="15"/>
      <c r="L2441" s="20"/>
      <c r="M2441" s="20"/>
      <c r="N2441" s="126"/>
      <c r="O2441" s="126"/>
      <c r="P2441" s="126"/>
      <c r="Q2441" s="171"/>
      <c r="R2441" s="172"/>
      <c r="S2441" s="172"/>
      <c r="AE2441" s="15"/>
      <c r="AF2441" s="15"/>
      <c r="AG2441" s="15"/>
      <c r="AH2441" s="15"/>
      <c r="AI2441" s="15"/>
      <c r="AJ2441" s="15"/>
      <c r="AK2441" s="15"/>
      <c r="AL2441" s="15"/>
      <c r="AM2441" s="209"/>
      <c r="AN2441" s="209"/>
    </row>
    <row r="2442" s="100" customFormat="1" spans="3:40">
      <c r="C2442" s="136"/>
      <c r="D2442" s="136"/>
      <c r="F2442" s="15"/>
      <c r="G2442" s="138"/>
      <c r="H2442" s="138"/>
      <c r="I2442" s="126"/>
      <c r="J2442" s="15"/>
      <c r="K2442" s="15"/>
      <c r="L2442" s="20"/>
      <c r="M2442" s="20"/>
      <c r="N2442" s="126"/>
      <c r="O2442" s="126"/>
      <c r="P2442" s="126"/>
      <c r="Q2442" s="171"/>
      <c r="R2442" s="172"/>
      <c r="S2442" s="172"/>
      <c r="AE2442" s="15"/>
      <c r="AF2442" s="15"/>
      <c r="AG2442" s="15"/>
      <c r="AH2442" s="15"/>
      <c r="AI2442" s="15"/>
      <c r="AJ2442" s="15"/>
      <c r="AK2442" s="15"/>
      <c r="AL2442" s="15"/>
      <c r="AM2442" s="209"/>
      <c r="AN2442" s="209"/>
    </row>
    <row r="2443" s="100" customFormat="1" spans="3:40">
      <c r="C2443" s="136"/>
      <c r="D2443" s="136"/>
      <c r="F2443" s="15"/>
      <c r="G2443" s="138"/>
      <c r="H2443" s="138"/>
      <c r="I2443" s="126"/>
      <c r="J2443" s="15"/>
      <c r="K2443" s="15"/>
      <c r="L2443" s="20"/>
      <c r="M2443" s="20"/>
      <c r="N2443" s="126"/>
      <c r="O2443" s="126"/>
      <c r="P2443" s="126"/>
      <c r="Q2443" s="171"/>
      <c r="R2443" s="172"/>
      <c r="S2443" s="172"/>
      <c r="AE2443" s="15"/>
      <c r="AF2443" s="15"/>
      <c r="AG2443" s="15"/>
      <c r="AH2443" s="15"/>
      <c r="AI2443" s="15"/>
      <c r="AJ2443" s="15"/>
      <c r="AK2443" s="15"/>
      <c r="AL2443" s="15"/>
      <c r="AM2443" s="15"/>
      <c r="AN2443" s="209"/>
    </row>
    <row r="2444" spans="3:40">
      <c r="C2444" s="136"/>
      <c r="D2444" s="136"/>
      <c r="F2444" s="20"/>
      <c r="G2444" s="138"/>
      <c r="H2444" s="138"/>
      <c r="I2444" s="126"/>
      <c r="J2444" s="20"/>
      <c r="K2444" s="20"/>
      <c r="L2444" s="20"/>
      <c r="M2444" s="20"/>
      <c r="N2444" s="126"/>
      <c r="O2444" s="126"/>
      <c r="P2444" s="126"/>
      <c r="Q2444" s="202"/>
      <c r="R2444" s="199"/>
      <c r="S2444" s="199"/>
      <c r="AE2444" s="20"/>
      <c r="AF2444" s="20"/>
      <c r="AG2444" s="20"/>
      <c r="AH2444" s="20"/>
      <c r="AI2444" s="20"/>
      <c r="AJ2444" s="20"/>
      <c r="AK2444" s="20"/>
      <c r="AL2444" s="20"/>
      <c r="AM2444" s="20"/>
      <c r="AN2444" s="216"/>
    </row>
    <row r="2445" spans="3:40">
      <c r="C2445" s="136"/>
      <c r="D2445" s="136"/>
      <c r="F2445" s="20"/>
      <c r="G2445" s="138"/>
      <c r="H2445" s="138"/>
      <c r="I2445" s="126"/>
      <c r="J2445" s="20"/>
      <c r="K2445" s="20"/>
      <c r="L2445" s="20"/>
      <c r="M2445" s="20"/>
      <c r="N2445" s="126"/>
      <c r="O2445" s="126"/>
      <c r="P2445" s="126"/>
      <c r="Q2445" s="202"/>
      <c r="R2445" s="199"/>
      <c r="S2445" s="136"/>
      <c r="AE2445" s="20"/>
      <c r="AF2445" s="20"/>
      <c r="AG2445" s="20"/>
      <c r="AH2445" s="20"/>
      <c r="AI2445" s="20"/>
      <c r="AJ2445" s="20"/>
      <c r="AK2445" s="20"/>
      <c r="AL2445" s="20"/>
      <c r="AM2445" s="216"/>
      <c r="AN2445" s="217"/>
    </row>
    <row r="2446" spans="3:40">
      <c r="C2446" s="136"/>
      <c r="D2446" s="136"/>
      <c r="F2446" s="20"/>
      <c r="G2446" s="138"/>
      <c r="H2446" s="138"/>
      <c r="I2446" s="126"/>
      <c r="J2446" s="20"/>
      <c r="K2446" s="20"/>
      <c r="L2446" s="20"/>
      <c r="M2446" s="20"/>
      <c r="N2446" s="126"/>
      <c r="O2446" s="126"/>
      <c r="P2446" s="126"/>
      <c r="Q2446" s="202"/>
      <c r="R2446" s="199"/>
      <c r="S2446" s="199"/>
      <c r="AE2446" s="20"/>
      <c r="AF2446" s="20"/>
      <c r="AG2446" s="20"/>
      <c r="AH2446" s="20"/>
      <c r="AI2446" s="20"/>
      <c r="AJ2446" s="20"/>
      <c r="AK2446" s="20"/>
      <c r="AL2446" s="20"/>
      <c r="AM2446" s="216"/>
      <c r="AN2446" s="217"/>
    </row>
    <row r="2447" spans="3:40">
      <c r="C2447" s="136"/>
      <c r="D2447" s="136"/>
      <c r="F2447" s="20"/>
      <c r="G2447" s="138"/>
      <c r="H2447" s="138"/>
      <c r="I2447" s="126"/>
      <c r="J2447" s="20"/>
      <c r="K2447" s="20"/>
      <c r="L2447" s="20"/>
      <c r="M2447" s="20"/>
      <c r="N2447" s="126"/>
      <c r="O2447" s="126"/>
      <c r="P2447" s="126"/>
      <c r="Q2447" s="202"/>
      <c r="R2447" s="199"/>
      <c r="S2447" s="199"/>
      <c r="AE2447" s="20"/>
      <c r="AF2447" s="20"/>
      <c r="AG2447" s="20"/>
      <c r="AH2447" s="20"/>
      <c r="AI2447" s="20"/>
      <c r="AJ2447" s="20"/>
      <c r="AK2447" s="218"/>
      <c r="AL2447" s="20"/>
      <c r="AM2447" s="216"/>
      <c r="AN2447" s="219"/>
    </row>
    <row r="2448" spans="3:40">
      <c r="C2448" s="136"/>
      <c r="D2448" s="136"/>
      <c r="F2448" s="20"/>
      <c r="G2448" s="138"/>
      <c r="H2448" s="138"/>
      <c r="I2448" s="126"/>
      <c r="J2448" s="20"/>
      <c r="K2448" s="20"/>
      <c r="L2448" s="20"/>
      <c r="M2448" s="20"/>
      <c r="N2448" s="126"/>
      <c r="O2448" s="126"/>
      <c r="P2448" s="126"/>
      <c r="Q2448" s="202"/>
      <c r="R2448" s="199"/>
      <c r="S2448" s="199"/>
      <c r="AE2448" s="20"/>
      <c r="AF2448" s="20"/>
      <c r="AG2448" s="20"/>
      <c r="AH2448" s="20"/>
      <c r="AI2448" s="20"/>
      <c r="AJ2448" s="20"/>
      <c r="AK2448" s="218"/>
      <c r="AL2448" s="219"/>
      <c r="AM2448" s="216"/>
      <c r="AN2448" s="216"/>
    </row>
    <row r="2449" spans="3:40">
      <c r="C2449" s="136"/>
      <c r="D2449" s="136"/>
      <c r="F2449" s="20"/>
      <c r="G2449" s="138"/>
      <c r="H2449" s="138"/>
      <c r="I2449" s="126"/>
      <c r="J2449" s="20"/>
      <c r="K2449" s="20"/>
      <c r="L2449" s="20"/>
      <c r="M2449" s="20"/>
      <c r="N2449" s="126"/>
      <c r="O2449" s="126"/>
      <c r="P2449" s="126"/>
      <c r="Q2449" s="202"/>
      <c r="R2449" s="199"/>
      <c r="S2449" s="199"/>
      <c r="AE2449" s="20"/>
      <c r="AF2449" s="20"/>
      <c r="AG2449" s="20"/>
      <c r="AH2449" s="20"/>
      <c r="AI2449" s="20"/>
      <c r="AJ2449" s="20"/>
      <c r="AK2449" s="218"/>
      <c r="AL2449" s="20"/>
      <c r="AM2449" s="216"/>
      <c r="AN2449" s="219"/>
    </row>
    <row r="2450" spans="3:40">
      <c r="C2450" s="136"/>
      <c r="D2450" s="136"/>
      <c r="F2450" s="20"/>
      <c r="G2450" s="138"/>
      <c r="H2450" s="138"/>
      <c r="I2450" s="126"/>
      <c r="J2450" s="20"/>
      <c r="K2450" s="20"/>
      <c r="L2450" s="20"/>
      <c r="M2450" s="20"/>
      <c r="N2450" s="126"/>
      <c r="O2450" s="126"/>
      <c r="P2450" s="126"/>
      <c r="Q2450" s="202"/>
      <c r="R2450" s="199"/>
      <c r="S2450" s="199"/>
      <c r="AE2450" s="20"/>
      <c r="AF2450" s="20"/>
      <c r="AG2450" s="20"/>
      <c r="AH2450" s="20"/>
      <c r="AI2450" s="20"/>
      <c r="AJ2450" s="20"/>
      <c r="AK2450" s="20"/>
      <c r="AL2450" s="20"/>
      <c r="AM2450" s="216"/>
      <c r="AN2450" s="216"/>
    </row>
    <row r="2451" spans="3:40">
      <c r="C2451" s="136"/>
      <c r="D2451" s="136"/>
      <c r="F2451" s="20"/>
      <c r="G2451" s="138"/>
      <c r="H2451" s="138"/>
      <c r="I2451" s="126"/>
      <c r="J2451" s="20"/>
      <c r="K2451" s="20"/>
      <c r="L2451" s="20"/>
      <c r="M2451" s="20"/>
      <c r="N2451" s="126"/>
      <c r="O2451" s="126"/>
      <c r="P2451" s="126"/>
      <c r="Q2451" s="202"/>
      <c r="R2451" s="199"/>
      <c r="S2451" s="199"/>
      <c r="AE2451" s="20"/>
      <c r="AF2451" s="20"/>
      <c r="AG2451" s="20"/>
      <c r="AH2451" s="20"/>
      <c r="AI2451" s="20"/>
      <c r="AJ2451" s="20"/>
      <c r="AK2451" s="218"/>
      <c r="AL2451" s="20"/>
      <c r="AM2451" s="216"/>
      <c r="AN2451" s="20"/>
    </row>
    <row r="2452" spans="3:40">
      <c r="C2452" s="136"/>
      <c r="D2452" s="136"/>
      <c r="F2452" s="20"/>
      <c r="G2452" s="138"/>
      <c r="H2452" s="138"/>
      <c r="I2452" s="126"/>
      <c r="J2452" s="20"/>
      <c r="K2452" s="20"/>
      <c r="L2452" s="20"/>
      <c r="M2452" s="20"/>
      <c r="N2452" s="126"/>
      <c r="O2452" s="126"/>
      <c r="P2452" s="126"/>
      <c r="Q2452" s="202"/>
      <c r="R2452" s="199"/>
      <c r="S2452" s="199"/>
      <c r="AE2452" s="20"/>
      <c r="AF2452" s="20"/>
      <c r="AG2452" s="20"/>
      <c r="AH2452" s="20"/>
      <c r="AI2452" s="20"/>
      <c r="AJ2452" s="20"/>
      <c r="AK2452" s="20"/>
      <c r="AL2452" s="20"/>
      <c r="AM2452" s="216"/>
      <c r="AN2452" s="219"/>
    </row>
    <row r="2453" spans="3:40">
      <c r="C2453" s="136"/>
      <c r="D2453" s="136"/>
      <c r="F2453" s="20"/>
      <c r="G2453" s="138"/>
      <c r="H2453" s="138"/>
      <c r="I2453" s="126"/>
      <c r="J2453" s="20"/>
      <c r="K2453" s="20"/>
      <c r="L2453" s="20"/>
      <c r="M2453" s="20"/>
      <c r="N2453" s="126"/>
      <c r="O2453" s="126"/>
      <c r="P2453" s="126"/>
      <c r="Q2453" s="202"/>
      <c r="R2453" s="199"/>
      <c r="S2453" s="199"/>
      <c r="AE2453" s="20"/>
      <c r="AF2453" s="20"/>
      <c r="AG2453" s="20"/>
      <c r="AH2453" s="20"/>
      <c r="AI2453" s="20"/>
      <c r="AJ2453" s="20"/>
      <c r="AK2453" s="20"/>
      <c r="AL2453" s="20"/>
      <c r="AM2453" s="216"/>
      <c r="AN2453" s="219"/>
    </row>
    <row r="2454" spans="3:40">
      <c r="C2454" s="136"/>
      <c r="D2454" s="136"/>
      <c r="F2454" s="20"/>
      <c r="G2454" s="138"/>
      <c r="H2454" s="138"/>
      <c r="I2454" s="126"/>
      <c r="J2454" s="20"/>
      <c r="K2454" s="20"/>
      <c r="L2454" s="20"/>
      <c r="M2454" s="20"/>
      <c r="N2454" s="126"/>
      <c r="O2454" s="126"/>
      <c r="P2454" s="126"/>
      <c r="Q2454" s="202"/>
      <c r="R2454" s="199"/>
      <c r="S2454" s="199"/>
      <c r="AE2454" s="20"/>
      <c r="AF2454" s="20"/>
      <c r="AG2454" s="20"/>
      <c r="AH2454" s="20"/>
      <c r="AI2454" s="20"/>
      <c r="AJ2454" s="20"/>
      <c r="AK2454" s="20"/>
      <c r="AL2454" s="20"/>
      <c r="AM2454" s="216"/>
      <c r="AN2454" s="216"/>
    </row>
    <row r="2455" spans="3:40">
      <c r="C2455" s="136"/>
      <c r="D2455" s="136"/>
      <c r="F2455" s="20"/>
      <c r="G2455" s="138"/>
      <c r="H2455" s="138"/>
      <c r="I2455" s="126"/>
      <c r="J2455" s="20"/>
      <c r="K2455" s="20"/>
      <c r="L2455" s="20"/>
      <c r="M2455" s="20"/>
      <c r="N2455" s="126"/>
      <c r="O2455" s="126"/>
      <c r="P2455" s="126"/>
      <c r="Q2455" s="202"/>
      <c r="R2455" s="199"/>
      <c r="S2455" s="199"/>
      <c r="AE2455" s="20"/>
      <c r="AF2455" s="20"/>
      <c r="AG2455" s="20"/>
      <c r="AH2455" s="20"/>
      <c r="AI2455" s="20"/>
      <c r="AJ2455" s="20"/>
      <c r="AK2455" s="20"/>
      <c r="AL2455" s="20"/>
      <c r="AM2455" s="216"/>
      <c r="AN2455" s="216"/>
    </row>
    <row r="2456" spans="3:40">
      <c r="C2456" s="136"/>
      <c r="D2456" s="136"/>
      <c r="F2456" s="20"/>
      <c r="G2456" s="138"/>
      <c r="H2456" s="138"/>
      <c r="I2456" s="126"/>
      <c r="J2456" s="20"/>
      <c r="K2456" s="20"/>
      <c r="L2456" s="20"/>
      <c r="M2456" s="20"/>
      <c r="N2456" s="126"/>
      <c r="O2456" s="126"/>
      <c r="P2456" s="126"/>
      <c r="Q2456" s="202"/>
      <c r="R2456" s="199"/>
      <c r="S2456" s="199"/>
      <c r="AE2456" s="20"/>
      <c r="AF2456" s="20"/>
      <c r="AG2456" s="20"/>
      <c r="AH2456" s="20"/>
      <c r="AI2456" s="20"/>
      <c r="AJ2456" s="20"/>
      <c r="AK2456" s="20"/>
      <c r="AL2456" s="20"/>
      <c r="AM2456" s="216"/>
      <c r="AN2456" s="216"/>
    </row>
    <row r="2457" spans="3:40">
      <c r="C2457" s="136"/>
      <c r="D2457" s="136"/>
      <c r="F2457" s="20"/>
      <c r="G2457" s="138"/>
      <c r="H2457" s="138"/>
      <c r="I2457" s="126"/>
      <c r="J2457" s="20"/>
      <c r="K2457" s="20"/>
      <c r="L2457" s="20"/>
      <c r="M2457" s="20"/>
      <c r="N2457" s="126"/>
      <c r="O2457" s="126"/>
      <c r="P2457" s="126"/>
      <c r="Q2457" s="202"/>
      <c r="R2457" s="199"/>
      <c r="S2457" s="199"/>
      <c r="AE2457" s="20"/>
      <c r="AF2457" s="20"/>
      <c r="AG2457" s="20"/>
      <c r="AH2457" s="20"/>
      <c r="AI2457" s="20"/>
      <c r="AJ2457" s="20"/>
      <c r="AK2457" s="20"/>
      <c r="AL2457" s="20"/>
      <c r="AM2457" s="216"/>
      <c r="AN2457" s="216"/>
    </row>
    <row r="2458" spans="3:40">
      <c r="C2458" s="136"/>
      <c r="D2458" s="136"/>
      <c r="F2458" s="20"/>
      <c r="G2458" s="138"/>
      <c r="H2458" s="138"/>
      <c r="I2458" s="126"/>
      <c r="J2458" s="20"/>
      <c r="K2458" s="20"/>
      <c r="L2458" s="20"/>
      <c r="M2458" s="20"/>
      <c r="N2458" s="126"/>
      <c r="O2458" s="126"/>
      <c r="P2458" s="126"/>
      <c r="Q2458" s="202"/>
      <c r="R2458" s="199"/>
      <c r="S2458" s="199"/>
      <c r="AE2458" s="20"/>
      <c r="AF2458" s="20"/>
      <c r="AG2458" s="20"/>
      <c r="AH2458" s="20"/>
      <c r="AI2458" s="20"/>
      <c r="AJ2458" s="20"/>
      <c r="AK2458" s="218"/>
      <c r="AL2458" s="20"/>
      <c r="AM2458" s="216"/>
      <c r="AN2458" s="220"/>
    </row>
    <row r="2459" spans="3:40">
      <c r="C2459" s="136"/>
      <c r="D2459" s="136"/>
      <c r="F2459" s="20"/>
      <c r="G2459" s="138"/>
      <c r="H2459" s="138"/>
      <c r="I2459" s="126"/>
      <c r="J2459" s="20"/>
      <c r="K2459" s="20"/>
      <c r="L2459" s="20"/>
      <c r="M2459" s="20"/>
      <c r="N2459" s="126"/>
      <c r="O2459" s="126"/>
      <c r="P2459" s="126"/>
      <c r="Q2459" s="202"/>
      <c r="R2459" s="199"/>
      <c r="S2459" s="199"/>
      <c r="AE2459" s="20"/>
      <c r="AF2459" s="20"/>
      <c r="AG2459" s="20"/>
      <c r="AH2459" s="20"/>
      <c r="AI2459" s="20"/>
      <c r="AJ2459" s="20"/>
      <c r="AK2459" s="20"/>
      <c r="AL2459" s="20"/>
      <c r="AM2459" s="216"/>
      <c r="AN2459" s="216"/>
    </row>
    <row r="2460" spans="3:40">
      <c r="C2460" s="136"/>
      <c r="D2460" s="136"/>
      <c r="F2460" s="20"/>
      <c r="G2460" s="138"/>
      <c r="H2460" s="138"/>
      <c r="I2460" s="126"/>
      <c r="J2460" s="20"/>
      <c r="K2460" s="20"/>
      <c r="L2460" s="20"/>
      <c r="M2460" s="20"/>
      <c r="N2460" s="126"/>
      <c r="O2460" s="126"/>
      <c r="P2460" s="126"/>
      <c r="Q2460" s="202"/>
      <c r="R2460" s="199"/>
      <c r="S2460" s="199"/>
      <c r="AE2460" s="20"/>
      <c r="AF2460" s="20"/>
      <c r="AG2460" s="20"/>
      <c r="AH2460" s="20"/>
      <c r="AI2460" s="20"/>
      <c r="AJ2460" s="20"/>
      <c r="AK2460" s="20"/>
      <c r="AL2460" s="20"/>
      <c r="AM2460" s="216"/>
      <c r="AN2460" s="216"/>
    </row>
    <row r="2461" spans="3:40">
      <c r="C2461" s="136"/>
      <c r="D2461" s="136"/>
      <c r="F2461" s="20"/>
      <c r="G2461" s="138"/>
      <c r="H2461" s="138"/>
      <c r="I2461" s="126"/>
      <c r="J2461" s="20"/>
      <c r="K2461" s="20"/>
      <c r="L2461" s="20"/>
      <c r="M2461" s="20"/>
      <c r="N2461" s="126"/>
      <c r="O2461" s="126"/>
      <c r="P2461" s="126"/>
      <c r="Q2461" s="202"/>
      <c r="R2461" s="199"/>
      <c r="S2461" s="199"/>
      <c r="AE2461" s="20"/>
      <c r="AF2461" s="20"/>
      <c r="AG2461" s="20"/>
      <c r="AH2461" s="20"/>
      <c r="AI2461" s="20"/>
      <c r="AJ2461" s="20"/>
      <c r="AK2461" s="20"/>
      <c r="AL2461" s="20"/>
      <c r="AM2461" s="216"/>
      <c r="AN2461" s="216"/>
    </row>
    <row r="2462" spans="3:40">
      <c r="C2462" s="136"/>
      <c r="D2462" s="136"/>
      <c r="F2462" s="20"/>
      <c r="G2462" s="138"/>
      <c r="H2462" s="138"/>
      <c r="I2462" s="126"/>
      <c r="J2462" s="20"/>
      <c r="K2462" s="20"/>
      <c r="L2462" s="20"/>
      <c r="M2462" s="20"/>
      <c r="N2462" s="126"/>
      <c r="O2462" s="126"/>
      <c r="P2462" s="126"/>
      <c r="Q2462" s="202"/>
      <c r="R2462" s="199"/>
      <c r="S2462" s="199"/>
      <c r="AE2462" s="20"/>
      <c r="AF2462" s="20"/>
      <c r="AG2462" s="20"/>
      <c r="AH2462" s="20"/>
      <c r="AI2462" s="20"/>
      <c r="AJ2462" s="20"/>
      <c r="AK2462" s="218"/>
      <c r="AL2462" s="20"/>
      <c r="AM2462" s="216"/>
      <c r="AN2462" s="216"/>
    </row>
    <row r="2463" spans="3:40">
      <c r="C2463" s="136"/>
      <c r="D2463" s="136"/>
      <c r="F2463" s="20"/>
      <c r="G2463" s="138"/>
      <c r="H2463" s="138"/>
      <c r="I2463" s="126"/>
      <c r="J2463" s="20"/>
      <c r="K2463" s="20"/>
      <c r="L2463" s="20"/>
      <c r="M2463" s="20"/>
      <c r="N2463" s="126"/>
      <c r="O2463" s="126"/>
      <c r="P2463" s="126"/>
      <c r="Q2463" s="202"/>
      <c r="R2463" s="199"/>
      <c r="S2463" s="199"/>
      <c r="AE2463" s="20"/>
      <c r="AF2463" s="20"/>
      <c r="AG2463" s="20"/>
      <c r="AH2463" s="20"/>
      <c r="AI2463" s="20"/>
      <c r="AJ2463" s="20"/>
      <c r="AK2463" s="20"/>
      <c r="AL2463" s="20"/>
      <c r="AM2463" s="216"/>
      <c r="AN2463" s="216"/>
    </row>
    <row r="2464" spans="3:40">
      <c r="C2464" s="136"/>
      <c r="D2464" s="136"/>
      <c r="F2464" s="20"/>
      <c r="G2464" s="138"/>
      <c r="H2464" s="138"/>
      <c r="I2464" s="126"/>
      <c r="J2464" s="20"/>
      <c r="K2464" s="20"/>
      <c r="L2464" s="20"/>
      <c r="M2464" s="20"/>
      <c r="N2464" s="126"/>
      <c r="O2464" s="126"/>
      <c r="P2464" s="126"/>
      <c r="Q2464" s="202"/>
      <c r="R2464" s="199"/>
      <c r="S2464" s="199"/>
      <c r="AE2464" s="20"/>
      <c r="AF2464" s="20"/>
      <c r="AG2464" s="20"/>
      <c r="AH2464" s="20"/>
      <c r="AI2464" s="20"/>
      <c r="AJ2464" s="20"/>
      <c r="AK2464" s="20"/>
      <c r="AL2464" s="20"/>
      <c r="AM2464" s="216"/>
      <c r="AN2464" s="216"/>
    </row>
    <row r="2465" spans="3:40">
      <c r="C2465" s="136"/>
      <c r="D2465" s="136"/>
      <c r="F2465" s="20"/>
      <c r="G2465" s="138"/>
      <c r="H2465" s="138"/>
      <c r="I2465" s="126"/>
      <c r="J2465" s="20"/>
      <c r="K2465" s="20"/>
      <c r="L2465" s="20"/>
      <c r="M2465" s="20"/>
      <c r="N2465" s="126"/>
      <c r="O2465" s="126"/>
      <c r="P2465" s="126"/>
      <c r="Q2465" s="202"/>
      <c r="R2465" s="199"/>
      <c r="S2465" s="199"/>
      <c r="AE2465" s="20"/>
      <c r="AF2465" s="20"/>
      <c r="AG2465" s="20"/>
      <c r="AH2465" s="20"/>
      <c r="AI2465" s="20"/>
      <c r="AJ2465" s="20"/>
      <c r="AK2465" s="20"/>
      <c r="AL2465" s="20"/>
      <c r="AM2465" s="216"/>
      <c r="AN2465" s="216"/>
    </row>
    <row r="2466" spans="3:40">
      <c r="C2466" s="136"/>
      <c r="D2466" s="136"/>
      <c r="F2466" s="20"/>
      <c r="G2466" s="138"/>
      <c r="H2466" s="138"/>
      <c r="I2466" s="126"/>
      <c r="J2466" s="20"/>
      <c r="K2466" s="20"/>
      <c r="L2466" s="20"/>
      <c r="M2466" s="20"/>
      <c r="N2466" s="126"/>
      <c r="O2466" s="126"/>
      <c r="P2466" s="126"/>
      <c r="Q2466" s="202"/>
      <c r="R2466" s="199"/>
      <c r="S2466" s="199"/>
      <c r="AE2466" s="20"/>
      <c r="AF2466" s="20"/>
      <c r="AG2466" s="20"/>
      <c r="AH2466" s="20"/>
      <c r="AI2466" s="20"/>
      <c r="AJ2466" s="20"/>
      <c r="AK2466" s="20"/>
      <c r="AL2466" s="20"/>
      <c r="AM2466" s="216"/>
      <c r="AN2466" s="216"/>
    </row>
    <row r="2467" spans="3:40">
      <c r="C2467" s="136"/>
      <c r="D2467" s="136"/>
      <c r="F2467" s="20"/>
      <c r="G2467" s="138"/>
      <c r="H2467" s="138"/>
      <c r="I2467" s="126"/>
      <c r="J2467" s="20"/>
      <c r="K2467" s="20"/>
      <c r="L2467" s="20"/>
      <c r="M2467" s="20"/>
      <c r="N2467" s="126"/>
      <c r="O2467" s="126"/>
      <c r="P2467" s="126"/>
      <c r="Q2467" s="202"/>
      <c r="R2467" s="199"/>
      <c r="S2467" s="199"/>
      <c r="AE2467" s="20"/>
      <c r="AF2467" s="20"/>
      <c r="AG2467" s="20"/>
      <c r="AH2467" s="20"/>
      <c r="AI2467" s="20"/>
      <c r="AJ2467" s="20"/>
      <c r="AK2467" s="20"/>
      <c r="AL2467" s="20"/>
      <c r="AM2467" s="216"/>
      <c r="AN2467" s="216"/>
    </row>
    <row r="2468" spans="3:40">
      <c r="C2468" s="136"/>
      <c r="D2468" s="136"/>
      <c r="F2468" s="20"/>
      <c r="G2468" s="138"/>
      <c r="H2468" s="138"/>
      <c r="I2468" s="126"/>
      <c r="J2468" s="20"/>
      <c r="K2468" s="20"/>
      <c r="L2468" s="20"/>
      <c r="M2468" s="20"/>
      <c r="N2468" s="126"/>
      <c r="O2468" s="126"/>
      <c r="P2468" s="126"/>
      <c r="Q2468" s="202"/>
      <c r="R2468" s="199"/>
      <c r="S2468" s="199"/>
      <c r="AE2468" s="20"/>
      <c r="AF2468" s="20"/>
      <c r="AG2468" s="20"/>
      <c r="AH2468" s="20"/>
      <c r="AI2468" s="20"/>
      <c r="AJ2468" s="20"/>
      <c r="AK2468" s="20"/>
      <c r="AL2468" s="20"/>
      <c r="AM2468" s="216"/>
      <c r="AN2468" s="216"/>
    </row>
    <row r="2469" spans="3:40">
      <c r="C2469" s="136"/>
      <c r="D2469" s="136"/>
      <c r="F2469" s="20"/>
      <c r="G2469" s="138"/>
      <c r="H2469" s="138"/>
      <c r="I2469" s="126"/>
      <c r="J2469" s="20"/>
      <c r="K2469" s="20"/>
      <c r="L2469" s="20"/>
      <c r="M2469" s="20"/>
      <c r="N2469" s="126"/>
      <c r="O2469" s="126"/>
      <c r="P2469" s="126"/>
      <c r="Q2469" s="202"/>
      <c r="R2469" s="199"/>
      <c r="S2469" s="199"/>
      <c r="AE2469" s="20"/>
      <c r="AF2469" s="20"/>
      <c r="AG2469" s="20"/>
      <c r="AH2469" s="20"/>
      <c r="AI2469" s="20"/>
      <c r="AJ2469" s="20"/>
      <c r="AK2469" s="20"/>
      <c r="AL2469" s="20"/>
      <c r="AM2469" s="216"/>
      <c r="AN2469" s="216"/>
    </row>
    <row r="2470" spans="3:40">
      <c r="C2470" s="136"/>
      <c r="D2470" s="136"/>
      <c r="F2470" s="20"/>
      <c r="G2470" s="138"/>
      <c r="H2470" s="138"/>
      <c r="I2470" s="126"/>
      <c r="J2470" s="20"/>
      <c r="K2470" s="20"/>
      <c r="L2470" s="20"/>
      <c r="M2470" s="20"/>
      <c r="N2470" s="126"/>
      <c r="O2470" s="126"/>
      <c r="P2470" s="126"/>
      <c r="Q2470" s="202"/>
      <c r="R2470" s="199"/>
      <c r="S2470" s="199"/>
      <c r="AE2470" s="20"/>
      <c r="AF2470" s="20"/>
      <c r="AG2470" s="20"/>
      <c r="AH2470" s="20"/>
      <c r="AI2470" s="20"/>
      <c r="AJ2470" s="20"/>
      <c r="AK2470" s="20"/>
      <c r="AL2470" s="20"/>
      <c r="AM2470" s="216"/>
      <c r="AN2470" s="216"/>
    </row>
    <row r="2471" spans="3:40">
      <c r="C2471" s="136"/>
      <c r="D2471" s="136"/>
      <c r="F2471" s="20"/>
      <c r="G2471" s="138"/>
      <c r="H2471" s="138"/>
      <c r="I2471" s="126"/>
      <c r="J2471" s="20"/>
      <c r="K2471" s="20"/>
      <c r="L2471" s="20"/>
      <c r="M2471" s="20"/>
      <c r="N2471" s="126"/>
      <c r="O2471" s="126"/>
      <c r="P2471" s="126"/>
      <c r="Q2471" s="202"/>
      <c r="R2471" s="199"/>
      <c r="S2471" s="199"/>
      <c r="AE2471" s="20"/>
      <c r="AF2471" s="20"/>
      <c r="AG2471" s="20"/>
      <c r="AH2471" s="20"/>
      <c r="AI2471" s="20"/>
      <c r="AJ2471" s="20"/>
      <c r="AK2471" s="20"/>
      <c r="AL2471" s="20"/>
      <c r="AM2471" s="220"/>
      <c r="AN2471" s="216"/>
    </row>
    <row r="2472" spans="3:40">
      <c r="C2472" s="136"/>
      <c r="D2472" s="136"/>
      <c r="F2472" s="20"/>
      <c r="G2472" s="138"/>
      <c r="H2472" s="138"/>
      <c r="I2472" s="126"/>
      <c r="J2472" s="20"/>
      <c r="K2472" s="20"/>
      <c r="L2472" s="20"/>
      <c r="M2472" s="20"/>
      <c r="N2472" s="126"/>
      <c r="O2472" s="126"/>
      <c r="P2472" s="126"/>
      <c r="Q2472" s="202"/>
      <c r="R2472" s="199"/>
      <c r="S2472" s="199"/>
      <c r="AE2472" s="20"/>
      <c r="AF2472" s="20"/>
      <c r="AG2472" s="20"/>
      <c r="AH2472" s="20"/>
      <c r="AI2472" s="20"/>
      <c r="AJ2472" s="20"/>
      <c r="AK2472" s="20"/>
      <c r="AL2472" s="20"/>
      <c r="AM2472" s="216"/>
      <c r="AN2472" s="220"/>
    </row>
    <row r="2473" spans="3:40">
      <c r="C2473" s="136"/>
      <c r="D2473" s="136"/>
      <c r="F2473" s="20"/>
      <c r="G2473" s="138"/>
      <c r="H2473" s="138"/>
      <c r="I2473" s="126"/>
      <c r="J2473" s="20"/>
      <c r="K2473" s="20"/>
      <c r="L2473" s="20"/>
      <c r="M2473" s="20"/>
      <c r="N2473" s="126"/>
      <c r="O2473" s="126"/>
      <c r="P2473" s="126"/>
      <c r="Q2473" s="202"/>
      <c r="R2473" s="199"/>
      <c r="S2473" s="199"/>
      <c r="AE2473" s="20"/>
      <c r="AF2473" s="20"/>
      <c r="AG2473" s="20"/>
      <c r="AH2473" s="20"/>
      <c r="AI2473" s="20"/>
      <c r="AJ2473" s="20"/>
      <c r="AK2473" s="20"/>
      <c r="AL2473" s="20"/>
      <c r="AM2473" s="216"/>
      <c r="AN2473" s="219"/>
    </row>
    <row r="2474" spans="3:40">
      <c r="C2474" s="136"/>
      <c r="D2474" s="136"/>
      <c r="F2474" s="20"/>
      <c r="G2474" s="138"/>
      <c r="H2474" s="138"/>
      <c r="I2474" s="126"/>
      <c r="J2474" s="20"/>
      <c r="K2474" s="20"/>
      <c r="L2474" s="20"/>
      <c r="M2474" s="20"/>
      <c r="N2474" s="126"/>
      <c r="O2474" s="126"/>
      <c r="P2474" s="126"/>
      <c r="Q2474" s="202"/>
      <c r="R2474" s="199"/>
      <c r="S2474" s="199"/>
      <c r="AE2474" s="20"/>
      <c r="AF2474" s="20"/>
      <c r="AG2474" s="20"/>
      <c r="AH2474" s="20"/>
      <c r="AI2474" s="20"/>
      <c r="AJ2474" s="20"/>
      <c r="AK2474" s="218"/>
      <c r="AL2474" s="20"/>
      <c r="AM2474" s="216"/>
      <c r="AN2474" s="216"/>
    </row>
    <row r="2475" spans="3:40">
      <c r="C2475" s="136"/>
      <c r="D2475" s="136"/>
      <c r="F2475" s="20"/>
      <c r="G2475" s="138"/>
      <c r="H2475" s="138"/>
      <c r="I2475" s="126"/>
      <c r="J2475" s="20"/>
      <c r="K2475" s="20"/>
      <c r="L2475" s="20"/>
      <c r="M2475" s="20"/>
      <c r="N2475" s="126"/>
      <c r="O2475" s="126"/>
      <c r="P2475" s="126"/>
      <c r="Q2475" s="202"/>
      <c r="R2475" s="199"/>
      <c r="S2475" s="199"/>
      <c r="AE2475" s="20"/>
      <c r="AF2475" s="20"/>
      <c r="AG2475" s="20"/>
      <c r="AH2475" s="20"/>
      <c r="AI2475" s="20"/>
      <c r="AJ2475" s="20"/>
      <c r="AK2475" s="20"/>
      <c r="AL2475" s="20"/>
      <c r="AM2475" s="216"/>
      <c r="AN2475" s="216"/>
    </row>
    <row r="2476" spans="3:40">
      <c r="C2476" s="136"/>
      <c r="D2476" s="136"/>
      <c r="F2476" s="20"/>
      <c r="G2476" s="138"/>
      <c r="H2476" s="138"/>
      <c r="I2476" s="126"/>
      <c r="J2476" s="20"/>
      <c r="K2476" s="20"/>
      <c r="L2476" s="20"/>
      <c r="M2476" s="20"/>
      <c r="N2476" s="126"/>
      <c r="O2476" s="126"/>
      <c r="P2476" s="126"/>
      <c r="Q2476" s="202"/>
      <c r="R2476" s="199"/>
      <c r="S2476" s="199"/>
      <c r="AE2476" s="20"/>
      <c r="AF2476" s="20"/>
      <c r="AG2476" s="20"/>
      <c r="AH2476" s="20"/>
      <c r="AI2476" s="20"/>
      <c r="AJ2476" s="20"/>
      <c r="AK2476" s="20"/>
      <c r="AL2476" s="20"/>
      <c r="AM2476" s="216"/>
      <c r="AN2476" s="216"/>
    </row>
    <row r="2477" spans="3:40">
      <c r="C2477" s="136"/>
      <c r="D2477" s="136"/>
      <c r="F2477" s="20"/>
      <c r="G2477" s="138"/>
      <c r="H2477" s="138"/>
      <c r="I2477" s="126"/>
      <c r="J2477" s="20"/>
      <c r="K2477" s="20"/>
      <c r="L2477" s="20"/>
      <c r="M2477" s="20"/>
      <c r="N2477" s="126"/>
      <c r="O2477" s="126"/>
      <c r="P2477" s="126"/>
      <c r="Q2477" s="202"/>
      <c r="R2477" s="199"/>
      <c r="S2477" s="199"/>
      <c r="AE2477" s="20"/>
      <c r="AF2477" s="20"/>
      <c r="AG2477" s="20"/>
      <c r="AH2477" s="20"/>
      <c r="AI2477" s="20"/>
      <c r="AJ2477" s="20"/>
      <c r="AK2477" s="20"/>
      <c r="AL2477" s="20"/>
      <c r="AM2477" s="216"/>
      <c r="AN2477" s="216"/>
    </row>
    <row r="2478" spans="3:40">
      <c r="C2478" s="136"/>
      <c r="D2478" s="136"/>
      <c r="F2478" s="20"/>
      <c r="G2478" s="138"/>
      <c r="H2478" s="138"/>
      <c r="I2478" s="126"/>
      <c r="J2478" s="20"/>
      <c r="K2478" s="20"/>
      <c r="L2478" s="20"/>
      <c r="M2478" s="20"/>
      <c r="N2478" s="126"/>
      <c r="O2478" s="126"/>
      <c r="P2478" s="126"/>
      <c r="Q2478" s="202"/>
      <c r="R2478" s="199"/>
      <c r="S2478" s="199"/>
      <c r="AE2478" s="20"/>
      <c r="AF2478" s="20"/>
      <c r="AG2478" s="20"/>
      <c r="AH2478" s="20"/>
      <c r="AI2478" s="221"/>
      <c r="AJ2478" s="20"/>
      <c r="AK2478" s="20"/>
      <c r="AL2478" s="20"/>
      <c r="AM2478" s="216"/>
      <c r="AN2478" s="216"/>
    </row>
    <row r="2479" spans="3:40">
      <c r="C2479" s="136"/>
      <c r="D2479" s="136"/>
      <c r="F2479" s="20"/>
      <c r="G2479" s="138"/>
      <c r="H2479" s="138"/>
      <c r="I2479" s="126"/>
      <c r="J2479" s="20"/>
      <c r="K2479" s="20"/>
      <c r="L2479" s="20"/>
      <c r="M2479" s="20"/>
      <c r="N2479" s="126"/>
      <c r="O2479" s="126"/>
      <c r="P2479" s="126"/>
      <c r="Q2479" s="202"/>
      <c r="R2479" s="199"/>
      <c r="S2479" s="199"/>
      <c r="AE2479" s="20"/>
      <c r="AF2479" s="20"/>
      <c r="AG2479" s="20"/>
      <c r="AH2479" s="20"/>
      <c r="AI2479" s="20"/>
      <c r="AJ2479" s="20"/>
      <c r="AK2479" s="20"/>
      <c r="AL2479" s="20"/>
      <c r="AM2479" s="216"/>
      <c r="AN2479" s="216"/>
    </row>
    <row r="2480" spans="3:40">
      <c r="C2480" s="136"/>
      <c r="D2480" s="136"/>
      <c r="F2480" s="20"/>
      <c r="G2480" s="138"/>
      <c r="H2480" s="138"/>
      <c r="I2480" s="126"/>
      <c r="J2480" s="20"/>
      <c r="K2480" s="20"/>
      <c r="L2480" s="20"/>
      <c r="M2480" s="20"/>
      <c r="N2480" s="126"/>
      <c r="O2480" s="126"/>
      <c r="P2480" s="126"/>
      <c r="Q2480" s="202"/>
      <c r="R2480" s="199"/>
      <c r="S2480" s="199"/>
      <c r="AE2480" s="20"/>
      <c r="AF2480" s="20"/>
      <c r="AG2480" s="20"/>
      <c r="AH2480" s="20"/>
      <c r="AI2480" s="20"/>
      <c r="AJ2480" s="20"/>
      <c r="AK2480" s="20"/>
      <c r="AL2480" s="20"/>
      <c r="AM2480" s="216"/>
      <c r="AN2480" s="219"/>
    </row>
    <row r="2481" spans="3:40">
      <c r="C2481" s="136"/>
      <c r="D2481" s="136"/>
      <c r="F2481" s="20"/>
      <c r="G2481" s="138"/>
      <c r="H2481" s="138"/>
      <c r="I2481" s="126"/>
      <c r="J2481" s="20"/>
      <c r="K2481" s="20"/>
      <c r="L2481" s="20"/>
      <c r="M2481" s="20"/>
      <c r="N2481" s="126"/>
      <c r="O2481" s="126"/>
      <c r="P2481" s="126"/>
      <c r="Q2481" s="202"/>
      <c r="R2481" s="199"/>
      <c r="S2481" s="199"/>
      <c r="AE2481" s="20"/>
      <c r="AF2481" s="20"/>
      <c r="AG2481" s="20"/>
      <c r="AH2481" s="20"/>
      <c r="AI2481" s="20"/>
      <c r="AJ2481" s="20"/>
      <c r="AK2481" s="20"/>
      <c r="AL2481" s="20"/>
      <c r="AM2481" s="216"/>
      <c r="AN2481" s="217"/>
    </row>
    <row r="2482" spans="3:40">
      <c r="C2482" s="136"/>
      <c r="D2482" s="136"/>
      <c r="F2482" s="20"/>
      <c r="G2482" s="138"/>
      <c r="H2482" s="138"/>
      <c r="I2482" s="126"/>
      <c r="J2482" s="20"/>
      <c r="K2482" s="20"/>
      <c r="L2482" s="20"/>
      <c r="M2482" s="20"/>
      <c r="N2482" s="126"/>
      <c r="O2482" s="126"/>
      <c r="P2482" s="126"/>
      <c r="Q2482" s="202"/>
      <c r="R2482" s="199"/>
      <c r="S2482" s="199"/>
      <c r="AE2482" s="20"/>
      <c r="AF2482" s="20"/>
      <c r="AG2482" s="20"/>
      <c r="AH2482" s="20"/>
      <c r="AI2482" s="20"/>
      <c r="AJ2482" s="20"/>
      <c r="AK2482" s="20"/>
      <c r="AL2482" s="20"/>
      <c r="AM2482" s="216"/>
      <c r="AN2482" s="216"/>
    </row>
    <row r="2483" spans="3:40">
      <c r="C2483" s="136"/>
      <c r="D2483" s="136"/>
      <c r="F2483" s="20"/>
      <c r="G2483" s="138"/>
      <c r="H2483" s="138"/>
      <c r="I2483" s="126"/>
      <c r="J2483" s="20"/>
      <c r="K2483" s="20"/>
      <c r="L2483" s="20"/>
      <c r="M2483" s="20"/>
      <c r="N2483" s="126"/>
      <c r="O2483" s="126"/>
      <c r="P2483" s="126"/>
      <c r="Q2483" s="202"/>
      <c r="R2483" s="199"/>
      <c r="S2483" s="199"/>
      <c r="AE2483" s="20"/>
      <c r="AF2483" s="20"/>
      <c r="AG2483" s="20"/>
      <c r="AH2483" s="20"/>
      <c r="AI2483" s="20"/>
      <c r="AJ2483" s="20"/>
      <c r="AK2483" s="20"/>
      <c r="AL2483" s="20"/>
      <c r="AM2483" s="216"/>
      <c r="AN2483" s="216"/>
    </row>
    <row r="2484" spans="3:40">
      <c r="C2484" s="136"/>
      <c r="D2484" s="136"/>
      <c r="F2484" s="20"/>
      <c r="G2484" s="138"/>
      <c r="H2484" s="138"/>
      <c r="I2484" s="126"/>
      <c r="J2484" s="20"/>
      <c r="K2484" s="20"/>
      <c r="L2484" s="20"/>
      <c r="M2484" s="20"/>
      <c r="N2484" s="126"/>
      <c r="O2484" s="126"/>
      <c r="P2484" s="126"/>
      <c r="Q2484" s="202"/>
      <c r="R2484" s="199"/>
      <c r="S2484" s="199"/>
      <c r="AE2484" s="20"/>
      <c r="AF2484" s="20"/>
      <c r="AG2484" s="20"/>
      <c r="AH2484" s="20"/>
      <c r="AI2484" s="20"/>
      <c r="AJ2484" s="20"/>
      <c r="AK2484" s="20"/>
      <c r="AL2484" s="20"/>
      <c r="AM2484" s="216"/>
      <c r="AN2484" s="217"/>
    </row>
    <row r="2485" spans="3:40">
      <c r="C2485" s="136"/>
      <c r="D2485" s="136"/>
      <c r="F2485" s="20"/>
      <c r="G2485" s="138"/>
      <c r="H2485" s="138"/>
      <c r="I2485" s="126"/>
      <c r="J2485" s="20"/>
      <c r="K2485" s="20"/>
      <c r="L2485" s="20"/>
      <c r="M2485" s="20"/>
      <c r="N2485" s="126"/>
      <c r="O2485" s="126"/>
      <c r="P2485" s="126"/>
      <c r="Q2485" s="202"/>
      <c r="R2485" s="199"/>
      <c r="S2485" s="199"/>
      <c r="AE2485" s="20"/>
      <c r="AF2485" s="20"/>
      <c r="AG2485" s="20"/>
      <c r="AH2485" s="20"/>
      <c r="AI2485" s="20"/>
      <c r="AJ2485" s="20"/>
      <c r="AK2485" s="20"/>
      <c r="AL2485" s="20"/>
      <c r="AM2485" s="216"/>
      <c r="AN2485" s="216"/>
    </row>
    <row r="2486" spans="3:40">
      <c r="C2486" s="136"/>
      <c r="D2486" s="136"/>
      <c r="F2486" s="20"/>
      <c r="G2486" s="138"/>
      <c r="H2486" s="138"/>
      <c r="I2486" s="126"/>
      <c r="J2486" s="20"/>
      <c r="K2486" s="20"/>
      <c r="L2486" s="20"/>
      <c r="M2486" s="20"/>
      <c r="N2486" s="126"/>
      <c r="O2486" s="126"/>
      <c r="P2486" s="126"/>
      <c r="Q2486" s="202"/>
      <c r="R2486" s="199"/>
      <c r="S2486" s="199"/>
      <c r="AE2486" s="20"/>
      <c r="AF2486" s="20"/>
      <c r="AG2486" s="20"/>
      <c r="AH2486" s="20"/>
      <c r="AI2486" s="20"/>
      <c r="AJ2486" s="20"/>
      <c r="AK2486" s="20"/>
      <c r="AL2486" s="20"/>
      <c r="AM2486" s="20"/>
      <c r="AN2486" s="216"/>
    </row>
    <row r="2487" spans="3:40">
      <c r="C2487" s="136"/>
      <c r="D2487" s="136"/>
      <c r="F2487" s="20"/>
      <c r="G2487" s="138"/>
      <c r="H2487" s="138"/>
      <c r="I2487" s="126"/>
      <c r="J2487" s="20"/>
      <c r="K2487" s="20"/>
      <c r="L2487" s="20"/>
      <c r="M2487" s="20"/>
      <c r="N2487" s="126"/>
      <c r="O2487" s="126"/>
      <c r="P2487" s="126"/>
      <c r="Q2487" s="202"/>
      <c r="R2487" s="199"/>
      <c r="S2487" s="199"/>
      <c r="AE2487" s="20"/>
      <c r="AF2487" s="20"/>
      <c r="AG2487" s="20"/>
      <c r="AH2487" s="20"/>
      <c r="AI2487" s="20"/>
      <c r="AJ2487" s="20"/>
      <c r="AK2487" s="20"/>
      <c r="AL2487" s="20"/>
      <c r="AM2487" s="20"/>
      <c r="AN2487" s="216"/>
    </row>
    <row r="2488" spans="3:40">
      <c r="C2488" s="136"/>
      <c r="D2488" s="136"/>
      <c r="F2488" s="20"/>
      <c r="G2488" s="138"/>
      <c r="H2488" s="138"/>
      <c r="I2488" s="126"/>
      <c r="J2488" s="20"/>
      <c r="K2488" s="20"/>
      <c r="L2488" s="20"/>
      <c r="M2488" s="20"/>
      <c r="N2488" s="126"/>
      <c r="O2488" s="126"/>
      <c r="P2488" s="126"/>
      <c r="Q2488" s="202"/>
      <c r="R2488" s="199"/>
      <c r="S2488" s="199"/>
      <c r="AE2488" s="20"/>
      <c r="AF2488" s="20"/>
      <c r="AG2488" s="20"/>
      <c r="AH2488" s="20"/>
      <c r="AI2488" s="20"/>
      <c r="AJ2488" s="20"/>
      <c r="AK2488" s="20"/>
      <c r="AL2488" s="20"/>
      <c r="AM2488" s="20"/>
      <c r="AN2488" s="20"/>
    </row>
    <row r="2489" spans="3:40">
      <c r="C2489" s="136"/>
      <c r="D2489" s="136"/>
      <c r="F2489" s="20"/>
      <c r="G2489" s="138"/>
      <c r="H2489" s="138"/>
      <c r="I2489" s="126"/>
      <c r="J2489" s="20"/>
      <c r="K2489" s="20"/>
      <c r="L2489" s="20"/>
      <c r="M2489" s="20"/>
      <c r="N2489" s="126"/>
      <c r="O2489" s="126"/>
      <c r="P2489" s="126"/>
      <c r="Q2489" s="202"/>
      <c r="R2489" s="199"/>
      <c r="S2489" s="199"/>
      <c r="AE2489" s="20"/>
      <c r="AF2489" s="20"/>
      <c r="AG2489" s="20"/>
      <c r="AH2489" s="20"/>
      <c r="AI2489" s="20"/>
      <c r="AJ2489" s="20"/>
      <c r="AK2489" s="20"/>
      <c r="AL2489" s="20"/>
      <c r="AM2489" s="216"/>
      <c r="AN2489" s="217"/>
    </row>
    <row r="2490" spans="3:40">
      <c r="C2490" s="136"/>
      <c r="D2490" s="136"/>
      <c r="F2490" s="20"/>
      <c r="G2490" s="138"/>
      <c r="H2490" s="138"/>
      <c r="I2490" s="126"/>
      <c r="J2490" s="20"/>
      <c r="K2490" s="20"/>
      <c r="L2490" s="20"/>
      <c r="M2490" s="20"/>
      <c r="N2490" s="126"/>
      <c r="O2490" s="126"/>
      <c r="P2490" s="126"/>
      <c r="Q2490" s="202"/>
      <c r="R2490" s="199"/>
      <c r="S2490" s="199"/>
      <c r="AE2490" s="20"/>
      <c r="AF2490" s="20"/>
      <c r="AG2490" s="20"/>
      <c r="AH2490" s="20"/>
      <c r="AI2490" s="20"/>
      <c r="AJ2490" s="20"/>
      <c r="AK2490" s="20"/>
      <c r="AL2490" s="20"/>
      <c r="AM2490" s="216"/>
      <c r="AN2490" s="217"/>
    </row>
    <row r="2491" spans="3:40">
      <c r="C2491" s="136"/>
      <c r="D2491" s="136"/>
      <c r="F2491" s="20"/>
      <c r="G2491" s="138"/>
      <c r="H2491" s="138"/>
      <c r="I2491" s="126"/>
      <c r="J2491" s="20"/>
      <c r="K2491" s="20"/>
      <c r="L2491" s="20"/>
      <c r="M2491" s="20"/>
      <c r="N2491" s="126"/>
      <c r="O2491" s="126"/>
      <c r="P2491" s="126"/>
      <c r="Q2491" s="202"/>
      <c r="R2491" s="199"/>
      <c r="S2491" s="199"/>
      <c r="AE2491" s="20"/>
      <c r="AF2491" s="20"/>
      <c r="AG2491" s="20"/>
      <c r="AH2491" s="20"/>
      <c r="AI2491" s="20"/>
      <c r="AJ2491" s="20"/>
      <c r="AK2491" s="20"/>
      <c r="AL2491" s="20"/>
      <c r="AM2491" s="216"/>
      <c r="AN2491" s="219"/>
    </row>
    <row r="2492" spans="3:40">
      <c r="C2492" s="136"/>
      <c r="D2492" s="136"/>
      <c r="F2492" s="20"/>
      <c r="G2492" s="138"/>
      <c r="H2492" s="138"/>
      <c r="I2492" s="126"/>
      <c r="J2492" s="20"/>
      <c r="K2492" s="20"/>
      <c r="L2492" s="20"/>
      <c r="M2492" s="20"/>
      <c r="N2492" s="126"/>
      <c r="O2492" s="126"/>
      <c r="P2492" s="126"/>
      <c r="Q2492" s="202"/>
      <c r="R2492" s="199"/>
      <c r="S2492" s="199"/>
      <c r="AE2492" s="20"/>
      <c r="AF2492" s="20"/>
      <c r="AG2492" s="20"/>
      <c r="AH2492" s="20"/>
      <c r="AI2492" s="20"/>
      <c r="AJ2492" s="20"/>
      <c r="AK2492" s="20"/>
      <c r="AL2492" s="20"/>
      <c r="AM2492" s="216"/>
      <c r="AN2492" s="217"/>
    </row>
    <row r="2493" spans="3:40">
      <c r="C2493" s="136"/>
      <c r="D2493" s="136"/>
      <c r="F2493" s="20"/>
      <c r="G2493" s="138"/>
      <c r="H2493" s="138"/>
      <c r="I2493" s="126"/>
      <c r="J2493" s="20"/>
      <c r="K2493" s="20"/>
      <c r="L2493" s="20"/>
      <c r="M2493" s="20"/>
      <c r="N2493" s="126"/>
      <c r="O2493" s="126"/>
      <c r="P2493" s="126"/>
      <c r="Q2493" s="202"/>
      <c r="R2493" s="199"/>
      <c r="S2493" s="199"/>
      <c r="AE2493" s="20"/>
      <c r="AF2493" s="20"/>
      <c r="AG2493" s="20"/>
      <c r="AH2493" s="20"/>
      <c r="AI2493" s="20"/>
      <c r="AJ2493" s="20"/>
      <c r="AK2493" s="20"/>
      <c r="AL2493" s="20"/>
      <c r="AM2493" s="216"/>
      <c r="AN2493" s="219"/>
    </row>
    <row r="2494" spans="3:40">
      <c r="C2494" s="136"/>
      <c r="D2494" s="136"/>
      <c r="F2494" s="20"/>
      <c r="G2494" s="138"/>
      <c r="H2494" s="138"/>
      <c r="I2494" s="126"/>
      <c r="J2494" s="20"/>
      <c r="K2494" s="20"/>
      <c r="L2494" s="20"/>
      <c r="M2494" s="20"/>
      <c r="N2494" s="126"/>
      <c r="O2494" s="126"/>
      <c r="P2494" s="126"/>
      <c r="Q2494" s="202"/>
      <c r="R2494" s="199"/>
      <c r="S2494" s="199"/>
      <c r="AE2494" s="20"/>
      <c r="AF2494" s="20"/>
      <c r="AG2494" s="20"/>
      <c r="AH2494" s="20"/>
      <c r="AI2494" s="20"/>
      <c r="AJ2494" s="20"/>
      <c r="AK2494" s="20"/>
      <c r="AL2494" s="219"/>
      <c r="AM2494" s="216"/>
      <c r="AN2494" s="219"/>
    </row>
    <row r="2495" spans="3:40">
      <c r="C2495" s="136"/>
      <c r="D2495" s="136"/>
      <c r="F2495" s="20"/>
      <c r="G2495" s="138"/>
      <c r="H2495" s="138"/>
      <c r="I2495" s="126"/>
      <c r="J2495" s="20"/>
      <c r="K2495" s="20"/>
      <c r="L2495" s="20"/>
      <c r="M2495" s="20"/>
      <c r="N2495" s="126"/>
      <c r="O2495" s="126"/>
      <c r="P2495" s="126"/>
      <c r="Q2495" s="202"/>
      <c r="R2495" s="199"/>
      <c r="S2495" s="199"/>
      <c r="AE2495" s="20"/>
      <c r="AF2495" s="20"/>
      <c r="AG2495" s="20"/>
      <c r="AH2495" s="20"/>
      <c r="AI2495" s="20"/>
      <c r="AJ2495" s="20"/>
      <c r="AK2495" s="20"/>
      <c r="AL2495" s="20"/>
      <c r="AM2495" s="216"/>
      <c r="AN2495" s="217"/>
    </row>
    <row r="2496" spans="3:40">
      <c r="C2496" s="136"/>
      <c r="D2496" s="136"/>
      <c r="F2496" s="20"/>
      <c r="G2496" s="138"/>
      <c r="H2496" s="138"/>
      <c r="I2496" s="126"/>
      <c r="J2496" s="20"/>
      <c r="K2496" s="20"/>
      <c r="L2496" s="20"/>
      <c r="M2496" s="20"/>
      <c r="N2496" s="126"/>
      <c r="O2496" s="126"/>
      <c r="P2496" s="126"/>
      <c r="Q2496" s="202"/>
      <c r="R2496" s="199"/>
      <c r="S2496" s="199"/>
      <c r="AE2496" s="20"/>
      <c r="AF2496" s="20"/>
      <c r="AG2496" s="20"/>
      <c r="AH2496" s="20"/>
      <c r="AI2496" s="20"/>
      <c r="AJ2496" s="20"/>
      <c r="AK2496" s="20"/>
      <c r="AL2496" s="20"/>
      <c r="AM2496" s="216"/>
      <c r="AN2496" s="219"/>
    </row>
    <row r="2497" spans="3:40">
      <c r="C2497" s="136"/>
      <c r="D2497" s="136"/>
      <c r="F2497" s="20"/>
      <c r="G2497" s="138"/>
      <c r="H2497" s="138"/>
      <c r="I2497" s="126"/>
      <c r="J2497" s="20"/>
      <c r="K2497" s="20"/>
      <c r="L2497" s="20"/>
      <c r="M2497" s="20"/>
      <c r="N2497" s="126"/>
      <c r="O2497" s="126"/>
      <c r="P2497" s="126"/>
      <c r="Q2497" s="202"/>
      <c r="R2497" s="199"/>
      <c r="S2497" s="199"/>
      <c r="AE2497" s="20"/>
      <c r="AF2497" s="20"/>
      <c r="AG2497" s="20"/>
      <c r="AH2497" s="20"/>
      <c r="AI2497" s="20"/>
      <c r="AJ2497" s="20"/>
      <c r="AK2497" s="20"/>
      <c r="AL2497" s="20"/>
      <c r="AM2497" s="216"/>
      <c r="AN2497" s="219"/>
    </row>
    <row r="2498" spans="3:40">
      <c r="C2498" s="136"/>
      <c r="D2498" s="136"/>
      <c r="F2498" s="20"/>
      <c r="G2498" s="138"/>
      <c r="H2498" s="138"/>
      <c r="I2498" s="126"/>
      <c r="J2498" s="20"/>
      <c r="K2498" s="20"/>
      <c r="L2498" s="20"/>
      <c r="M2498" s="20"/>
      <c r="N2498" s="126"/>
      <c r="O2498" s="126"/>
      <c r="P2498" s="126"/>
      <c r="Q2498" s="202"/>
      <c r="R2498" s="199"/>
      <c r="S2498" s="199"/>
      <c r="AE2498" s="20"/>
      <c r="AF2498" s="20"/>
      <c r="AG2498" s="20"/>
      <c r="AH2498" s="20"/>
      <c r="AI2498" s="20"/>
      <c r="AJ2498" s="20"/>
      <c r="AK2498" s="20"/>
      <c r="AL2498" s="20"/>
      <c r="AM2498" s="216"/>
      <c r="AN2498" s="217"/>
    </row>
    <row r="2499" spans="3:40">
      <c r="C2499" s="136"/>
      <c r="D2499" s="136"/>
      <c r="F2499" s="20"/>
      <c r="G2499" s="138"/>
      <c r="H2499" s="138"/>
      <c r="I2499" s="126"/>
      <c r="J2499" s="20"/>
      <c r="K2499" s="20"/>
      <c r="L2499" s="20"/>
      <c r="M2499" s="20"/>
      <c r="N2499" s="126"/>
      <c r="O2499" s="126"/>
      <c r="P2499" s="126"/>
      <c r="Q2499" s="202"/>
      <c r="R2499" s="199"/>
      <c r="S2499" s="199"/>
      <c r="AE2499" s="20"/>
      <c r="AF2499" s="20"/>
      <c r="AG2499" s="20"/>
      <c r="AH2499" s="20"/>
      <c r="AI2499" s="20"/>
      <c r="AJ2499" s="20"/>
      <c r="AK2499" s="20"/>
      <c r="AL2499" s="20"/>
      <c r="AM2499" s="216"/>
      <c r="AN2499" s="20"/>
    </row>
    <row r="2500" spans="3:40">
      <c r="C2500" s="136"/>
      <c r="D2500" s="136"/>
      <c r="F2500" s="20"/>
      <c r="G2500" s="138"/>
      <c r="H2500" s="138"/>
      <c r="I2500" s="126"/>
      <c r="J2500" s="20"/>
      <c r="K2500" s="20"/>
      <c r="L2500" s="20"/>
      <c r="M2500" s="20"/>
      <c r="N2500" s="126"/>
      <c r="O2500" s="126"/>
      <c r="P2500" s="126"/>
      <c r="Q2500" s="202"/>
      <c r="R2500" s="199"/>
      <c r="S2500" s="199"/>
      <c r="AE2500" s="20"/>
      <c r="AF2500" s="20"/>
      <c r="AG2500" s="20"/>
      <c r="AH2500" s="20"/>
      <c r="AI2500" s="20"/>
      <c r="AJ2500" s="20"/>
      <c r="AK2500" s="20"/>
      <c r="AL2500" s="20"/>
      <c r="AM2500" s="216"/>
      <c r="AN2500" s="217"/>
    </row>
    <row r="2501" spans="3:40">
      <c r="C2501" s="136"/>
      <c r="D2501" s="136"/>
      <c r="F2501" s="20"/>
      <c r="G2501" s="138"/>
      <c r="H2501" s="138"/>
      <c r="I2501" s="126"/>
      <c r="J2501" s="20"/>
      <c r="K2501" s="20"/>
      <c r="L2501" s="20"/>
      <c r="M2501" s="20"/>
      <c r="N2501" s="126"/>
      <c r="O2501" s="126"/>
      <c r="P2501" s="126"/>
      <c r="Q2501" s="202"/>
      <c r="R2501" s="199"/>
      <c r="S2501" s="199"/>
      <c r="AE2501" s="20"/>
      <c r="AF2501" s="20"/>
      <c r="AG2501" s="20"/>
      <c r="AH2501" s="20"/>
      <c r="AI2501" s="20"/>
      <c r="AJ2501" s="20"/>
      <c r="AK2501" s="20"/>
      <c r="AL2501" s="20"/>
      <c r="AM2501" s="216"/>
      <c r="AN2501" s="20"/>
    </row>
    <row r="2502" spans="3:40">
      <c r="C2502" s="136"/>
      <c r="D2502" s="136"/>
      <c r="F2502" s="20"/>
      <c r="G2502" s="138"/>
      <c r="H2502" s="138"/>
      <c r="I2502" s="126"/>
      <c r="J2502" s="20"/>
      <c r="K2502" s="20"/>
      <c r="L2502" s="20"/>
      <c r="M2502" s="20"/>
      <c r="N2502" s="126"/>
      <c r="O2502" s="126"/>
      <c r="P2502" s="126"/>
      <c r="Q2502" s="202"/>
      <c r="R2502" s="199"/>
      <c r="S2502" s="199"/>
      <c r="AE2502" s="20"/>
      <c r="AF2502" s="20"/>
      <c r="AG2502" s="20"/>
      <c r="AH2502" s="20"/>
      <c r="AI2502" s="20"/>
      <c r="AJ2502" s="20"/>
      <c r="AK2502" s="20"/>
      <c r="AL2502" s="20"/>
      <c r="AM2502" s="20"/>
      <c r="AN2502" s="216"/>
    </row>
    <row r="2503" spans="3:40">
      <c r="C2503" s="136"/>
      <c r="D2503" s="136"/>
      <c r="F2503" s="20"/>
      <c r="G2503" s="138"/>
      <c r="H2503" s="138"/>
      <c r="I2503" s="126"/>
      <c r="J2503" s="20"/>
      <c r="K2503" s="20"/>
      <c r="L2503" s="20"/>
      <c r="M2503" s="20"/>
      <c r="N2503" s="126"/>
      <c r="O2503" s="126"/>
      <c r="P2503" s="126"/>
      <c r="Q2503" s="202"/>
      <c r="R2503" s="199"/>
      <c r="S2503" s="199"/>
      <c r="AE2503" s="20"/>
      <c r="AF2503" s="20"/>
      <c r="AG2503" s="20"/>
      <c r="AH2503" s="20"/>
      <c r="AI2503" s="20"/>
      <c r="AJ2503" s="20"/>
      <c r="AK2503" s="20"/>
      <c r="AL2503" s="20"/>
      <c r="AM2503" s="20"/>
      <c r="AN2503" s="216"/>
    </row>
    <row r="2504" spans="3:40">
      <c r="C2504" s="136"/>
      <c r="D2504" s="136"/>
      <c r="F2504" s="20"/>
      <c r="G2504" s="138"/>
      <c r="H2504" s="138"/>
      <c r="I2504" s="126"/>
      <c r="J2504" s="20"/>
      <c r="K2504" s="20"/>
      <c r="L2504" s="20"/>
      <c r="M2504" s="20"/>
      <c r="N2504" s="126"/>
      <c r="O2504" s="126"/>
      <c r="P2504" s="126"/>
      <c r="Q2504" s="202"/>
      <c r="R2504" s="199"/>
      <c r="S2504" s="199"/>
      <c r="AE2504" s="20"/>
      <c r="AF2504" s="20"/>
      <c r="AG2504" s="20"/>
      <c r="AH2504" s="20"/>
      <c r="AI2504" s="20"/>
      <c r="AJ2504" s="20"/>
      <c r="AK2504" s="20"/>
      <c r="AL2504" s="20"/>
      <c r="AM2504" s="219"/>
      <c r="AN2504" s="217"/>
    </row>
    <row r="2505" spans="3:40">
      <c r="C2505" s="136"/>
      <c r="D2505" s="136"/>
      <c r="F2505" s="20"/>
      <c r="G2505" s="138"/>
      <c r="H2505" s="138"/>
      <c r="I2505" s="126"/>
      <c r="J2505" s="20"/>
      <c r="K2505" s="20"/>
      <c r="L2505" s="20"/>
      <c r="M2505" s="20"/>
      <c r="N2505" s="126"/>
      <c r="O2505" s="126"/>
      <c r="P2505" s="126"/>
      <c r="Q2505" s="202"/>
      <c r="R2505" s="199"/>
      <c r="S2505" s="199"/>
      <c r="AE2505" s="20"/>
      <c r="AF2505" s="20"/>
      <c r="AG2505" s="20"/>
      <c r="AH2505" s="20"/>
      <c r="AI2505" s="20"/>
      <c r="AJ2505" s="20"/>
      <c r="AK2505" s="20"/>
      <c r="AL2505" s="20"/>
      <c r="AM2505" s="219"/>
      <c r="AN2505" s="217"/>
    </row>
    <row r="2506" spans="3:40">
      <c r="C2506" s="136"/>
      <c r="D2506" s="136"/>
      <c r="F2506" s="20"/>
      <c r="G2506" s="138"/>
      <c r="H2506" s="138"/>
      <c r="I2506" s="126"/>
      <c r="J2506" s="20"/>
      <c r="K2506" s="20"/>
      <c r="L2506" s="20"/>
      <c r="M2506" s="20"/>
      <c r="N2506" s="126"/>
      <c r="O2506" s="126"/>
      <c r="P2506" s="126"/>
      <c r="Q2506" s="202"/>
      <c r="R2506" s="199"/>
      <c r="S2506" s="199"/>
      <c r="AE2506" s="20"/>
      <c r="AF2506" s="20"/>
      <c r="AG2506" s="20"/>
      <c r="AH2506" s="20"/>
      <c r="AI2506" s="20"/>
      <c r="AJ2506" s="20"/>
      <c r="AK2506" s="20"/>
      <c r="AL2506" s="20"/>
      <c r="AM2506" s="216"/>
      <c r="AN2506" s="216"/>
    </row>
    <row r="2507" spans="3:40">
      <c r="C2507" s="136"/>
      <c r="D2507" s="136"/>
      <c r="F2507" s="20"/>
      <c r="G2507" s="138"/>
      <c r="H2507" s="138"/>
      <c r="I2507" s="126"/>
      <c r="J2507" s="20"/>
      <c r="K2507" s="20"/>
      <c r="L2507" s="20"/>
      <c r="M2507" s="20"/>
      <c r="N2507" s="126"/>
      <c r="O2507" s="126"/>
      <c r="P2507" s="126"/>
      <c r="Q2507" s="202"/>
      <c r="R2507" s="199"/>
      <c r="S2507" s="199"/>
      <c r="AE2507" s="20"/>
      <c r="AF2507" s="20"/>
      <c r="AG2507" s="20"/>
      <c r="AH2507" s="20"/>
      <c r="AI2507" s="20"/>
      <c r="AJ2507" s="20"/>
      <c r="AK2507" s="20"/>
      <c r="AL2507" s="20"/>
      <c r="AM2507" s="216"/>
      <c r="AN2507" s="217"/>
    </row>
    <row r="2508" spans="3:40">
      <c r="C2508" s="136"/>
      <c r="D2508" s="136"/>
      <c r="F2508" s="20"/>
      <c r="G2508" s="138"/>
      <c r="H2508" s="138"/>
      <c r="I2508" s="126"/>
      <c r="J2508" s="20"/>
      <c r="K2508" s="20"/>
      <c r="L2508" s="20"/>
      <c r="M2508" s="20"/>
      <c r="N2508" s="126"/>
      <c r="O2508" s="126"/>
      <c r="P2508" s="126"/>
      <c r="Q2508" s="202"/>
      <c r="R2508" s="199"/>
      <c r="S2508" s="199"/>
      <c r="AE2508" s="20"/>
      <c r="AF2508" s="20"/>
      <c r="AG2508" s="20"/>
      <c r="AH2508" s="20"/>
      <c r="AI2508" s="20"/>
      <c r="AJ2508" s="20"/>
      <c r="AK2508" s="20"/>
      <c r="AL2508" s="20"/>
      <c r="AM2508" s="216"/>
      <c r="AN2508" s="217"/>
    </row>
    <row r="2509" spans="3:40">
      <c r="C2509" s="136"/>
      <c r="D2509" s="136"/>
      <c r="F2509" s="20"/>
      <c r="G2509" s="138"/>
      <c r="H2509" s="138"/>
      <c r="I2509" s="126"/>
      <c r="J2509" s="20"/>
      <c r="K2509" s="20"/>
      <c r="L2509" s="20"/>
      <c r="M2509" s="20"/>
      <c r="N2509" s="126"/>
      <c r="O2509" s="126"/>
      <c r="P2509" s="126"/>
      <c r="Q2509" s="202"/>
      <c r="R2509" s="199"/>
      <c r="S2509" s="199"/>
      <c r="AE2509" s="20"/>
      <c r="AF2509" s="20"/>
      <c r="AG2509" s="20"/>
      <c r="AH2509" s="20"/>
      <c r="AI2509" s="20"/>
      <c r="AJ2509" s="20"/>
      <c r="AK2509" s="20"/>
      <c r="AL2509" s="20"/>
      <c r="AM2509" s="216"/>
      <c r="AN2509" s="217"/>
    </row>
    <row r="2510" spans="3:40">
      <c r="C2510" s="136"/>
      <c r="D2510" s="136"/>
      <c r="F2510" s="20"/>
      <c r="G2510" s="138"/>
      <c r="H2510" s="138"/>
      <c r="I2510" s="126"/>
      <c r="J2510" s="20"/>
      <c r="K2510" s="20"/>
      <c r="L2510" s="20"/>
      <c r="M2510" s="20"/>
      <c r="N2510" s="126"/>
      <c r="O2510" s="126"/>
      <c r="P2510" s="126"/>
      <c r="Q2510" s="202"/>
      <c r="R2510" s="199"/>
      <c r="S2510" s="199"/>
      <c r="AE2510" s="20"/>
      <c r="AF2510" s="20"/>
      <c r="AG2510" s="20"/>
      <c r="AH2510" s="20"/>
      <c r="AI2510" s="20"/>
      <c r="AJ2510" s="20"/>
      <c r="AK2510" s="20"/>
      <c r="AL2510" s="20"/>
      <c r="AM2510" s="20"/>
      <c r="AN2510" s="216"/>
    </row>
    <row r="2511" spans="3:40">
      <c r="C2511" s="136"/>
      <c r="D2511" s="136"/>
      <c r="F2511" s="20"/>
      <c r="G2511" s="138"/>
      <c r="H2511" s="138"/>
      <c r="I2511" s="126"/>
      <c r="J2511" s="20"/>
      <c r="K2511" s="20"/>
      <c r="L2511" s="20"/>
      <c r="M2511" s="20"/>
      <c r="N2511" s="126"/>
      <c r="O2511" s="126"/>
      <c r="P2511" s="126"/>
      <c r="Q2511" s="202"/>
      <c r="R2511" s="199"/>
      <c r="S2511" s="199"/>
      <c r="AE2511" s="20"/>
      <c r="AF2511" s="20"/>
      <c r="AG2511" s="20"/>
      <c r="AH2511" s="20"/>
      <c r="AI2511" s="20"/>
      <c r="AJ2511" s="20"/>
      <c r="AK2511" s="20"/>
      <c r="AL2511" s="20"/>
      <c r="AM2511" s="20"/>
      <c r="AN2511" s="216"/>
    </row>
    <row r="2512" spans="3:40">
      <c r="C2512" s="136"/>
      <c r="D2512" s="136"/>
      <c r="F2512" s="20"/>
      <c r="G2512" s="138"/>
      <c r="H2512" s="138"/>
      <c r="I2512" s="126"/>
      <c r="J2512" s="20"/>
      <c r="K2512" s="20"/>
      <c r="L2512" s="20"/>
      <c r="M2512" s="20"/>
      <c r="N2512" s="126"/>
      <c r="O2512" s="126"/>
      <c r="P2512" s="126"/>
      <c r="Q2512" s="202"/>
      <c r="R2512" s="199"/>
      <c r="S2512" s="199"/>
      <c r="AE2512" s="20"/>
      <c r="AF2512" s="20"/>
      <c r="AG2512" s="20"/>
      <c r="AH2512" s="20"/>
      <c r="AI2512" s="20"/>
      <c r="AJ2512" s="20"/>
      <c r="AK2512" s="20"/>
      <c r="AL2512" s="20"/>
      <c r="AM2512" s="20"/>
      <c r="AN2512" s="216"/>
    </row>
    <row r="2513" spans="3:40">
      <c r="C2513" s="136"/>
      <c r="D2513" s="136"/>
      <c r="F2513" s="20"/>
      <c r="G2513" s="138"/>
      <c r="H2513" s="138"/>
      <c r="I2513" s="126"/>
      <c r="J2513" s="20"/>
      <c r="K2513" s="20"/>
      <c r="L2513" s="20"/>
      <c r="M2513" s="20"/>
      <c r="N2513" s="126"/>
      <c r="O2513" s="126"/>
      <c r="P2513" s="126"/>
      <c r="Q2513" s="202"/>
      <c r="R2513" s="199"/>
      <c r="S2513" s="199"/>
      <c r="AE2513" s="20"/>
      <c r="AF2513" s="20"/>
      <c r="AG2513" s="20"/>
      <c r="AH2513" s="20"/>
      <c r="AI2513" s="20"/>
      <c r="AJ2513" s="20"/>
      <c r="AK2513" s="20"/>
      <c r="AL2513" s="20"/>
      <c r="AM2513" s="216"/>
      <c r="AN2513" s="20"/>
    </row>
    <row r="2514" spans="3:40">
      <c r="C2514" s="136"/>
      <c r="D2514" s="136"/>
      <c r="F2514" s="20"/>
      <c r="G2514" s="138"/>
      <c r="H2514" s="138"/>
      <c r="I2514" s="126"/>
      <c r="J2514" s="20"/>
      <c r="K2514" s="20"/>
      <c r="L2514" s="20"/>
      <c r="M2514" s="20"/>
      <c r="N2514" s="126"/>
      <c r="O2514" s="126"/>
      <c r="P2514" s="126"/>
      <c r="Q2514" s="202"/>
      <c r="R2514" s="199"/>
      <c r="S2514" s="199"/>
      <c r="AE2514" s="20"/>
      <c r="AF2514" s="20"/>
      <c r="AG2514" s="20"/>
      <c r="AH2514" s="20"/>
      <c r="AI2514" s="20"/>
      <c r="AJ2514" s="20"/>
      <c r="AK2514" s="20"/>
      <c r="AL2514" s="20"/>
      <c r="AM2514" s="20"/>
      <c r="AN2514" s="20"/>
    </row>
    <row r="2515" spans="3:40">
      <c r="C2515" s="136"/>
      <c r="D2515" s="136"/>
      <c r="F2515" s="20"/>
      <c r="G2515" s="138"/>
      <c r="H2515" s="138"/>
      <c r="I2515" s="126"/>
      <c r="J2515" s="20"/>
      <c r="K2515" s="20"/>
      <c r="L2515" s="20"/>
      <c r="M2515" s="20"/>
      <c r="N2515" s="126"/>
      <c r="O2515" s="126"/>
      <c r="P2515" s="126"/>
      <c r="Q2515" s="202"/>
      <c r="R2515" s="20"/>
      <c r="S2515" s="199"/>
      <c r="AE2515" s="20"/>
      <c r="AF2515" s="20"/>
      <c r="AG2515" s="20"/>
      <c r="AH2515" s="20"/>
      <c r="AI2515" s="20"/>
      <c r="AJ2515" s="20"/>
      <c r="AK2515" s="20"/>
      <c r="AL2515" s="20"/>
      <c r="AM2515" s="216"/>
      <c r="AN2515" s="20"/>
    </row>
    <row r="2516" spans="3:40">
      <c r="C2516" s="136"/>
      <c r="D2516" s="136"/>
      <c r="F2516" s="20"/>
      <c r="G2516" s="138"/>
      <c r="H2516" s="138"/>
      <c r="I2516" s="126"/>
      <c r="J2516" s="20"/>
      <c r="K2516" s="20"/>
      <c r="L2516" s="20"/>
      <c r="M2516" s="20"/>
      <c r="N2516" s="126"/>
      <c r="O2516" s="126"/>
      <c r="P2516" s="126"/>
      <c r="Q2516" s="202"/>
      <c r="R2516" s="199"/>
      <c r="S2516" s="199"/>
      <c r="AE2516" s="20"/>
      <c r="AF2516" s="20"/>
      <c r="AG2516" s="20"/>
      <c r="AH2516" s="20"/>
      <c r="AI2516" s="20"/>
      <c r="AJ2516" s="20"/>
      <c r="AK2516" s="20"/>
      <c r="AL2516" s="20"/>
      <c r="AM2516" s="216"/>
      <c r="AN2516" s="20"/>
    </row>
    <row r="2517" spans="3:40">
      <c r="C2517" s="136"/>
      <c r="D2517" s="136"/>
      <c r="F2517" s="20"/>
      <c r="G2517" s="138"/>
      <c r="H2517" s="138"/>
      <c r="I2517" s="126"/>
      <c r="J2517" s="20"/>
      <c r="K2517" s="20"/>
      <c r="L2517" s="20"/>
      <c r="M2517" s="20"/>
      <c r="N2517" s="126"/>
      <c r="O2517" s="126"/>
      <c r="P2517" s="126"/>
      <c r="Q2517" s="202"/>
      <c r="R2517" s="199"/>
      <c r="S2517" s="199"/>
      <c r="AE2517" s="20"/>
      <c r="AF2517" s="20"/>
      <c r="AG2517" s="20"/>
      <c r="AH2517" s="20"/>
      <c r="AI2517" s="20"/>
      <c r="AJ2517" s="20"/>
      <c r="AK2517" s="20"/>
      <c r="AL2517" s="20"/>
      <c r="AM2517" s="20"/>
      <c r="AN2517" s="216"/>
    </row>
    <row r="2518" spans="3:40">
      <c r="C2518" s="136"/>
      <c r="D2518" s="136"/>
      <c r="F2518" s="20"/>
      <c r="G2518" s="138"/>
      <c r="H2518" s="138"/>
      <c r="I2518" s="126"/>
      <c r="J2518" s="20"/>
      <c r="K2518" s="20"/>
      <c r="L2518" s="20"/>
      <c r="M2518" s="20"/>
      <c r="N2518" s="126"/>
      <c r="O2518" s="126"/>
      <c r="P2518" s="126"/>
      <c r="Q2518" s="202"/>
      <c r="R2518" s="199"/>
      <c r="S2518" s="199"/>
      <c r="AE2518" s="20"/>
      <c r="AF2518" s="20"/>
      <c r="AG2518" s="20"/>
      <c r="AH2518" s="20"/>
      <c r="AI2518" s="20"/>
      <c r="AJ2518" s="20"/>
      <c r="AK2518" s="20"/>
      <c r="AL2518" s="20"/>
      <c r="AM2518" s="216"/>
      <c r="AN2518" s="20"/>
    </row>
    <row r="2519" spans="3:40">
      <c r="C2519" s="136"/>
      <c r="D2519" s="136"/>
      <c r="F2519" s="20"/>
      <c r="G2519" s="138"/>
      <c r="H2519" s="138"/>
      <c r="I2519" s="126"/>
      <c r="J2519" s="20"/>
      <c r="K2519" s="20"/>
      <c r="L2519" s="20"/>
      <c r="M2519" s="20"/>
      <c r="N2519" s="126"/>
      <c r="O2519" s="126"/>
      <c r="P2519" s="126"/>
      <c r="Q2519" s="202"/>
      <c r="R2519" s="199"/>
      <c r="S2519" s="199"/>
      <c r="AE2519" s="20"/>
      <c r="AF2519" s="20"/>
      <c r="AG2519" s="20"/>
      <c r="AH2519" s="20"/>
      <c r="AI2519" s="20"/>
      <c r="AJ2519" s="20"/>
      <c r="AK2519" s="20"/>
      <c r="AL2519" s="20"/>
      <c r="AM2519" s="20"/>
      <c r="AN2519" s="216"/>
    </row>
    <row r="2520" spans="3:40">
      <c r="C2520" s="136"/>
      <c r="D2520" s="136"/>
      <c r="F2520" s="20"/>
      <c r="G2520" s="138"/>
      <c r="H2520" s="138"/>
      <c r="I2520" s="126"/>
      <c r="J2520" s="20"/>
      <c r="K2520" s="20"/>
      <c r="L2520" s="20"/>
      <c r="M2520" s="20"/>
      <c r="N2520" s="126"/>
      <c r="O2520" s="126"/>
      <c r="P2520" s="126"/>
      <c r="Q2520" s="202"/>
      <c r="R2520" s="199"/>
      <c r="S2520" s="199"/>
      <c r="AE2520" s="20"/>
      <c r="AF2520" s="20"/>
      <c r="AG2520" s="20"/>
      <c r="AH2520" s="20"/>
      <c r="AI2520" s="20"/>
      <c r="AJ2520" s="20"/>
      <c r="AK2520" s="20"/>
      <c r="AL2520" s="20"/>
      <c r="AM2520" s="216"/>
      <c r="AN2520" s="20"/>
    </row>
    <row r="2521" spans="3:40">
      <c r="C2521" s="136"/>
      <c r="D2521" s="136"/>
      <c r="F2521" s="20"/>
      <c r="G2521" s="138"/>
      <c r="H2521" s="138"/>
      <c r="I2521" s="126"/>
      <c r="J2521" s="20"/>
      <c r="K2521" s="20"/>
      <c r="L2521" s="20"/>
      <c r="M2521" s="20"/>
      <c r="N2521" s="126"/>
      <c r="O2521" s="126"/>
      <c r="P2521" s="126"/>
      <c r="Q2521" s="202"/>
      <c r="R2521" s="199"/>
      <c r="S2521" s="199"/>
      <c r="AE2521" s="20"/>
      <c r="AF2521" s="20"/>
      <c r="AG2521" s="20"/>
      <c r="AH2521" s="20"/>
      <c r="AI2521" s="20"/>
      <c r="AJ2521" s="20"/>
      <c r="AK2521" s="20"/>
      <c r="AL2521" s="219"/>
      <c r="AM2521" s="216"/>
      <c r="AN2521" s="216"/>
    </row>
    <row r="2522" spans="3:40">
      <c r="C2522" s="136"/>
      <c r="D2522" s="136"/>
      <c r="F2522" s="20"/>
      <c r="G2522" s="138"/>
      <c r="H2522" s="138"/>
      <c r="I2522" s="126"/>
      <c r="J2522" s="20"/>
      <c r="K2522" s="20"/>
      <c r="L2522" s="20"/>
      <c r="M2522" s="20"/>
      <c r="N2522" s="126"/>
      <c r="O2522" s="126"/>
      <c r="P2522" s="126"/>
      <c r="Q2522" s="202"/>
      <c r="R2522" s="199"/>
      <c r="S2522" s="199"/>
      <c r="AE2522" s="20"/>
      <c r="AF2522" s="20"/>
      <c r="AG2522" s="20"/>
      <c r="AH2522" s="20"/>
      <c r="AI2522" s="20"/>
      <c r="AJ2522" s="20"/>
      <c r="AK2522" s="20"/>
      <c r="AL2522" s="219"/>
      <c r="AM2522" s="216"/>
      <c r="AN2522" s="216"/>
    </row>
    <row r="2523" spans="3:40">
      <c r="C2523" s="136"/>
      <c r="D2523" s="136"/>
      <c r="F2523" s="20"/>
      <c r="G2523" s="138"/>
      <c r="H2523" s="138"/>
      <c r="I2523" s="126"/>
      <c r="J2523" s="20"/>
      <c r="K2523" s="20"/>
      <c r="L2523" s="20"/>
      <c r="M2523" s="20"/>
      <c r="N2523" s="126"/>
      <c r="O2523" s="126"/>
      <c r="P2523" s="126"/>
      <c r="Q2523" s="202"/>
      <c r="R2523" s="199"/>
      <c r="S2523" s="199"/>
      <c r="AE2523" s="20"/>
      <c r="AF2523" s="20"/>
      <c r="AG2523" s="20"/>
      <c r="AH2523" s="20"/>
      <c r="AI2523" s="20"/>
      <c r="AJ2523" s="20"/>
      <c r="AK2523" s="20"/>
      <c r="AL2523" s="219"/>
      <c r="AM2523" s="216"/>
      <c r="AN2523" s="216"/>
    </row>
    <row r="2524" spans="3:40">
      <c r="C2524" s="136"/>
      <c r="D2524" s="136"/>
      <c r="F2524" s="20"/>
      <c r="G2524" s="138"/>
      <c r="H2524" s="138"/>
      <c r="I2524" s="126"/>
      <c r="J2524" s="20"/>
      <c r="K2524" s="20"/>
      <c r="L2524" s="20"/>
      <c r="M2524" s="20"/>
      <c r="N2524" s="126"/>
      <c r="O2524" s="126"/>
      <c r="P2524" s="126"/>
      <c r="Q2524" s="202"/>
      <c r="R2524" s="199"/>
      <c r="S2524" s="199"/>
      <c r="AE2524" s="20"/>
      <c r="AF2524" s="20"/>
      <c r="AG2524" s="20"/>
      <c r="AH2524" s="20"/>
      <c r="AI2524" s="20"/>
      <c r="AJ2524" s="20"/>
      <c r="AK2524" s="20"/>
      <c r="AL2524" s="219"/>
      <c r="AM2524" s="216"/>
      <c r="AN2524" s="216"/>
    </row>
    <row r="2525" spans="3:40">
      <c r="C2525" s="136"/>
      <c r="D2525" s="136"/>
      <c r="F2525" s="20"/>
      <c r="G2525" s="138"/>
      <c r="H2525" s="138"/>
      <c r="I2525" s="126"/>
      <c r="J2525" s="20"/>
      <c r="K2525" s="20"/>
      <c r="L2525" s="20"/>
      <c r="M2525" s="20"/>
      <c r="N2525" s="126"/>
      <c r="O2525" s="126"/>
      <c r="P2525" s="126"/>
      <c r="Q2525" s="202"/>
      <c r="R2525" s="199"/>
      <c r="S2525" s="199"/>
      <c r="AE2525" s="20"/>
      <c r="AF2525" s="20"/>
      <c r="AG2525" s="20"/>
      <c r="AH2525" s="20"/>
      <c r="AI2525" s="20"/>
      <c r="AJ2525" s="20"/>
      <c r="AK2525" s="20"/>
      <c r="AL2525" s="20"/>
      <c r="AM2525" s="20"/>
      <c r="AN2525" s="216"/>
    </row>
    <row r="2526" spans="3:40">
      <c r="C2526" s="136"/>
      <c r="D2526" s="136"/>
      <c r="F2526" s="20"/>
      <c r="G2526" s="138"/>
      <c r="H2526" s="138"/>
      <c r="I2526" s="126"/>
      <c r="J2526" s="20"/>
      <c r="K2526" s="20"/>
      <c r="L2526" s="20"/>
      <c r="M2526" s="20"/>
      <c r="N2526" s="126"/>
      <c r="O2526" s="126"/>
      <c r="P2526" s="126"/>
      <c r="Q2526" s="202"/>
      <c r="R2526" s="199"/>
      <c r="S2526" s="199"/>
      <c r="AE2526" s="20"/>
      <c r="AF2526" s="20"/>
      <c r="AG2526" s="20"/>
      <c r="AH2526" s="20"/>
      <c r="AI2526" s="20"/>
      <c r="AJ2526" s="20"/>
      <c r="AK2526" s="20"/>
      <c r="AL2526" s="219"/>
      <c r="AM2526" s="216"/>
      <c r="AN2526" s="216"/>
    </row>
    <row r="2527" spans="3:40">
      <c r="C2527" s="136"/>
      <c r="D2527" s="136"/>
      <c r="F2527" s="20"/>
      <c r="G2527" s="138"/>
      <c r="H2527" s="138"/>
      <c r="I2527" s="126"/>
      <c r="J2527" s="20"/>
      <c r="K2527" s="20"/>
      <c r="L2527" s="20"/>
      <c r="M2527" s="20"/>
      <c r="N2527" s="126"/>
      <c r="O2527" s="126"/>
      <c r="P2527" s="126"/>
      <c r="Q2527" s="202"/>
      <c r="R2527" s="20"/>
      <c r="S2527" s="199"/>
      <c r="AE2527" s="20"/>
      <c r="AF2527" s="20"/>
      <c r="AG2527" s="20"/>
      <c r="AH2527" s="20"/>
      <c r="AI2527" s="20"/>
      <c r="AJ2527" s="20"/>
      <c r="AK2527" s="20"/>
      <c r="AL2527" s="20"/>
      <c r="AM2527" s="216"/>
      <c r="AN2527" s="216"/>
    </row>
    <row r="2528" spans="3:40">
      <c r="C2528" s="136"/>
      <c r="D2528" s="136"/>
      <c r="F2528" s="20"/>
      <c r="G2528" s="138"/>
      <c r="H2528" s="138"/>
      <c r="I2528" s="126"/>
      <c r="J2528" s="20"/>
      <c r="K2528" s="20"/>
      <c r="L2528" s="20"/>
      <c r="M2528" s="20"/>
      <c r="N2528" s="126"/>
      <c r="O2528" s="126"/>
      <c r="P2528" s="126"/>
      <c r="Q2528" s="202"/>
      <c r="R2528" s="20"/>
      <c r="S2528" s="199"/>
      <c r="AE2528" s="20"/>
      <c r="AF2528" s="20"/>
      <c r="AG2528" s="20"/>
      <c r="AH2528" s="20"/>
      <c r="AI2528" s="20"/>
      <c r="AJ2528" s="20"/>
      <c r="AK2528" s="20"/>
      <c r="AL2528" s="20"/>
      <c r="AM2528" s="20"/>
      <c r="AN2528" s="216"/>
    </row>
    <row r="2529" spans="3:40">
      <c r="C2529" s="136"/>
      <c r="D2529" s="136"/>
      <c r="F2529" s="20"/>
      <c r="G2529" s="138"/>
      <c r="H2529" s="138"/>
      <c r="I2529" s="126"/>
      <c r="J2529" s="20"/>
      <c r="K2529" s="20"/>
      <c r="L2529" s="20"/>
      <c r="M2529" s="20"/>
      <c r="N2529" s="126"/>
      <c r="O2529" s="126"/>
      <c r="P2529" s="126"/>
      <c r="Q2529" s="202"/>
      <c r="R2529" s="20"/>
      <c r="S2529" s="199"/>
      <c r="AE2529" s="20"/>
      <c r="AF2529" s="20"/>
      <c r="AG2529" s="20"/>
      <c r="AH2529" s="20"/>
      <c r="AI2529" s="20"/>
      <c r="AJ2529" s="20"/>
      <c r="AK2529" s="20"/>
      <c r="AL2529" s="20"/>
      <c r="AM2529" s="20"/>
      <c r="AN2529" s="20"/>
    </row>
    <row r="2530" spans="3:40">
      <c r="C2530" s="136"/>
      <c r="D2530" s="136"/>
      <c r="F2530" s="20"/>
      <c r="G2530" s="138"/>
      <c r="H2530" s="138"/>
      <c r="I2530" s="126"/>
      <c r="J2530" s="20"/>
      <c r="K2530" s="20"/>
      <c r="L2530" s="20"/>
      <c r="M2530" s="20"/>
      <c r="N2530" s="126"/>
      <c r="O2530" s="126"/>
      <c r="P2530" s="126"/>
      <c r="Q2530" s="202"/>
      <c r="R2530" s="20"/>
      <c r="S2530" s="199"/>
      <c r="AE2530" s="20"/>
      <c r="AF2530" s="20"/>
      <c r="AG2530" s="20"/>
      <c r="AH2530" s="20"/>
      <c r="AI2530" s="20"/>
      <c r="AJ2530" s="20"/>
      <c r="AK2530" s="20"/>
      <c r="AL2530" s="20"/>
      <c r="AM2530" s="20"/>
      <c r="AN2530" s="216"/>
    </row>
    <row r="2531" spans="3:40">
      <c r="C2531" s="136"/>
      <c r="D2531" s="136"/>
      <c r="F2531" s="20"/>
      <c r="G2531" s="138"/>
      <c r="H2531" s="138"/>
      <c r="I2531" s="126"/>
      <c r="J2531" s="20"/>
      <c r="K2531" s="20"/>
      <c r="L2531" s="20"/>
      <c r="M2531" s="20"/>
      <c r="N2531" s="126"/>
      <c r="O2531" s="126"/>
      <c r="P2531" s="126"/>
      <c r="Q2531" s="202"/>
      <c r="R2531" s="20"/>
      <c r="S2531" s="199"/>
      <c r="AE2531" s="20"/>
      <c r="AF2531" s="20"/>
      <c r="AG2531" s="20"/>
      <c r="AH2531" s="20"/>
      <c r="AI2531" s="20"/>
      <c r="AJ2531" s="20"/>
      <c r="AK2531" s="20"/>
      <c r="AL2531" s="20"/>
      <c r="AM2531" s="20"/>
      <c r="AN2531" s="20"/>
    </row>
    <row r="2532" spans="3:40">
      <c r="C2532" s="136"/>
      <c r="D2532" s="136"/>
      <c r="F2532" s="20"/>
      <c r="G2532" s="138"/>
      <c r="H2532" s="138"/>
      <c r="I2532" s="126"/>
      <c r="J2532" s="20"/>
      <c r="K2532" s="20"/>
      <c r="L2532" s="20"/>
      <c r="M2532" s="20"/>
      <c r="N2532" s="126"/>
      <c r="O2532" s="126"/>
      <c r="P2532" s="126"/>
      <c r="Q2532" s="202"/>
      <c r="R2532" s="199"/>
      <c r="S2532" s="199"/>
      <c r="AE2532" s="20"/>
      <c r="AF2532" s="20"/>
      <c r="AG2532" s="20"/>
      <c r="AH2532" s="20"/>
      <c r="AI2532" s="20"/>
      <c r="AJ2532" s="20"/>
      <c r="AK2532" s="20"/>
      <c r="AL2532" s="20"/>
      <c r="AM2532" s="20"/>
      <c r="AN2532" s="216"/>
    </row>
    <row r="2533" spans="3:40">
      <c r="C2533" s="136"/>
      <c r="D2533" s="136"/>
      <c r="F2533" s="20"/>
      <c r="G2533" s="138"/>
      <c r="H2533" s="138"/>
      <c r="I2533" s="126"/>
      <c r="J2533" s="20"/>
      <c r="K2533" s="20"/>
      <c r="L2533" s="20"/>
      <c r="M2533" s="20"/>
      <c r="N2533" s="126"/>
      <c r="O2533" s="126"/>
      <c r="P2533" s="126"/>
      <c r="Q2533" s="202"/>
      <c r="R2533" s="20"/>
      <c r="S2533" s="199"/>
      <c r="AE2533" s="20"/>
      <c r="AF2533" s="20"/>
      <c r="AG2533" s="20"/>
      <c r="AH2533" s="20"/>
      <c r="AI2533" s="20"/>
      <c r="AJ2533" s="20"/>
      <c r="AK2533" s="20"/>
      <c r="AL2533" s="20"/>
      <c r="AM2533" s="216"/>
      <c r="AN2533" s="216"/>
    </row>
    <row r="2534" spans="3:40">
      <c r="C2534" s="136"/>
      <c r="D2534" s="136"/>
      <c r="F2534" s="20"/>
      <c r="G2534" s="138"/>
      <c r="H2534" s="138"/>
      <c r="I2534" s="126"/>
      <c r="J2534" s="20"/>
      <c r="K2534" s="20"/>
      <c r="L2534" s="20"/>
      <c r="M2534" s="20"/>
      <c r="N2534" s="126"/>
      <c r="O2534" s="126"/>
      <c r="P2534" s="126"/>
      <c r="Q2534" s="202"/>
      <c r="R2534" s="20"/>
      <c r="S2534" s="199"/>
      <c r="AE2534" s="20"/>
      <c r="AF2534" s="20"/>
      <c r="AG2534" s="20"/>
      <c r="AH2534" s="20"/>
      <c r="AI2534" s="20"/>
      <c r="AJ2534" s="20"/>
      <c r="AK2534" s="20"/>
      <c r="AL2534" s="20"/>
      <c r="AM2534" s="216"/>
      <c r="AN2534" s="216"/>
    </row>
    <row r="2535" spans="3:40">
      <c r="C2535" s="136"/>
      <c r="D2535" s="136"/>
      <c r="F2535" s="20"/>
      <c r="G2535" s="138"/>
      <c r="H2535" s="138"/>
      <c r="I2535" s="126"/>
      <c r="J2535" s="20"/>
      <c r="K2535" s="20"/>
      <c r="L2535" s="20"/>
      <c r="M2535" s="20"/>
      <c r="N2535" s="126"/>
      <c r="O2535" s="126"/>
      <c r="P2535" s="126"/>
      <c r="Q2535" s="202"/>
      <c r="R2535" s="20"/>
      <c r="S2535" s="199"/>
      <c r="AE2535" s="20"/>
      <c r="AF2535" s="20"/>
      <c r="AG2535" s="20"/>
      <c r="AH2535" s="20"/>
      <c r="AI2535" s="20"/>
      <c r="AJ2535" s="20"/>
      <c r="AK2535" s="20"/>
      <c r="AL2535" s="20"/>
      <c r="AM2535" s="20"/>
      <c r="AN2535" s="216"/>
    </row>
    <row r="2536" spans="3:40">
      <c r="C2536" s="136"/>
      <c r="D2536" s="136"/>
      <c r="F2536" s="20"/>
      <c r="G2536" s="138"/>
      <c r="H2536" s="138"/>
      <c r="I2536" s="126"/>
      <c r="J2536" s="20"/>
      <c r="K2536" s="20"/>
      <c r="L2536" s="20"/>
      <c r="M2536" s="20"/>
      <c r="N2536" s="126"/>
      <c r="O2536" s="126"/>
      <c r="P2536" s="126"/>
      <c r="Q2536" s="202"/>
      <c r="R2536" s="199"/>
      <c r="S2536" s="199"/>
      <c r="AE2536" s="20"/>
      <c r="AF2536" s="20"/>
      <c r="AG2536" s="20"/>
      <c r="AH2536" s="20"/>
      <c r="AI2536" s="20"/>
      <c r="AJ2536" s="20"/>
      <c r="AK2536" s="20"/>
      <c r="AL2536" s="20"/>
      <c r="AM2536" s="216"/>
      <c r="AN2536" s="20"/>
    </row>
    <row r="2537" spans="3:40">
      <c r="C2537" s="136"/>
      <c r="D2537" s="136"/>
      <c r="F2537" s="20"/>
      <c r="G2537" s="138"/>
      <c r="H2537" s="138"/>
      <c r="I2537" s="126"/>
      <c r="J2537" s="20"/>
      <c r="K2537" s="20"/>
      <c r="L2537" s="20"/>
      <c r="M2537" s="20"/>
      <c r="N2537" s="126"/>
      <c r="O2537" s="126"/>
      <c r="P2537" s="126"/>
      <c r="Q2537" s="202"/>
      <c r="R2537" s="20"/>
      <c r="S2537" s="199"/>
      <c r="AE2537" s="20"/>
      <c r="AF2537" s="20"/>
      <c r="AG2537" s="20"/>
      <c r="AH2537" s="20"/>
      <c r="AI2537" s="20"/>
      <c r="AJ2537" s="20"/>
      <c r="AK2537" s="20"/>
      <c r="AL2537" s="20"/>
      <c r="AM2537" s="216"/>
      <c r="AN2537" s="20"/>
    </row>
    <row r="2538" spans="3:40">
      <c r="C2538" s="136"/>
      <c r="D2538" s="136"/>
      <c r="F2538" s="20"/>
      <c r="G2538" s="138"/>
      <c r="H2538" s="138"/>
      <c r="I2538" s="126"/>
      <c r="J2538" s="20"/>
      <c r="K2538" s="20"/>
      <c r="L2538" s="20"/>
      <c r="M2538" s="20"/>
      <c r="N2538" s="126"/>
      <c r="O2538" s="126"/>
      <c r="P2538" s="126"/>
      <c r="Q2538" s="202"/>
      <c r="R2538" s="199"/>
      <c r="S2538" s="199"/>
      <c r="AE2538" s="20"/>
      <c r="AF2538" s="20"/>
      <c r="AG2538" s="20"/>
      <c r="AH2538" s="20"/>
      <c r="AI2538" s="20"/>
      <c r="AJ2538" s="20"/>
      <c r="AK2538" s="20"/>
      <c r="AL2538" s="20"/>
      <c r="AM2538" s="216"/>
      <c r="AN2538" s="20"/>
    </row>
    <row r="2539" spans="3:40">
      <c r="C2539" s="136"/>
      <c r="D2539" s="136"/>
      <c r="F2539" s="20"/>
      <c r="G2539" s="138"/>
      <c r="H2539" s="138"/>
      <c r="I2539" s="126"/>
      <c r="J2539" s="20"/>
      <c r="K2539" s="20"/>
      <c r="L2539" s="20"/>
      <c r="M2539" s="20"/>
      <c r="N2539" s="126"/>
      <c r="O2539" s="126"/>
      <c r="P2539" s="126"/>
      <c r="Q2539" s="202"/>
      <c r="R2539" s="20"/>
      <c r="S2539" s="199"/>
      <c r="AE2539" s="20"/>
      <c r="AF2539" s="20"/>
      <c r="AG2539" s="20"/>
      <c r="AH2539" s="20"/>
      <c r="AI2539" s="20"/>
      <c r="AJ2539" s="20"/>
      <c r="AK2539" s="20"/>
      <c r="AL2539" s="20"/>
      <c r="AM2539" s="216"/>
      <c r="AN2539" s="216"/>
    </row>
    <row r="2540" spans="3:40">
      <c r="C2540" s="136"/>
      <c r="D2540" s="136"/>
      <c r="F2540" s="20"/>
      <c r="G2540" s="138"/>
      <c r="H2540" s="138"/>
      <c r="I2540" s="126"/>
      <c r="J2540" s="20"/>
      <c r="K2540" s="20"/>
      <c r="L2540" s="20"/>
      <c r="M2540" s="20"/>
      <c r="N2540" s="126"/>
      <c r="O2540" s="126"/>
      <c r="P2540" s="126"/>
      <c r="Q2540" s="202"/>
      <c r="R2540" s="20"/>
      <c r="S2540" s="199"/>
      <c r="AE2540" s="20"/>
      <c r="AF2540" s="20"/>
      <c r="AG2540" s="20"/>
      <c r="AH2540" s="20"/>
      <c r="AI2540" s="20"/>
      <c r="AJ2540" s="20"/>
      <c r="AK2540" s="20"/>
      <c r="AL2540" s="20"/>
      <c r="AM2540" s="216"/>
      <c r="AN2540" s="20"/>
    </row>
    <row r="2541" spans="3:40">
      <c r="C2541" s="136"/>
      <c r="D2541" s="136"/>
      <c r="F2541" s="20"/>
      <c r="G2541" s="138"/>
      <c r="H2541" s="138"/>
      <c r="I2541" s="126"/>
      <c r="J2541" s="20"/>
      <c r="K2541" s="20"/>
      <c r="L2541" s="20"/>
      <c r="M2541" s="20"/>
      <c r="N2541" s="126"/>
      <c r="O2541" s="126"/>
      <c r="P2541" s="126"/>
      <c r="Q2541" s="202"/>
      <c r="R2541" s="20"/>
      <c r="S2541" s="199"/>
      <c r="AE2541" s="20"/>
      <c r="AF2541" s="20"/>
      <c r="AG2541" s="20"/>
      <c r="AH2541" s="20"/>
      <c r="AI2541" s="20"/>
      <c r="AJ2541" s="20"/>
      <c r="AK2541" s="20"/>
      <c r="AL2541" s="20"/>
      <c r="AM2541" s="216"/>
      <c r="AN2541" s="216"/>
    </row>
    <row r="2542" spans="3:40">
      <c r="C2542" s="136"/>
      <c r="D2542" s="136"/>
      <c r="F2542" s="20"/>
      <c r="G2542" s="138"/>
      <c r="H2542" s="138"/>
      <c r="I2542" s="126"/>
      <c r="J2542" s="20"/>
      <c r="K2542" s="20"/>
      <c r="L2542" s="20"/>
      <c r="M2542" s="20"/>
      <c r="N2542" s="126"/>
      <c r="O2542" s="126"/>
      <c r="P2542" s="126"/>
      <c r="Q2542" s="202"/>
      <c r="R2542" s="20"/>
      <c r="S2542" s="199"/>
      <c r="AE2542" s="20"/>
      <c r="AF2542" s="20"/>
      <c r="AG2542" s="20"/>
      <c r="AH2542" s="20"/>
      <c r="AI2542" s="20"/>
      <c r="AJ2542" s="20"/>
      <c r="AK2542" s="20"/>
      <c r="AL2542" s="20"/>
      <c r="AM2542" s="216"/>
      <c r="AN2542" s="216"/>
    </row>
    <row r="2543" spans="3:40">
      <c r="C2543" s="136"/>
      <c r="D2543" s="136"/>
      <c r="F2543" s="20"/>
      <c r="G2543" s="138"/>
      <c r="H2543" s="138"/>
      <c r="I2543" s="126"/>
      <c r="J2543" s="20"/>
      <c r="K2543" s="20"/>
      <c r="L2543" s="20"/>
      <c r="M2543" s="20"/>
      <c r="N2543" s="126"/>
      <c r="O2543" s="126"/>
      <c r="P2543" s="126"/>
      <c r="Q2543" s="202"/>
      <c r="R2543" s="20"/>
      <c r="S2543" s="199"/>
      <c r="AE2543" s="20"/>
      <c r="AF2543" s="20"/>
      <c r="AG2543" s="20"/>
      <c r="AH2543" s="20"/>
      <c r="AI2543" s="20"/>
      <c r="AJ2543" s="20"/>
      <c r="AK2543" s="20"/>
      <c r="AL2543" s="20"/>
      <c r="AM2543" s="216"/>
      <c r="AN2543" s="20"/>
    </row>
    <row r="2544" spans="3:40">
      <c r="C2544" s="136"/>
      <c r="D2544" s="136"/>
      <c r="F2544" s="20"/>
      <c r="G2544" s="138"/>
      <c r="H2544" s="138"/>
      <c r="I2544" s="126"/>
      <c r="J2544" s="20"/>
      <c r="K2544" s="20"/>
      <c r="L2544" s="20"/>
      <c r="M2544" s="20"/>
      <c r="N2544" s="126"/>
      <c r="O2544" s="126"/>
      <c r="P2544" s="126"/>
      <c r="Q2544" s="202"/>
      <c r="R2544" s="20"/>
      <c r="S2544" s="199"/>
      <c r="AE2544" s="20"/>
      <c r="AF2544" s="20"/>
      <c r="AG2544" s="20"/>
      <c r="AH2544" s="20"/>
      <c r="AI2544" s="20"/>
      <c r="AJ2544" s="20"/>
      <c r="AK2544" s="20"/>
      <c r="AL2544" s="20"/>
      <c r="AM2544" s="216"/>
      <c r="AN2544" s="216"/>
    </row>
    <row r="2545" spans="3:40">
      <c r="C2545" s="136"/>
      <c r="D2545" s="136"/>
      <c r="F2545" s="20"/>
      <c r="G2545" s="138"/>
      <c r="H2545" s="138"/>
      <c r="I2545" s="126"/>
      <c r="J2545" s="20"/>
      <c r="K2545" s="20"/>
      <c r="L2545" s="20"/>
      <c r="M2545" s="20"/>
      <c r="N2545" s="126"/>
      <c r="O2545" s="126"/>
      <c r="P2545" s="126"/>
      <c r="Q2545" s="202"/>
      <c r="R2545" s="20"/>
      <c r="S2545" s="199"/>
      <c r="AE2545" s="20"/>
      <c r="AF2545" s="20"/>
      <c r="AG2545" s="20"/>
      <c r="AH2545" s="20"/>
      <c r="AI2545" s="20"/>
      <c r="AJ2545" s="20"/>
      <c r="AK2545" s="20"/>
      <c r="AL2545" s="20"/>
      <c r="AM2545" s="216"/>
      <c r="AN2545" s="20"/>
    </row>
    <row r="2546" spans="3:40">
      <c r="C2546" s="136"/>
      <c r="D2546" s="136"/>
      <c r="F2546" s="20"/>
      <c r="G2546" s="138"/>
      <c r="H2546" s="138"/>
      <c r="I2546" s="126"/>
      <c r="J2546" s="20"/>
      <c r="K2546" s="20"/>
      <c r="L2546" s="20"/>
      <c r="M2546" s="20"/>
      <c r="N2546" s="126"/>
      <c r="O2546" s="126"/>
      <c r="P2546" s="126"/>
      <c r="Q2546" s="202"/>
      <c r="R2546" s="20"/>
      <c r="S2546" s="199"/>
      <c r="AE2546" s="20"/>
      <c r="AF2546" s="20"/>
      <c r="AG2546" s="20"/>
      <c r="AH2546" s="20"/>
      <c r="AI2546" s="20"/>
      <c r="AJ2546" s="20"/>
      <c r="AK2546" s="20"/>
      <c r="AL2546" s="20"/>
      <c r="AM2546" s="216"/>
      <c r="AN2546" s="20"/>
    </row>
    <row r="2547" spans="3:40">
      <c r="C2547" s="136"/>
      <c r="D2547" s="136"/>
      <c r="F2547" s="20"/>
      <c r="G2547" s="138"/>
      <c r="H2547" s="138"/>
      <c r="I2547" s="126"/>
      <c r="J2547" s="20"/>
      <c r="K2547" s="20"/>
      <c r="L2547" s="20"/>
      <c r="M2547" s="20"/>
      <c r="N2547" s="126"/>
      <c r="O2547" s="126"/>
      <c r="P2547" s="126"/>
      <c r="Q2547" s="202"/>
      <c r="R2547" s="20"/>
      <c r="S2547" s="199"/>
      <c r="AE2547" s="20"/>
      <c r="AF2547" s="20"/>
      <c r="AG2547" s="20"/>
      <c r="AH2547" s="20"/>
      <c r="AI2547" s="20"/>
      <c r="AJ2547" s="20"/>
      <c r="AK2547" s="20"/>
      <c r="AL2547" s="20"/>
      <c r="AM2547" s="216"/>
      <c r="AN2547" s="216"/>
    </row>
    <row r="2548" spans="3:40">
      <c r="C2548" s="136"/>
      <c r="D2548" s="136"/>
      <c r="F2548" s="20"/>
      <c r="G2548" s="138"/>
      <c r="H2548" s="138"/>
      <c r="I2548" s="126"/>
      <c r="J2548" s="20"/>
      <c r="K2548" s="20"/>
      <c r="L2548" s="20"/>
      <c r="M2548" s="20"/>
      <c r="N2548" s="126"/>
      <c r="O2548" s="126"/>
      <c r="P2548" s="126"/>
      <c r="Q2548" s="202"/>
      <c r="R2548" s="20"/>
      <c r="S2548" s="199"/>
      <c r="AE2548" s="20"/>
      <c r="AF2548" s="20"/>
      <c r="AG2548" s="20"/>
      <c r="AH2548" s="20"/>
      <c r="AI2548" s="20"/>
      <c r="AJ2548" s="20"/>
      <c r="AK2548" s="20"/>
      <c r="AL2548" s="20"/>
      <c r="AM2548" s="216"/>
      <c r="AN2548" s="217"/>
    </row>
    <row r="2549" spans="3:40">
      <c r="C2549" s="136"/>
      <c r="D2549" s="136"/>
      <c r="F2549" s="20"/>
      <c r="G2549" s="138"/>
      <c r="H2549" s="138"/>
      <c r="I2549" s="126"/>
      <c r="J2549" s="20"/>
      <c r="K2549" s="20"/>
      <c r="L2549" s="20"/>
      <c r="M2549" s="20"/>
      <c r="N2549" s="126"/>
      <c r="O2549" s="126"/>
      <c r="P2549" s="126"/>
      <c r="Q2549" s="202"/>
      <c r="R2549" s="199"/>
      <c r="S2549" s="199"/>
      <c r="AE2549" s="20"/>
      <c r="AF2549" s="20"/>
      <c r="AG2549" s="20"/>
      <c r="AH2549" s="20"/>
      <c r="AI2549" s="20"/>
      <c r="AJ2549" s="20"/>
      <c r="AK2549" s="20"/>
      <c r="AL2549" s="20"/>
      <c r="AM2549" s="216"/>
      <c r="AN2549" s="217"/>
    </row>
    <row r="2550" spans="3:40">
      <c r="C2550" s="136"/>
      <c r="D2550" s="136"/>
      <c r="F2550" s="20"/>
      <c r="G2550" s="138"/>
      <c r="H2550" s="138"/>
      <c r="I2550" s="126"/>
      <c r="J2550" s="20"/>
      <c r="K2550" s="20"/>
      <c r="L2550" s="20"/>
      <c r="M2550" s="20"/>
      <c r="N2550" s="126"/>
      <c r="O2550" s="126"/>
      <c r="P2550" s="126"/>
      <c r="Q2550" s="202"/>
      <c r="R2550" s="199"/>
      <c r="S2550" s="199"/>
      <c r="AE2550" s="20"/>
      <c r="AF2550" s="20"/>
      <c r="AG2550" s="20"/>
      <c r="AH2550" s="20"/>
      <c r="AI2550" s="20"/>
      <c r="AJ2550" s="20"/>
      <c r="AK2550" s="20"/>
      <c r="AL2550" s="20"/>
      <c r="AM2550" s="216"/>
      <c r="AN2550" s="217"/>
    </row>
    <row r="2551" spans="3:40">
      <c r="C2551" s="136"/>
      <c r="D2551" s="136"/>
      <c r="F2551" s="20"/>
      <c r="G2551" s="138"/>
      <c r="H2551" s="138"/>
      <c r="I2551" s="126"/>
      <c r="J2551" s="20"/>
      <c r="K2551" s="20"/>
      <c r="L2551" s="20"/>
      <c r="M2551" s="20"/>
      <c r="N2551" s="126"/>
      <c r="O2551" s="126"/>
      <c r="P2551" s="126"/>
      <c r="Q2551" s="202"/>
      <c r="R2551" s="199"/>
      <c r="S2551" s="199"/>
      <c r="AE2551" s="20"/>
      <c r="AF2551" s="20"/>
      <c r="AG2551" s="20"/>
      <c r="AH2551" s="20"/>
      <c r="AI2551" s="20"/>
      <c r="AJ2551" s="20"/>
      <c r="AK2551" s="20"/>
      <c r="AL2551" s="20"/>
      <c r="AM2551" s="216"/>
      <c r="AN2551" s="219"/>
    </row>
    <row r="2552" spans="3:40">
      <c r="C2552" s="136"/>
      <c r="D2552" s="136"/>
      <c r="F2552" s="20"/>
      <c r="G2552" s="138"/>
      <c r="H2552" s="138"/>
      <c r="I2552" s="126"/>
      <c r="J2552" s="20"/>
      <c r="K2552" s="20"/>
      <c r="L2552" s="20"/>
      <c r="M2552" s="20"/>
      <c r="N2552" s="126"/>
      <c r="O2552" s="126"/>
      <c r="P2552" s="126"/>
      <c r="Q2552" s="202"/>
      <c r="R2552" s="199"/>
      <c r="S2552" s="199"/>
      <c r="AE2552" s="20"/>
      <c r="AF2552" s="20"/>
      <c r="AG2552" s="20"/>
      <c r="AH2552" s="20"/>
      <c r="AI2552" s="20"/>
      <c r="AJ2552" s="20"/>
      <c r="AK2552" s="20"/>
      <c r="AL2552" s="20"/>
      <c r="AM2552" s="216"/>
      <c r="AN2552" s="217"/>
    </row>
    <row r="2553" spans="3:40">
      <c r="C2553" s="136"/>
      <c r="D2553" s="136"/>
      <c r="F2553" s="20"/>
      <c r="G2553" s="138"/>
      <c r="H2553" s="138"/>
      <c r="I2553" s="126"/>
      <c r="J2553" s="20"/>
      <c r="K2553" s="20"/>
      <c r="L2553" s="20"/>
      <c r="M2553" s="20"/>
      <c r="N2553" s="126"/>
      <c r="O2553" s="126"/>
      <c r="P2553" s="126"/>
      <c r="Q2553" s="202"/>
      <c r="R2553" s="199"/>
      <c r="S2553" s="199"/>
      <c r="AE2553" s="20"/>
      <c r="AF2553" s="20"/>
      <c r="AG2553" s="20"/>
      <c r="AH2553" s="20"/>
      <c r="AI2553" s="20"/>
      <c r="AJ2553" s="20"/>
      <c r="AK2553" s="20"/>
      <c r="AL2553" s="20"/>
      <c r="AM2553" s="216"/>
      <c r="AN2553" s="217"/>
    </row>
    <row r="2554" spans="3:40">
      <c r="C2554" s="136"/>
      <c r="D2554" s="136"/>
      <c r="F2554" s="20"/>
      <c r="G2554" s="138"/>
      <c r="H2554" s="138"/>
      <c r="I2554" s="126"/>
      <c r="J2554" s="20"/>
      <c r="K2554" s="20"/>
      <c r="L2554" s="20"/>
      <c r="M2554" s="20"/>
      <c r="N2554" s="126"/>
      <c r="O2554" s="126"/>
      <c r="P2554" s="126"/>
      <c r="Q2554" s="202"/>
      <c r="R2554" s="199"/>
      <c r="S2554" s="199"/>
      <c r="AE2554" s="20"/>
      <c r="AF2554" s="20"/>
      <c r="AG2554" s="20"/>
      <c r="AH2554" s="20"/>
      <c r="AI2554" s="20"/>
      <c r="AJ2554" s="20"/>
      <c r="AK2554" s="20"/>
      <c r="AL2554" s="20"/>
      <c r="AM2554" s="216"/>
      <c r="AN2554" s="217"/>
    </row>
    <row r="2555" spans="3:40">
      <c r="C2555" s="136"/>
      <c r="D2555" s="136"/>
      <c r="F2555" s="20"/>
      <c r="G2555" s="138"/>
      <c r="H2555" s="138"/>
      <c r="I2555" s="126"/>
      <c r="J2555" s="20"/>
      <c r="K2555" s="20"/>
      <c r="L2555" s="20"/>
      <c r="M2555" s="20"/>
      <c r="N2555" s="126"/>
      <c r="O2555" s="126"/>
      <c r="P2555" s="126"/>
      <c r="Q2555" s="202"/>
      <c r="R2555" s="199"/>
      <c r="S2555" s="199"/>
      <c r="AE2555" s="20"/>
      <c r="AF2555" s="20"/>
      <c r="AG2555" s="20"/>
      <c r="AH2555" s="20"/>
      <c r="AI2555" s="20"/>
      <c r="AJ2555" s="20"/>
      <c r="AK2555" s="20"/>
      <c r="AL2555" s="20"/>
      <c r="AM2555" s="216"/>
      <c r="AN2555" s="217"/>
    </row>
    <row r="2556" spans="3:40">
      <c r="C2556" s="136"/>
      <c r="D2556" s="136"/>
      <c r="F2556" s="20"/>
      <c r="G2556" s="138"/>
      <c r="H2556" s="138"/>
      <c r="I2556" s="126"/>
      <c r="J2556" s="20"/>
      <c r="K2556" s="20"/>
      <c r="L2556" s="20"/>
      <c r="M2556" s="20"/>
      <c r="N2556" s="126"/>
      <c r="O2556" s="126"/>
      <c r="P2556" s="126"/>
      <c r="Q2556" s="202"/>
      <c r="R2556" s="199"/>
      <c r="S2556" s="199"/>
      <c r="AE2556" s="20"/>
      <c r="AF2556" s="20"/>
      <c r="AG2556" s="20"/>
      <c r="AH2556" s="20"/>
      <c r="AI2556" s="20"/>
      <c r="AJ2556" s="20"/>
      <c r="AK2556" s="20"/>
      <c r="AL2556" s="20"/>
      <c r="AM2556" s="216"/>
      <c r="AN2556" s="219"/>
    </row>
    <row r="2557" spans="3:40">
      <c r="C2557" s="136"/>
      <c r="D2557" s="136"/>
      <c r="F2557" s="20"/>
      <c r="G2557" s="138"/>
      <c r="H2557" s="138"/>
      <c r="I2557" s="126"/>
      <c r="J2557" s="20"/>
      <c r="K2557" s="20"/>
      <c r="L2557" s="20"/>
      <c r="M2557" s="20"/>
      <c r="N2557" s="126"/>
      <c r="O2557" s="126"/>
      <c r="P2557" s="126"/>
      <c r="Q2557" s="202"/>
      <c r="R2557" s="199"/>
      <c r="S2557" s="199"/>
      <c r="AE2557" s="20"/>
      <c r="AF2557" s="20"/>
      <c r="AG2557" s="20"/>
      <c r="AH2557" s="20"/>
      <c r="AI2557" s="20"/>
      <c r="AJ2557" s="20"/>
      <c r="AK2557" s="20"/>
      <c r="AL2557" s="20"/>
      <c r="AM2557" s="216"/>
      <c r="AN2557" s="219"/>
    </row>
    <row r="2558" spans="3:40">
      <c r="C2558" s="136"/>
      <c r="D2558" s="136"/>
      <c r="F2558" s="20"/>
      <c r="G2558" s="138"/>
      <c r="H2558" s="138"/>
      <c r="I2558" s="126"/>
      <c r="J2558" s="20"/>
      <c r="K2558" s="20"/>
      <c r="L2558" s="20"/>
      <c r="M2558" s="20"/>
      <c r="N2558" s="126"/>
      <c r="O2558" s="126"/>
      <c r="P2558" s="126"/>
      <c r="Q2558" s="202"/>
      <c r="R2558" s="199"/>
      <c r="S2558" s="199"/>
      <c r="AE2558" s="20"/>
      <c r="AF2558" s="20"/>
      <c r="AG2558" s="20"/>
      <c r="AH2558" s="20"/>
      <c r="AI2558" s="20"/>
      <c r="AJ2558" s="20"/>
      <c r="AK2558" s="20"/>
      <c r="AL2558" s="219"/>
      <c r="AM2558" s="216"/>
      <c r="AN2558" s="217"/>
    </row>
    <row r="2559" spans="3:40">
      <c r="C2559" s="136"/>
      <c r="D2559" s="136"/>
      <c r="F2559" s="20"/>
      <c r="G2559" s="138"/>
      <c r="H2559" s="138"/>
      <c r="I2559" s="126"/>
      <c r="J2559" s="20"/>
      <c r="K2559" s="20"/>
      <c r="L2559" s="20"/>
      <c r="M2559" s="20"/>
      <c r="N2559" s="126"/>
      <c r="O2559" s="126"/>
      <c r="P2559" s="126"/>
      <c r="Q2559" s="202"/>
      <c r="R2559" s="199"/>
      <c r="S2559" s="199"/>
      <c r="AE2559" s="20"/>
      <c r="AF2559" s="20"/>
      <c r="AG2559" s="20"/>
      <c r="AH2559" s="20"/>
      <c r="AI2559" s="20"/>
      <c r="AJ2559" s="20"/>
      <c r="AK2559" s="20"/>
      <c r="AL2559" s="20"/>
      <c r="AM2559" s="216"/>
      <c r="AN2559" s="217"/>
    </row>
    <row r="2560" spans="3:40">
      <c r="C2560" s="136"/>
      <c r="D2560" s="136"/>
      <c r="F2560" s="20"/>
      <c r="G2560" s="138"/>
      <c r="H2560" s="138"/>
      <c r="I2560" s="126"/>
      <c r="J2560" s="20"/>
      <c r="K2560" s="20"/>
      <c r="L2560" s="20"/>
      <c r="M2560" s="20"/>
      <c r="N2560" s="126"/>
      <c r="O2560" s="126"/>
      <c r="P2560" s="126"/>
      <c r="Q2560" s="202"/>
      <c r="R2560" s="199"/>
      <c r="S2560" s="199"/>
      <c r="AE2560" s="20"/>
      <c r="AF2560" s="20"/>
      <c r="AG2560" s="20"/>
      <c r="AH2560" s="20"/>
      <c r="AI2560" s="20"/>
      <c r="AJ2560" s="20"/>
      <c r="AK2560" s="20"/>
      <c r="AL2560" s="20"/>
      <c r="AM2560" s="216"/>
      <c r="AN2560" s="217"/>
    </row>
    <row r="2561" spans="3:40">
      <c r="C2561" s="136"/>
      <c r="D2561" s="136"/>
      <c r="F2561" s="20"/>
      <c r="G2561" s="138"/>
      <c r="H2561" s="138"/>
      <c r="I2561" s="126"/>
      <c r="J2561" s="20"/>
      <c r="K2561" s="20"/>
      <c r="L2561" s="20"/>
      <c r="M2561" s="20"/>
      <c r="N2561" s="126"/>
      <c r="O2561" s="126"/>
      <c r="P2561" s="126"/>
      <c r="Q2561" s="202"/>
      <c r="R2561" s="199"/>
      <c r="S2561" s="199"/>
      <c r="AE2561" s="20"/>
      <c r="AF2561" s="20"/>
      <c r="AG2561" s="20"/>
      <c r="AH2561" s="20"/>
      <c r="AI2561" s="20"/>
      <c r="AJ2561" s="20"/>
      <c r="AK2561" s="20"/>
      <c r="AL2561" s="20"/>
      <c r="AM2561" s="216"/>
      <c r="AN2561" s="217"/>
    </row>
    <row r="2562" spans="3:40">
      <c r="C2562" s="136"/>
      <c r="D2562" s="136"/>
      <c r="F2562" s="20"/>
      <c r="G2562" s="138"/>
      <c r="H2562" s="138"/>
      <c r="I2562" s="126"/>
      <c r="J2562" s="20"/>
      <c r="K2562" s="20"/>
      <c r="L2562" s="20"/>
      <c r="M2562" s="20"/>
      <c r="N2562" s="126"/>
      <c r="O2562" s="126"/>
      <c r="P2562" s="126"/>
      <c r="Q2562" s="202"/>
      <c r="R2562" s="199"/>
      <c r="S2562" s="199"/>
      <c r="AE2562" s="20"/>
      <c r="AF2562" s="20"/>
      <c r="AG2562" s="20"/>
      <c r="AH2562" s="20"/>
      <c r="AI2562" s="20"/>
      <c r="AJ2562" s="20"/>
      <c r="AK2562" s="20"/>
      <c r="AL2562" s="20"/>
      <c r="AM2562" s="216"/>
      <c r="AN2562" s="217"/>
    </row>
    <row r="2563" spans="3:40">
      <c r="C2563" s="136"/>
      <c r="D2563" s="136"/>
      <c r="F2563" s="20"/>
      <c r="G2563" s="138"/>
      <c r="H2563" s="138"/>
      <c r="I2563" s="126"/>
      <c r="J2563" s="20"/>
      <c r="K2563" s="20"/>
      <c r="L2563" s="20"/>
      <c r="M2563" s="20"/>
      <c r="N2563" s="126"/>
      <c r="O2563" s="126"/>
      <c r="P2563" s="126"/>
      <c r="Q2563" s="202"/>
      <c r="R2563" s="199"/>
      <c r="S2563" s="199"/>
      <c r="AE2563" s="20"/>
      <c r="AF2563" s="20"/>
      <c r="AG2563" s="20"/>
      <c r="AH2563" s="20"/>
      <c r="AI2563" s="20"/>
      <c r="AJ2563" s="20"/>
      <c r="AK2563" s="20"/>
      <c r="AL2563" s="20"/>
      <c r="AM2563" s="216"/>
      <c r="AN2563" s="217"/>
    </row>
    <row r="2564" spans="3:40">
      <c r="C2564" s="136"/>
      <c r="D2564" s="136"/>
      <c r="F2564" s="20"/>
      <c r="G2564" s="138"/>
      <c r="H2564" s="138"/>
      <c r="I2564" s="126"/>
      <c r="J2564" s="20"/>
      <c r="K2564" s="20"/>
      <c r="L2564" s="20"/>
      <c r="M2564" s="20"/>
      <c r="N2564" s="126"/>
      <c r="O2564" s="126"/>
      <c r="P2564" s="126"/>
      <c r="Q2564" s="202"/>
      <c r="R2564" s="199"/>
      <c r="S2564" s="199"/>
      <c r="AE2564" s="20"/>
      <c r="AF2564" s="20"/>
      <c r="AG2564" s="20"/>
      <c r="AH2564" s="20"/>
      <c r="AI2564" s="20"/>
      <c r="AJ2564" s="20"/>
      <c r="AK2564" s="20"/>
      <c r="AL2564" s="20"/>
      <c r="AM2564" s="216"/>
      <c r="AN2564" s="217"/>
    </row>
    <row r="2565" spans="3:40">
      <c r="C2565" s="136"/>
      <c r="D2565" s="136"/>
      <c r="F2565" s="20"/>
      <c r="G2565" s="138"/>
      <c r="H2565" s="138"/>
      <c r="I2565" s="126"/>
      <c r="J2565" s="20"/>
      <c r="K2565" s="20"/>
      <c r="L2565" s="20"/>
      <c r="M2565" s="20"/>
      <c r="N2565" s="126"/>
      <c r="O2565" s="126"/>
      <c r="P2565" s="126"/>
      <c r="Q2565" s="202"/>
      <c r="R2565" s="199"/>
      <c r="S2565" s="199"/>
      <c r="AE2565" s="20"/>
      <c r="AF2565" s="20"/>
      <c r="AG2565" s="20"/>
      <c r="AH2565" s="20"/>
      <c r="AI2565" s="20"/>
      <c r="AJ2565" s="20"/>
      <c r="AK2565" s="20"/>
      <c r="AL2565" s="20"/>
      <c r="AM2565" s="216"/>
      <c r="AN2565" s="217"/>
    </row>
    <row r="2566" spans="3:40">
      <c r="C2566" s="136"/>
      <c r="D2566" s="136"/>
      <c r="F2566" s="20"/>
      <c r="G2566" s="138"/>
      <c r="H2566" s="138"/>
      <c r="I2566" s="126"/>
      <c r="J2566" s="20"/>
      <c r="K2566" s="20"/>
      <c r="L2566" s="20"/>
      <c r="M2566" s="20"/>
      <c r="N2566" s="126"/>
      <c r="O2566" s="126"/>
      <c r="P2566" s="126"/>
      <c r="Q2566" s="202"/>
      <c r="R2566" s="199"/>
      <c r="S2566" s="199"/>
      <c r="AE2566" s="20"/>
      <c r="AF2566" s="20"/>
      <c r="AG2566" s="20"/>
      <c r="AH2566" s="20"/>
      <c r="AI2566" s="20"/>
      <c r="AJ2566" s="20"/>
      <c r="AK2566" s="20"/>
      <c r="AL2566" s="20"/>
      <c r="AM2566" s="216"/>
      <c r="AN2566" s="217"/>
    </row>
    <row r="2567" spans="3:40">
      <c r="C2567" s="136"/>
      <c r="D2567" s="136"/>
      <c r="F2567" s="20"/>
      <c r="G2567" s="138"/>
      <c r="H2567" s="138"/>
      <c r="I2567" s="126"/>
      <c r="J2567" s="20"/>
      <c r="K2567" s="20"/>
      <c r="L2567" s="20"/>
      <c r="M2567" s="20"/>
      <c r="N2567" s="126"/>
      <c r="O2567" s="126"/>
      <c r="P2567" s="126"/>
      <c r="Q2567" s="202"/>
      <c r="R2567" s="199"/>
      <c r="S2567" s="199"/>
      <c r="AE2567" s="20"/>
      <c r="AF2567" s="20"/>
      <c r="AG2567" s="20"/>
      <c r="AH2567" s="20"/>
      <c r="AI2567" s="20"/>
      <c r="AJ2567" s="20"/>
      <c r="AK2567" s="20"/>
      <c r="AL2567" s="20"/>
      <c r="AM2567" s="216"/>
      <c r="AN2567" s="217"/>
    </row>
    <row r="2568" spans="3:40">
      <c r="C2568" s="136"/>
      <c r="D2568" s="136"/>
      <c r="F2568" s="20"/>
      <c r="G2568" s="138"/>
      <c r="H2568" s="138"/>
      <c r="I2568" s="126"/>
      <c r="J2568" s="20"/>
      <c r="K2568" s="20"/>
      <c r="L2568" s="20"/>
      <c r="M2568" s="20"/>
      <c r="N2568" s="126"/>
      <c r="O2568" s="126"/>
      <c r="P2568" s="126"/>
      <c r="Q2568" s="202"/>
      <c r="R2568" s="199"/>
      <c r="S2568" s="199"/>
      <c r="AE2568" s="20"/>
      <c r="AF2568" s="20"/>
      <c r="AG2568" s="20"/>
      <c r="AH2568" s="20"/>
      <c r="AI2568" s="20"/>
      <c r="AJ2568" s="20"/>
      <c r="AK2568" s="20"/>
      <c r="AL2568" s="20"/>
      <c r="AM2568" s="216"/>
      <c r="AN2568" s="217"/>
    </row>
    <row r="2569" spans="3:40">
      <c r="C2569" s="136"/>
      <c r="D2569" s="136"/>
      <c r="F2569" s="20"/>
      <c r="G2569" s="138"/>
      <c r="H2569" s="138"/>
      <c r="I2569" s="126"/>
      <c r="J2569" s="20"/>
      <c r="K2569" s="20"/>
      <c r="L2569" s="20"/>
      <c r="M2569" s="20"/>
      <c r="N2569" s="126"/>
      <c r="O2569" s="126"/>
      <c r="P2569" s="126"/>
      <c r="Q2569" s="202"/>
      <c r="R2569" s="199"/>
      <c r="S2569" s="199"/>
      <c r="AE2569" s="20"/>
      <c r="AF2569" s="20"/>
      <c r="AG2569" s="20"/>
      <c r="AH2569" s="20"/>
      <c r="AI2569" s="20"/>
      <c r="AJ2569" s="20"/>
      <c r="AK2569" s="20"/>
      <c r="AL2569" s="20"/>
      <c r="AM2569" s="216"/>
      <c r="AN2569" s="217"/>
    </row>
    <row r="2570" spans="3:40">
      <c r="C2570" s="136"/>
      <c r="D2570" s="136"/>
      <c r="F2570" s="20"/>
      <c r="G2570" s="138"/>
      <c r="H2570" s="138"/>
      <c r="I2570" s="126"/>
      <c r="J2570" s="20"/>
      <c r="K2570" s="20"/>
      <c r="L2570" s="20"/>
      <c r="M2570" s="20"/>
      <c r="N2570" s="126"/>
      <c r="O2570" s="126"/>
      <c r="P2570" s="126"/>
      <c r="Q2570" s="202"/>
      <c r="R2570" s="199"/>
      <c r="S2570" s="199"/>
      <c r="AE2570" s="20"/>
      <c r="AF2570" s="20"/>
      <c r="AG2570" s="20"/>
      <c r="AH2570" s="20"/>
      <c r="AI2570" s="20"/>
      <c r="AJ2570" s="20"/>
      <c r="AK2570" s="20"/>
      <c r="AL2570" s="20"/>
      <c r="AM2570" s="216"/>
      <c r="AN2570" s="216"/>
    </row>
    <row r="2571" spans="3:40">
      <c r="C2571" s="136"/>
      <c r="D2571" s="136"/>
      <c r="F2571" s="20"/>
      <c r="G2571" s="138"/>
      <c r="H2571" s="138"/>
      <c r="I2571" s="126"/>
      <c r="J2571" s="20"/>
      <c r="K2571" s="20"/>
      <c r="L2571" s="20"/>
      <c r="M2571" s="20"/>
      <c r="N2571" s="126"/>
      <c r="O2571" s="126"/>
      <c r="P2571" s="126"/>
      <c r="Q2571" s="202"/>
      <c r="R2571" s="199"/>
      <c r="S2571" s="199"/>
      <c r="AE2571" s="20"/>
      <c r="AF2571" s="20"/>
      <c r="AG2571" s="20"/>
      <c r="AH2571" s="20"/>
      <c r="AI2571" s="20"/>
      <c r="AJ2571" s="20"/>
      <c r="AK2571" s="20"/>
      <c r="AL2571" s="20"/>
      <c r="AM2571" s="216"/>
      <c r="AN2571" s="217"/>
    </row>
    <row r="2572" spans="3:40">
      <c r="C2572" s="136"/>
      <c r="D2572" s="136"/>
      <c r="F2572" s="20"/>
      <c r="G2572" s="138"/>
      <c r="H2572" s="138"/>
      <c r="I2572" s="126"/>
      <c r="J2572" s="20"/>
      <c r="K2572" s="20"/>
      <c r="L2572" s="20"/>
      <c r="M2572" s="20"/>
      <c r="N2572" s="126"/>
      <c r="O2572" s="126"/>
      <c r="P2572" s="126"/>
      <c r="Q2572" s="202"/>
      <c r="R2572" s="199"/>
      <c r="S2572" s="199"/>
      <c r="AE2572" s="20"/>
      <c r="AF2572" s="20"/>
      <c r="AG2572" s="20"/>
      <c r="AH2572" s="20"/>
      <c r="AI2572" s="20"/>
      <c r="AJ2572" s="20"/>
      <c r="AK2572" s="20"/>
      <c r="AL2572" s="20"/>
      <c r="AM2572" s="216"/>
      <c r="AN2572" s="217"/>
    </row>
    <row r="2573" spans="3:40">
      <c r="C2573" s="136"/>
      <c r="D2573" s="136"/>
      <c r="F2573" s="20"/>
      <c r="G2573" s="138"/>
      <c r="H2573" s="138"/>
      <c r="I2573" s="126"/>
      <c r="J2573" s="20"/>
      <c r="K2573" s="20"/>
      <c r="L2573" s="20"/>
      <c r="M2573" s="20"/>
      <c r="N2573" s="126"/>
      <c r="O2573" s="126"/>
      <c r="P2573" s="126"/>
      <c r="Q2573" s="202"/>
      <c r="R2573" s="199"/>
      <c r="S2573" s="199"/>
      <c r="AE2573" s="20"/>
      <c r="AF2573" s="20"/>
      <c r="AG2573" s="20"/>
      <c r="AH2573" s="20"/>
      <c r="AI2573" s="20"/>
      <c r="AJ2573" s="20"/>
      <c r="AK2573" s="20"/>
      <c r="AL2573" s="20"/>
      <c r="AM2573" s="216"/>
      <c r="AN2573" s="217"/>
    </row>
    <row r="2574" spans="3:40">
      <c r="C2574" s="136"/>
      <c r="D2574" s="136"/>
      <c r="F2574" s="20"/>
      <c r="G2574" s="138"/>
      <c r="H2574" s="138"/>
      <c r="I2574" s="126"/>
      <c r="J2574" s="20"/>
      <c r="K2574" s="20"/>
      <c r="L2574" s="20"/>
      <c r="M2574" s="20"/>
      <c r="N2574" s="126"/>
      <c r="O2574" s="126"/>
      <c r="P2574" s="126"/>
      <c r="Q2574" s="202"/>
      <c r="R2574" s="199"/>
      <c r="S2574" s="199"/>
      <c r="AE2574" s="20"/>
      <c r="AF2574" s="20"/>
      <c r="AG2574" s="20"/>
      <c r="AH2574" s="20"/>
      <c r="AI2574" s="20"/>
      <c r="AJ2574" s="20"/>
      <c r="AK2574" s="20"/>
      <c r="AL2574" s="20"/>
      <c r="AM2574" s="216"/>
      <c r="AN2574" s="217"/>
    </row>
    <row r="2575" spans="3:40">
      <c r="C2575" s="136"/>
      <c r="D2575" s="136"/>
      <c r="F2575" s="20"/>
      <c r="G2575" s="138"/>
      <c r="H2575" s="138"/>
      <c r="I2575" s="126"/>
      <c r="J2575" s="20"/>
      <c r="K2575" s="20"/>
      <c r="L2575" s="20"/>
      <c r="M2575" s="20"/>
      <c r="N2575" s="126"/>
      <c r="O2575" s="126"/>
      <c r="P2575" s="126"/>
      <c r="Q2575" s="202"/>
      <c r="R2575" s="199"/>
      <c r="S2575" s="199"/>
      <c r="AE2575" s="20"/>
      <c r="AF2575" s="20"/>
      <c r="AG2575" s="20"/>
      <c r="AH2575" s="20"/>
      <c r="AI2575" s="20"/>
      <c r="AJ2575" s="20"/>
      <c r="AK2575" s="20"/>
      <c r="AL2575" s="20"/>
      <c r="AM2575" s="216"/>
      <c r="AN2575" s="217"/>
    </row>
    <row r="2576" spans="3:40">
      <c r="C2576" s="136"/>
      <c r="D2576" s="136"/>
      <c r="F2576" s="20"/>
      <c r="G2576" s="138"/>
      <c r="H2576" s="138"/>
      <c r="I2576" s="126"/>
      <c r="J2576" s="20"/>
      <c r="K2576" s="20"/>
      <c r="L2576" s="20"/>
      <c r="M2576" s="20"/>
      <c r="N2576" s="126"/>
      <c r="O2576" s="126"/>
      <c r="P2576" s="126"/>
      <c r="Q2576" s="202"/>
      <c r="R2576" s="199"/>
      <c r="S2576" s="199"/>
      <c r="AE2576" s="20"/>
      <c r="AF2576" s="20"/>
      <c r="AG2576" s="20"/>
      <c r="AH2576" s="20"/>
      <c r="AI2576" s="20"/>
      <c r="AJ2576" s="20"/>
      <c r="AK2576" s="20"/>
      <c r="AL2576" s="20"/>
      <c r="AM2576" s="216"/>
      <c r="AN2576" s="217"/>
    </row>
    <row r="2577" spans="3:40">
      <c r="C2577" s="136"/>
      <c r="D2577" s="136"/>
      <c r="F2577" s="20"/>
      <c r="G2577" s="138"/>
      <c r="H2577" s="138"/>
      <c r="I2577" s="126"/>
      <c r="J2577" s="20"/>
      <c r="K2577" s="20"/>
      <c r="L2577" s="20"/>
      <c r="M2577" s="20"/>
      <c r="N2577" s="126"/>
      <c r="O2577" s="126"/>
      <c r="P2577" s="126"/>
      <c r="Q2577" s="202"/>
      <c r="R2577" s="199"/>
      <c r="S2577" s="199"/>
      <c r="AE2577" s="20"/>
      <c r="AF2577" s="20"/>
      <c r="AG2577" s="20"/>
      <c r="AH2577" s="20"/>
      <c r="AI2577" s="20"/>
      <c r="AJ2577" s="20"/>
      <c r="AK2577" s="20"/>
      <c r="AL2577" s="20"/>
      <c r="AM2577" s="216"/>
      <c r="AN2577" s="217"/>
    </row>
    <row r="2578" spans="3:40">
      <c r="C2578" s="136"/>
      <c r="D2578" s="136"/>
      <c r="F2578" s="20"/>
      <c r="G2578" s="138"/>
      <c r="H2578" s="138"/>
      <c r="I2578" s="126"/>
      <c r="J2578" s="20"/>
      <c r="K2578" s="20"/>
      <c r="L2578" s="20"/>
      <c r="M2578" s="20"/>
      <c r="N2578" s="126"/>
      <c r="O2578" s="126"/>
      <c r="P2578" s="126"/>
      <c r="Q2578" s="202"/>
      <c r="R2578" s="199"/>
      <c r="S2578" s="199"/>
      <c r="AE2578" s="20"/>
      <c r="AF2578" s="20"/>
      <c r="AG2578" s="20"/>
      <c r="AH2578" s="20"/>
      <c r="AI2578" s="20"/>
      <c r="AJ2578" s="20"/>
      <c r="AK2578" s="20"/>
      <c r="AL2578" s="20"/>
      <c r="AM2578" s="216"/>
      <c r="AN2578" s="217"/>
    </row>
    <row r="2579" spans="3:40">
      <c r="C2579" s="136"/>
      <c r="D2579" s="136"/>
      <c r="F2579" s="20"/>
      <c r="G2579" s="138"/>
      <c r="H2579" s="138"/>
      <c r="I2579" s="126"/>
      <c r="J2579" s="20"/>
      <c r="K2579" s="20"/>
      <c r="L2579" s="20"/>
      <c r="M2579" s="20"/>
      <c r="N2579" s="126"/>
      <c r="O2579" s="126"/>
      <c r="P2579" s="126"/>
      <c r="Q2579" s="202"/>
      <c r="R2579" s="199"/>
      <c r="S2579" s="199"/>
      <c r="AE2579" s="20"/>
      <c r="AF2579" s="20"/>
      <c r="AG2579" s="20"/>
      <c r="AH2579" s="20"/>
      <c r="AI2579" s="20"/>
      <c r="AJ2579" s="20"/>
      <c r="AK2579" s="20"/>
      <c r="AL2579" s="20"/>
      <c r="AM2579" s="216"/>
      <c r="AN2579" s="217"/>
    </row>
    <row r="2580" spans="3:40">
      <c r="C2580" s="136"/>
      <c r="D2580" s="136"/>
      <c r="F2580" s="20"/>
      <c r="G2580" s="138"/>
      <c r="H2580" s="138"/>
      <c r="I2580" s="126"/>
      <c r="J2580" s="20"/>
      <c r="K2580" s="20"/>
      <c r="L2580" s="20"/>
      <c r="M2580" s="20"/>
      <c r="N2580" s="126"/>
      <c r="O2580" s="126"/>
      <c r="P2580" s="126"/>
      <c r="Q2580" s="202"/>
      <c r="R2580" s="199"/>
      <c r="S2580" s="199"/>
      <c r="AE2580" s="20"/>
      <c r="AF2580" s="20"/>
      <c r="AG2580" s="20"/>
      <c r="AH2580" s="20"/>
      <c r="AI2580" s="20"/>
      <c r="AJ2580" s="20"/>
      <c r="AK2580" s="20"/>
      <c r="AL2580" s="20"/>
      <c r="AM2580" s="216"/>
      <c r="AN2580" s="20"/>
    </row>
    <row r="2581" spans="3:40">
      <c r="C2581" s="136"/>
      <c r="D2581" s="136"/>
      <c r="F2581" s="20"/>
      <c r="G2581" s="138"/>
      <c r="H2581" s="138"/>
      <c r="I2581" s="126"/>
      <c r="J2581" s="20"/>
      <c r="K2581" s="20"/>
      <c r="L2581" s="20"/>
      <c r="M2581" s="20"/>
      <c r="N2581" s="126"/>
      <c r="O2581" s="126"/>
      <c r="P2581" s="126"/>
      <c r="Q2581" s="202"/>
      <c r="R2581" s="199"/>
      <c r="S2581" s="199"/>
      <c r="AE2581" s="20"/>
      <c r="AF2581" s="20"/>
      <c r="AG2581" s="20"/>
      <c r="AH2581" s="20"/>
      <c r="AI2581" s="20"/>
      <c r="AJ2581" s="20"/>
      <c r="AK2581" s="20"/>
      <c r="AL2581" s="20"/>
      <c r="AM2581" s="216"/>
      <c r="AN2581" s="216"/>
    </row>
    <row r="2582" spans="3:40">
      <c r="C2582" s="136"/>
      <c r="D2582" s="136"/>
      <c r="F2582" s="20"/>
      <c r="G2582" s="138"/>
      <c r="H2582" s="138"/>
      <c r="I2582" s="126"/>
      <c r="J2582" s="20"/>
      <c r="K2582" s="20"/>
      <c r="L2582" s="20"/>
      <c r="M2582" s="20"/>
      <c r="N2582" s="126"/>
      <c r="O2582" s="126"/>
      <c r="P2582" s="126"/>
      <c r="Q2582" s="202"/>
      <c r="R2582" s="199"/>
      <c r="S2582" s="199"/>
      <c r="AE2582" s="20"/>
      <c r="AF2582" s="20"/>
      <c r="AG2582" s="20"/>
      <c r="AH2582" s="20"/>
      <c r="AI2582" s="20"/>
      <c r="AJ2582" s="20"/>
      <c r="AK2582" s="20"/>
      <c r="AL2582" s="20"/>
      <c r="AM2582" s="216"/>
      <c r="AN2582" s="20"/>
    </row>
    <row r="2583" spans="3:40">
      <c r="C2583" s="136"/>
      <c r="D2583" s="136"/>
      <c r="F2583" s="20"/>
      <c r="G2583" s="138"/>
      <c r="H2583" s="138"/>
      <c r="I2583" s="126"/>
      <c r="J2583" s="20"/>
      <c r="K2583" s="20"/>
      <c r="L2583" s="20"/>
      <c r="M2583" s="20"/>
      <c r="N2583" s="126"/>
      <c r="O2583" s="126"/>
      <c r="P2583" s="126"/>
      <c r="Q2583" s="202"/>
      <c r="R2583" s="199"/>
      <c r="S2583" s="199"/>
      <c r="AE2583" s="143"/>
      <c r="AF2583" s="143"/>
      <c r="AG2583" s="143"/>
      <c r="AH2583" s="143"/>
      <c r="AI2583" s="143"/>
      <c r="AJ2583" s="143"/>
      <c r="AK2583" s="200"/>
      <c r="AL2583" s="151"/>
      <c r="AM2583" s="145"/>
      <c r="AN2583" s="204"/>
    </row>
    <row r="2584" spans="3:40">
      <c r="C2584" s="136"/>
      <c r="D2584" s="136"/>
      <c r="F2584" s="20"/>
      <c r="G2584" s="138"/>
      <c r="H2584" s="138"/>
      <c r="I2584" s="126"/>
      <c r="J2584" s="20"/>
      <c r="K2584" s="20"/>
      <c r="L2584" s="20"/>
      <c r="M2584" s="20"/>
      <c r="N2584" s="126"/>
      <c r="O2584" s="126"/>
      <c r="P2584" s="126"/>
      <c r="Q2584" s="202"/>
      <c r="R2584" s="199"/>
      <c r="S2584" s="199"/>
      <c r="AE2584" s="143"/>
      <c r="AF2584" s="143"/>
      <c r="AG2584" s="143"/>
      <c r="AH2584" s="143"/>
      <c r="AI2584" s="143"/>
      <c r="AJ2584" s="143"/>
      <c r="AK2584" s="200"/>
      <c r="AL2584" s="143"/>
      <c r="AM2584" s="145"/>
      <c r="AN2584" s="204"/>
    </row>
    <row r="2585" spans="3:40">
      <c r="C2585" s="136"/>
      <c r="D2585" s="136"/>
      <c r="F2585" s="20"/>
      <c r="G2585" s="138"/>
      <c r="H2585" s="138"/>
      <c r="I2585" s="126"/>
      <c r="J2585" s="20"/>
      <c r="K2585" s="20"/>
      <c r="L2585" s="20"/>
      <c r="M2585" s="20"/>
      <c r="N2585" s="126"/>
      <c r="O2585" s="126"/>
      <c r="P2585" s="126"/>
      <c r="Q2585" s="202"/>
      <c r="R2585" s="199"/>
      <c r="S2585" s="199"/>
      <c r="AE2585" s="143"/>
      <c r="AF2585" s="143"/>
      <c r="AG2585" s="143"/>
      <c r="AH2585" s="143"/>
      <c r="AI2585" s="143"/>
      <c r="AJ2585" s="143"/>
      <c r="AK2585" s="200"/>
      <c r="AL2585" s="143"/>
      <c r="AM2585" s="145"/>
      <c r="AN2585" s="204"/>
    </row>
    <row r="2586" spans="3:40">
      <c r="C2586" s="136"/>
      <c r="D2586" s="136"/>
      <c r="F2586" s="20"/>
      <c r="G2586" s="138"/>
      <c r="H2586" s="138"/>
      <c r="I2586" s="126"/>
      <c r="J2586" s="20"/>
      <c r="K2586" s="20"/>
      <c r="L2586" s="20"/>
      <c r="M2586" s="20"/>
      <c r="N2586" s="126"/>
      <c r="O2586" s="126"/>
      <c r="P2586" s="126"/>
      <c r="Q2586" s="202"/>
      <c r="R2586" s="199"/>
      <c r="S2586" s="199"/>
      <c r="AE2586" s="143"/>
      <c r="AF2586" s="143"/>
      <c r="AG2586" s="143"/>
      <c r="AH2586" s="143"/>
      <c r="AI2586" s="143"/>
      <c r="AJ2586" s="143"/>
      <c r="AK2586" s="200"/>
      <c r="AL2586" s="143"/>
      <c r="AM2586" s="145"/>
      <c r="AN2586" s="204"/>
    </row>
    <row r="2587" spans="3:40">
      <c r="C2587" s="136"/>
      <c r="D2587" s="136"/>
      <c r="F2587" s="20"/>
      <c r="G2587" s="138"/>
      <c r="H2587" s="138"/>
      <c r="I2587" s="126"/>
      <c r="J2587" s="20"/>
      <c r="K2587" s="20"/>
      <c r="L2587" s="20"/>
      <c r="M2587" s="20"/>
      <c r="N2587" s="126"/>
      <c r="O2587" s="126"/>
      <c r="P2587" s="126"/>
      <c r="Q2587" s="202"/>
      <c r="R2587" s="199"/>
      <c r="S2587" s="199"/>
      <c r="AE2587" s="143"/>
      <c r="AF2587" s="143"/>
      <c r="AG2587" s="143"/>
      <c r="AH2587" s="143"/>
      <c r="AI2587" s="143"/>
      <c r="AJ2587" s="143"/>
      <c r="AK2587" s="200"/>
      <c r="AL2587" s="143"/>
      <c r="AM2587" s="145"/>
      <c r="AN2587" s="204"/>
    </row>
    <row r="2588" spans="3:40">
      <c r="C2588" s="136"/>
      <c r="D2588" s="136"/>
      <c r="F2588" s="20"/>
      <c r="G2588" s="138"/>
      <c r="H2588" s="138"/>
      <c r="I2588" s="126"/>
      <c r="J2588" s="20"/>
      <c r="K2588" s="20"/>
      <c r="L2588" s="20"/>
      <c r="M2588" s="20"/>
      <c r="N2588" s="126"/>
      <c r="O2588" s="126"/>
      <c r="P2588" s="126"/>
      <c r="Q2588" s="202"/>
      <c r="R2588" s="199"/>
      <c r="S2588" s="199"/>
      <c r="AE2588" s="143"/>
      <c r="AF2588" s="143"/>
      <c r="AG2588" s="143"/>
      <c r="AH2588" s="143"/>
      <c r="AI2588" s="143"/>
      <c r="AJ2588" s="143"/>
      <c r="AK2588" s="200"/>
      <c r="AL2588" s="143"/>
      <c r="AM2588" s="145"/>
      <c r="AN2588" s="204"/>
    </row>
    <row r="2589" spans="3:40">
      <c r="C2589" s="136"/>
      <c r="D2589" s="136"/>
      <c r="F2589" s="20"/>
      <c r="G2589" s="138"/>
      <c r="H2589" s="138"/>
      <c r="I2589" s="126"/>
      <c r="J2589" s="20"/>
      <c r="K2589" s="20"/>
      <c r="L2589" s="20"/>
      <c r="M2589" s="20"/>
      <c r="N2589" s="126"/>
      <c r="O2589" s="126"/>
      <c r="P2589" s="126"/>
      <c r="Q2589" s="202"/>
      <c r="R2589" s="199"/>
      <c r="S2589" s="199"/>
      <c r="AE2589" s="143"/>
      <c r="AF2589" s="143"/>
      <c r="AG2589" s="143"/>
      <c r="AH2589" s="143"/>
      <c r="AI2589" s="143"/>
      <c r="AJ2589" s="143"/>
      <c r="AK2589" s="200"/>
      <c r="AL2589" s="143"/>
      <c r="AM2589" s="145"/>
      <c r="AN2589" s="204"/>
    </row>
    <row r="2590" spans="3:40">
      <c r="C2590" s="136"/>
      <c r="D2590" s="136"/>
      <c r="F2590" s="20"/>
      <c r="G2590" s="138"/>
      <c r="H2590" s="138"/>
      <c r="I2590" s="126"/>
      <c r="J2590" s="20"/>
      <c r="K2590" s="20"/>
      <c r="L2590" s="20"/>
      <c r="M2590" s="20"/>
      <c r="N2590" s="126"/>
      <c r="O2590" s="126"/>
      <c r="P2590" s="126"/>
      <c r="Q2590" s="202"/>
      <c r="R2590" s="199"/>
      <c r="S2590" s="199"/>
      <c r="AE2590" s="143"/>
      <c r="AF2590" s="143"/>
      <c r="AG2590" s="143"/>
      <c r="AH2590" s="143"/>
      <c r="AI2590" s="143"/>
      <c r="AJ2590" s="143"/>
      <c r="AK2590" s="200"/>
      <c r="AL2590" s="143"/>
      <c r="AM2590" s="145"/>
      <c r="AN2590" s="204"/>
    </row>
    <row r="2591" spans="3:40">
      <c r="C2591" s="136"/>
      <c r="D2591" s="136"/>
      <c r="F2591" s="20"/>
      <c r="G2591" s="138"/>
      <c r="H2591" s="138"/>
      <c r="I2591" s="126"/>
      <c r="J2591" s="20"/>
      <c r="K2591" s="20"/>
      <c r="L2591" s="20"/>
      <c r="M2591" s="20"/>
      <c r="N2591" s="126"/>
      <c r="O2591" s="126"/>
      <c r="P2591" s="126"/>
      <c r="Q2591" s="202"/>
      <c r="R2591" s="199"/>
      <c r="S2591" s="199"/>
      <c r="AE2591" s="143"/>
      <c r="AF2591" s="143"/>
      <c r="AG2591" s="143"/>
      <c r="AH2591" s="143"/>
      <c r="AI2591" s="143"/>
      <c r="AJ2591" s="143"/>
      <c r="AK2591" s="200"/>
      <c r="AL2591" s="143"/>
      <c r="AM2591" s="145"/>
      <c r="AN2591" s="204"/>
    </row>
    <row r="2592" spans="3:40">
      <c r="C2592" s="136"/>
      <c r="D2592" s="136"/>
      <c r="F2592" s="20"/>
      <c r="G2592" s="138"/>
      <c r="H2592" s="138"/>
      <c r="I2592" s="126"/>
      <c r="J2592" s="20"/>
      <c r="K2592" s="20"/>
      <c r="L2592" s="20"/>
      <c r="M2592" s="20"/>
      <c r="N2592" s="126"/>
      <c r="O2592" s="126"/>
      <c r="P2592" s="126"/>
      <c r="Q2592" s="202"/>
      <c r="R2592" s="199"/>
      <c r="S2592" s="199"/>
      <c r="AE2592" s="143"/>
      <c r="AF2592" s="143"/>
      <c r="AG2592" s="143"/>
      <c r="AH2592" s="143"/>
      <c r="AI2592" s="143"/>
      <c r="AJ2592" s="143"/>
      <c r="AK2592" s="200"/>
      <c r="AL2592" s="143"/>
      <c r="AM2592" s="145"/>
      <c r="AN2592" s="204"/>
    </row>
    <row r="2593" spans="3:40">
      <c r="C2593" s="136"/>
      <c r="D2593" s="136"/>
      <c r="F2593" s="20"/>
      <c r="G2593" s="138"/>
      <c r="H2593" s="138"/>
      <c r="I2593" s="126"/>
      <c r="J2593" s="20"/>
      <c r="K2593" s="20"/>
      <c r="L2593" s="20"/>
      <c r="M2593" s="20"/>
      <c r="N2593" s="126"/>
      <c r="O2593" s="126"/>
      <c r="P2593" s="126"/>
      <c r="Q2593" s="202"/>
      <c r="R2593" s="199"/>
      <c r="S2593" s="199"/>
      <c r="AE2593" s="143"/>
      <c r="AF2593" s="143"/>
      <c r="AG2593" s="143"/>
      <c r="AH2593" s="143"/>
      <c r="AI2593" s="143"/>
      <c r="AJ2593" s="143"/>
      <c r="AK2593" s="200"/>
      <c r="AL2593" s="143"/>
      <c r="AM2593" s="145"/>
      <c r="AN2593" s="204"/>
    </row>
    <row r="2594" spans="3:40">
      <c r="C2594" s="136"/>
      <c r="D2594" s="136"/>
      <c r="F2594" s="20"/>
      <c r="G2594" s="138"/>
      <c r="H2594" s="138"/>
      <c r="I2594" s="126"/>
      <c r="J2594" s="20"/>
      <c r="K2594" s="20"/>
      <c r="L2594" s="20"/>
      <c r="M2594" s="20"/>
      <c r="N2594" s="126"/>
      <c r="O2594" s="126"/>
      <c r="P2594" s="126"/>
      <c r="Q2594" s="202"/>
      <c r="R2594" s="199"/>
      <c r="S2594" s="199"/>
      <c r="AE2594" s="143"/>
      <c r="AF2594" s="143"/>
      <c r="AG2594" s="143"/>
      <c r="AH2594" s="143"/>
      <c r="AI2594" s="143"/>
      <c r="AJ2594" s="143"/>
      <c r="AK2594" s="200"/>
      <c r="AL2594" s="143"/>
      <c r="AM2594" s="145"/>
      <c r="AN2594" s="204"/>
    </row>
    <row r="2595" spans="3:40">
      <c r="C2595" s="136"/>
      <c r="D2595" s="136"/>
      <c r="F2595" s="20"/>
      <c r="G2595" s="138"/>
      <c r="H2595" s="138"/>
      <c r="I2595" s="126"/>
      <c r="J2595" s="20"/>
      <c r="K2595" s="20"/>
      <c r="L2595" s="20"/>
      <c r="M2595" s="20"/>
      <c r="N2595" s="126"/>
      <c r="O2595" s="126"/>
      <c r="P2595" s="126"/>
      <c r="Q2595" s="202"/>
      <c r="R2595" s="199"/>
      <c r="S2595" s="199"/>
      <c r="AE2595" s="143"/>
      <c r="AF2595" s="143"/>
      <c r="AG2595" s="143"/>
      <c r="AH2595" s="143"/>
      <c r="AI2595" s="143"/>
      <c r="AJ2595" s="143"/>
      <c r="AK2595" s="200"/>
      <c r="AL2595" s="143"/>
      <c r="AM2595" s="143"/>
      <c r="AN2595" s="187"/>
    </row>
    <row r="2596" spans="3:40">
      <c r="C2596" s="136"/>
      <c r="D2596" s="136"/>
      <c r="F2596" s="20"/>
      <c r="G2596" s="138"/>
      <c r="H2596" s="138"/>
      <c r="I2596" s="126"/>
      <c r="J2596" s="20"/>
      <c r="K2596" s="20"/>
      <c r="L2596" s="20"/>
      <c r="M2596" s="20"/>
      <c r="N2596" s="126"/>
      <c r="O2596" s="126"/>
      <c r="P2596" s="126"/>
      <c r="Q2596" s="202"/>
      <c r="R2596" s="199"/>
      <c r="S2596" s="199"/>
      <c r="AE2596" s="143"/>
      <c r="AF2596" s="143"/>
      <c r="AG2596" s="143"/>
      <c r="AH2596" s="143"/>
      <c r="AI2596" s="143"/>
      <c r="AJ2596" s="143"/>
      <c r="AK2596" s="200"/>
      <c r="AL2596" s="143"/>
      <c r="AM2596" s="145"/>
      <c r="AN2596" s="204"/>
    </row>
    <row r="2597" spans="3:40">
      <c r="C2597" s="136"/>
      <c r="D2597" s="136"/>
      <c r="F2597" s="20"/>
      <c r="G2597" s="138"/>
      <c r="H2597" s="138"/>
      <c r="I2597" s="126"/>
      <c r="J2597" s="20"/>
      <c r="K2597" s="20"/>
      <c r="L2597" s="20"/>
      <c r="M2597" s="20"/>
      <c r="N2597" s="126"/>
      <c r="O2597" s="126"/>
      <c r="P2597" s="126"/>
      <c r="Q2597" s="202"/>
      <c r="R2597" s="199"/>
      <c r="S2597" s="199"/>
      <c r="AE2597" s="143"/>
      <c r="AF2597" s="143"/>
      <c r="AG2597" s="143"/>
      <c r="AH2597" s="143"/>
      <c r="AI2597" s="143"/>
      <c r="AJ2597" s="143"/>
      <c r="AK2597" s="200"/>
      <c r="AL2597" s="143"/>
      <c r="AM2597" s="145"/>
      <c r="AN2597" s="204"/>
    </row>
    <row r="2598" spans="3:40">
      <c r="C2598" s="136"/>
      <c r="D2598" s="136"/>
      <c r="F2598" s="20"/>
      <c r="G2598" s="138"/>
      <c r="H2598" s="138"/>
      <c r="I2598" s="126"/>
      <c r="J2598" s="20"/>
      <c r="K2598" s="20"/>
      <c r="L2598" s="20"/>
      <c r="M2598" s="20"/>
      <c r="N2598" s="126"/>
      <c r="O2598" s="126"/>
      <c r="P2598" s="126"/>
      <c r="Q2598" s="202"/>
      <c r="R2598" s="199"/>
      <c r="S2598" s="199"/>
      <c r="AE2598" s="143"/>
      <c r="AF2598" s="143"/>
      <c r="AG2598" s="143"/>
      <c r="AH2598" s="143"/>
      <c r="AI2598" s="143"/>
      <c r="AJ2598" s="143"/>
      <c r="AK2598" s="200"/>
      <c r="AL2598" s="143"/>
      <c r="AM2598" s="145"/>
      <c r="AN2598" s="204"/>
    </row>
    <row r="2599" spans="3:40">
      <c r="C2599" s="136"/>
      <c r="D2599" s="136"/>
      <c r="F2599" s="20"/>
      <c r="G2599" s="138"/>
      <c r="H2599" s="138"/>
      <c r="I2599" s="126"/>
      <c r="J2599" s="20"/>
      <c r="K2599" s="20"/>
      <c r="L2599" s="20"/>
      <c r="M2599" s="20"/>
      <c r="N2599" s="126"/>
      <c r="O2599" s="126"/>
      <c r="P2599" s="126"/>
      <c r="Q2599" s="202"/>
      <c r="R2599" s="199"/>
      <c r="S2599" s="199"/>
      <c r="AE2599" s="143"/>
      <c r="AF2599" s="143"/>
      <c r="AG2599" s="143"/>
      <c r="AH2599" s="143"/>
      <c r="AI2599" s="143"/>
      <c r="AJ2599" s="143"/>
      <c r="AK2599" s="200"/>
      <c r="AL2599" s="143"/>
      <c r="AM2599" s="145"/>
      <c r="AN2599" s="204"/>
    </row>
    <row r="2600" spans="3:40">
      <c r="C2600" s="136"/>
      <c r="D2600" s="136"/>
      <c r="F2600" s="20"/>
      <c r="G2600" s="138"/>
      <c r="H2600" s="138"/>
      <c r="I2600" s="126"/>
      <c r="J2600" s="20"/>
      <c r="K2600" s="20"/>
      <c r="L2600" s="20"/>
      <c r="M2600" s="20"/>
      <c r="N2600" s="126"/>
      <c r="O2600" s="126"/>
      <c r="P2600" s="126"/>
      <c r="Q2600" s="202"/>
      <c r="R2600" s="199"/>
      <c r="S2600" s="199"/>
      <c r="AE2600" s="143"/>
      <c r="AF2600" s="143"/>
      <c r="AG2600" s="143"/>
      <c r="AH2600" s="143"/>
      <c r="AI2600" s="143"/>
      <c r="AJ2600" s="143"/>
      <c r="AK2600" s="200"/>
      <c r="AL2600" s="143"/>
      <c r="AM2600" s="145"/>
      <c r="AN2600" s="204"/>
    </row>
    <row r="2601" spans="3:40">
      <c r="C2601" s="136"/>
      <c r="D2601" s="136"/>
      <c r="F2601" s="20"/>
      <c r="G2601" s="138"/>
      <c r="H2601" s="138"/>
      <c r="I2601" s="126"/>
      <c r="J2601" s="20"/>
      <c r="K2601" s="20"/>
      <c r="L2601" s="20"/>
      <c r="M2601" s="20"/>
      <c r="N2601" s="126"/>
      <c r="O2601" s="126"/>
      <c r="P2601" s="126"/>
      <c r="Q2601" s="202"/>
      <c r="R2601" s="199"/>
      <c r="S2601" s="199"/>
      <c r="AE2601" s="143"/>
      <c r="AF2601" s="143"/>
      <c r="AG2601" s="143"/>
      <c r="AH2601" s="143"/>
      <c r="AI2601" s="143"/>
      <c r="AJ2601" s="143"/>
      <c r="AK2601" s="200"/>
      <c r="AL2601" s="143"/>
      <c r="AM2601" s="145"/>
      <c r="AN2601" s="204"/>
    </row>
    <row r="2602" spans="3:40">
      <c r="C2602" s="136"/>
      <c r="D2602" s="136"/>
      <c r="F2602" s="20"/>
      <c r="G2602" s="138"/>
      <c r="H2602" s="138"/>
      <c r="I2602" s="126"/>
      <c r="J2602" s="20"/>
      <c r="K2602" s="20"/>
      <c r="L2602" s="20"/>
      <c r="M2602" s="20"/>
      <c r="N2602" s="126"/>
      <c r="O2602" s="126"/>
      <c r="P2602" s="126"/>
      <c r="Q2602" s="202"/>
      <c r="R2602" s="199"/>
      <c r="S2602" s="199"/>
      <c r="AE2602" s="143"/>
      <c r="AF2602" s="143"/>
      <c r="AG2602" s="143"/>
      <c r="AH2602" s="143"/>
      <c r="AI2602" s="143"/>
      <c r="AJ2602" s="143"/>
      <c r="AK2602" s="200"/>
      <c r="AL2602" s="143"/>
      <c r="AM2602" s="145"/>
      <c r="AN2602" s="204"/>
    </row>
    <row r="2603" spans="3:40">
      <c r="C2603" s="136"/>
      <c r="D2603" s="136"/>
      <c r="F2603" s="20"/>
      <c r="G2603" s="138"/>
      <c r="H2603" s="138"/>
      <c r="I2603" s="126"/>
      <c r="J2603" s="20"/>
      <c r="K2603" s="20"/>
      <c r="L2603" s="20"/>
      <c r="M2603" s="20"/>
      <c r="N2603" s="126"/>
      <c r="O2603" s="126"/>
      <c r="P2603" s="126"/>
      <c r="Q2603" s="202"/>
      <c r="R2603" s="199"/>
      <c r="S2603" s="199"/>
      <c r="AE2603" s="143"/>
      <c r="AF2603" s="143"/>
      <c r="AG2603" s="143"/>
      <c r="AH2603" s="143"/>
      <c r="AI2603" s="143"/>
      <c r="AJ2603" s="143"/>
      <c r="AK2603" s="200"/>
      <c r="AL2603" s="143"/>
      <c r="AM2603" s="145"/>
      <c r="AN2603" s="204"/>
    </row>
    <row r="2604" spans="3:40">
      <c r="C2604" s="136"/>
      <c r="D2604" s="136"/>
      <c r="F2604" s="20"/>
      <c r="G2604" s="138"/>
      <c r="H2604" s="138"/>
      <c r="I2604" s="126"/>
      <c r="J2604" s="20"/>
      <c r="K2604" s="20"/>
      <c r="L2604" s="20"/>
      <c r="M2604" s="20"/>
      <c r="N2604" s="126"/>
      <c r="O2604" s="126"/>
      <c r="P2604" s="126"/>
      <c r="Q2604" s="202"/>
      <c r="R2604" s="199"/>
      <c r="S2604" s="199"/>
      <c r="AE2604" s="143"/>
      <c r="AF2604" s="143"/>
      <c r="AG2604" s="143"/>
      <c r="AH2604" s="143"/>
      <c r="AI2604" s="143"/>
      <c r="AJ2604" s="143"/>
      <c r="AK2604" s="200"/>
      <c r="AL2604" s="143"/>
      <c r="AM2604" s="145"/>
      <c r="AN2604" s="204"/>
    </row>
    <row r="2605" spans="3:40">
      <c r="C2605" s="136"/>
      <c r="D2605" s="136"/>
      <c r="F2605" s="20"/>
      <c r="G2605" s="138"/>
      <c r="H2605" s="138"/>
      <c r="I2605" s="126"/>
      <c r="J2605" s="20"/>
      <c r="K2605" s="20"/>
      <c r="L2605" s="20"/>
      <c r="M2605" s="20"/>
      <c r="N2605" s="126"/>
      <c r="O2605" s="126"/>
      <c r="P2605" s="126"/>
      <c r="Q2605" s="202"/>
      <c r="R2605" s="199"/>
      <c r="S2605" s="199"/>
      <c r="AE2605" s="143"/>
      <c r="AF2605" s="143"/>
      <c r="AG2605" s="143"/>
      <c r="AH2605" s="143"/>
      <c r="AI2605" s="143"/>
      <c r="AJ2605" s="143"/>
      <c r="AK2605" s="200"/>
      <c r="AL2605" s="143"/>
      <c r="AM2605" s="145"/>
      <c r="AN2605" s="143"/>
    </row>
    <row r="2606" spans="3:40">
      <c r="C2606" s="136"/>
      <c r="D2606" s="136"/>
      <c r="F2606" s="20"/>
      <c r="G2606" s="138"/>
      <c r="H2606" s="138"/>
      <c r="I2606" s="126"/>
      <c r="J2606" s="20"/>
      <c r="K2606" s="20"/>
      <c r="L2606" s="20"/>
      <c r="M2606" s="20"/>
      <c r="N2606" s="126"/>
      <c r="O2606" s="126"/>
      <c r="P2606" s="126"/>
      <c r="Q2606" s="202"/>
      <c r="R2606" s="199"/>
      <c r="S2606" s="199"/>
      <c r="AE2606" s="143"/>
      <c r="AF2606" s="143"/>
      <c r="AG2606" s="143"/>
      <c r="AH2606" s="143"/>
      <c r="AI2606" s="143"/>
      <c r="AJ2606" s="143"/>
      <c r="AK2606" s="200"/>
      <c r="AL2606" s="143"/>
      <c r="AM2606" s="145"/>
      <c r="AN2606" s="187"/>
    </row>
    <row r="2607" spans="3:40">
      <c r="C2607" s="136"/>
      <c r="D2607" s="136"/>
      <c r="F2607" s="20"/>
      <c r="G2607" s="138"/>
      <c r="H2607" s="138"/>
      <c r="I2607" s="126"/>
      <c r="J2607" s="20"/>
      <c r="K2607" s="20"/>
      <c r="L2607" s="20"/>
      <c r="M2607" s="20"/>
      <c r="N2607" s="126"/>
      <c r="O2607" s="126"/>
      <c r="P2607" s="126"/>
      <c r="Q2607" s="202"/>
      <c r="R2607" s="199"/>
      <c r="S2607" s="199"/>
      <c r="AE2607" s="143"/>
      <c r="AF2607" s="143"/>
      <c r="AG2607" s="143"/>
      <c r="AH2607" s="143"/>
      <c r="AI2607" s="143"/>
      <c r="AJ2607" s="143"/>
      <c r="AK2607" s="200"/>
      <c r="AL2607" s="143"/>
      <c r="AM2607" s="143"/>
      <c r="AN2607" s="143"/>
    </row>
    <row r="2608" spans="3:40">
      <c r="C2608" s="136"/>
      <c r="D2608" s="136"/>
      <c r="F2608" s="20"/>
      <c r="G2608" s="138"/>
      <c r="H2608" s="138"/>
      <c r="I2608" s="126"/>
      <c r="J2608" s="20"/>
      <c r="K2608" s="20"/>
      <c r="L2608" s="20"/>
      <c r="M2608" s="20"/>
      <c r="N2608" s="126"/>
      <c r="O2608" s="126"/>
      <c r="P2608" s="126"/>
      <c r="Q2608" s="202"/>
      <c r="R2608" s="199"/>
      <c r="S2608" s="199"/>
      <c r="AE2608" s="143"/>
      <c r="AF2608" s="143"/>
      <c r="AG2608" s="143"/>
      <c r="AH2608" s="143"/>
      <c r="AI2608" s="143"/>
      <c r="AJ2608" s="143"/>
      <c r="AK2608" s="200"/>
      <c r="AL2608" s="143"/>
      <c r="AM2608" s="145"/>
      <c r="AN2608" s="143"/>
    </row>
    <row r="2609" spans="3:40">
      <c r="C2609" s="136"/>
      <c r="D2609" s="136"/>
      <c r="F2609" s="20"/>
      <c r="G2609" s="138"/>
      <c r="H2609" s="138"/>
      <c r="I2609" s="126"/>
      <c r="J2609" s="20"/>
      <c r="K2609" s="20"/>
      <c r="L2609" s="20"/>
      <c r="M2609" s="20"/>
      <c r="N2609" s="126"/>
      <c r="O2609" s="126"/>
      <c r="P2609" s="126"/>
      <c r="Q2609" s="202"/>
      <c r="R2609" s="199"/>
      <c r="S2609" s="199"/>
      <c r="AE2609" s="143"/>
      <c r="AF2609" s="143"/>
      <c r="AG2609" s="143"/>
      <c r="AH2609" s="143"/>
      <c r="AI2609" s="143"/>
      <c r="AJ2609" s="143"/>
      <c r="AK2609" s="200"/>
      <c r="AL2609" s="143"/>
      <c r="AM2609" s="145"/>
      <c r="AN2609" s="143"/>
    </row>
    <row r="2610" spans="3:40">
      <c r="C2610" s="136"/>
      <c r="D2610" s="136"/>
      <c r="F2610" s="20"/>
      <c r="G2610" s="138"/>
      <c r="H2610" s="138"/>
      <c r="I2610" s="126"/>
      <c r="J2610" s="20"/>
      <c r="K2610" s="20"/>
      <c r="L2610" s="20"/>
      <c r="M2610" s="20"/>
      <c r="N2610" s="126"/>
      <c r="O2610" s="126"/>
      <c r="P2610" s="126"/>
      <c r="Q2610" s="202"/>
      <c r="R2610" s="199"/>
      <c r="S2610" s="199"/>
      <c r="AE2610" s="143"/>
      <c r="AF2610" s="143"/>
      <c r="AG2610" s="143"/>
      <c r="AH2610" s="143"/>
      <c r="AI2610" s="143"/>
      <c r="AJ2610" s="143"/>
      <c r="AK2610" s="200"/>
      <c r="AL2610" s="143"/>
      <c r="AM2610" s="145"/>
      <c r="AN2610" s="143"/>
    </row>
    <row r="2611" spans="3:40">
      <c r="C2611" s="136"/>
      <c r="D2611" s="136"/>
      <c r="F2611" s="20"/>
      <c r="G2611" s="138"/>
      <c r="H2611" s="138"/>
      <c r="I2611" s="126"/>
      <c r="J2611" s="20"/>
      <c r="K2611" s="20"/>
      <c r="L2611" s="20"/>
      <c r="M2611" s="20"/>
      <c r="N2611" s="126"/>
      <c r="O2611" s="126"/>
      <c r="P2611" s="126"/>
      <c r="Q2611" s="202"/>
      <c r="R2611" s="199"/>
      <c r="S2611" s="199"/>
      <c r="AE2611" s="143"/>
      <c r="AF2611" s="143"/>
      <c r="AG2611" s="143"/>
      <c r="AH2611" s="143"/>
      <c r="AI2611" s="143"/>
      <c r="AJ2611" s="143"/>
      <c r="AK2611" s="200"/>
      <c r="AL2611" s="143"/>
      <c r="AM2611" s="145"/>
      <c r="AN2611" s="143"/>
    </row>
    <row r="2612" spans="3:40">
      <c r="C2612" s="136"/>
      <c r="D2612" s="136"/>
      <c r="F2612" s="20"/>
      <c r="G2612" s="138"/>
      <c r="H2612" s="138"/>
      <c r="I2612" s="126"/>
      <c r="J2612" s="20"/>
      <c r="K2612" s="20"/>
      <c r="L2612" s="20"/>
      <c r="M2612" s="20"/>
      <c r="N2612" s="126"/>
      <c r="O2612" s="126"/>
      <c r="P2612" s="126"/>
      <c r="Q2612" s="202"/>
      <c r="R2612" s="20"/>
      <c r="S2612" s="199"/>
      <c r="AE2612" s="143"/>
      <c r="AF2612" s="143"/>
      <c r="AG2612" s="143"/>
      <c r="AH2612" s="143"/>
      <c r="AI2612" s="143"/>
      <c r="AJ2612" s="143"/>
      <c r="AK2612" s="200"/>
      <c r="AL2612" s="143"/>
      <c r="AM2612" s="143"/>
      <c r="AN2612" s="143"/>
    </row>
    <row r="2613" spans="3:40">
      <c r="C2613" s="136"/>
      <c r="D2613" s="136"/>
      <c r="F2613" s="20"/>
      <c r="G2613" s="138"/>
      <c r="H2613" s="138"/>
      <c r="I2613" s="126"/>
      <c r="J2613" s="20"/>
      <c r="K2613" s="20"/>
      <c r="L2613" s="20"/>
      <c r="M2613" s="20"/>
      <c r="N2613" s="126"/>
      <c r="O2613" s="126"/>
      <c r="P2613" s="126"/>
      <c r="Q2613" s="202"/>
      <c r="R2613" s="199"/>
      <c r="S2613" s="199"/>
      <c r="AE2613" s="143"/>
      <c r="AF2613" s="143"/>
      <c r="AG2613" s="143"/>
      <c r="AH2613" s="143"/>
      <c r="AI2613" s="143"/>
      <c r="AJ2613" s="143"/>
      <c r="AK2613" s="200"/>
      <c r="AL2613" s="143"/>
      <c r="AM2613" s="143"/>
      <c r="AN2613" s="187"/>
    </row>
    <row r="2614" spans="3:40">
      <c r="C2614" s="136"/>
      <c r="D2614" s="136"/>
      <c r="F2614" s="20"/>
      <c r="G2614" s="138"/>
      <c r="H2614" s="138"/>
      <c r="I2614" s="126"/>
      <c r="J2614" s="20"/>
      <c r="K2614" s="20"/>
      <c r="L2614" s="20"/>
      <c r="M2614" s="20"/>
      <c r="N2614" s="126"/>
      <c r="O2614" s="126"/>
      <c r="P2614" s="126"/>
      <c r="Q2614" s="202"/>
      <c r="R2614" s="199"/>
      <c r="S2614" s="199"/>
      <c r="AE2614" s="143"/>
      <c r="AF2614" s="143"/>
      <c r="AG2614" s="143"/>
      <c r="AH2614" s="143"/>
      <c r="AI2614" s="143"/>
      <c r="AJ2614" s="143"/>
      <c r="AK2614" s="200"/>
      <c r="AL2614" s="143"/>
      <c r="AM2614" s="145"/>
      <c r="AN2614" s="143"/>
    </row>
    <row r="2615" spans="3:40">
      <c r="C2615" s="136"/>
      <c r="D2615" s="136"/>
      <c r="F2615" s="20"/>
      <c r="G2615" s="138"/>
      <c r="H2615" s="138"/>
      <c r="I2615" s="126"/>
      <c r="J2615" s="20"/>
      <c r="K2615" s="20"/>
      <c r="L2615" s="20"/>
      <c r="M2615" s="20"/>
      <c r="N2615" s="126"/>
      <c r="O2615" s="126"/>
      <c r="P2615" s="126"/>
      <c r="Q2615" s="202"/>
      <c r="R2615" s="20"/>
      <c r="S2615" s="199"/>
      <c r="AE2615" s="143"/>
      <c r="AF2615" s="143"/>
      <c r="AG2615" s="143"/>
      <c r="AH2615" s="143"/>
      <c r="AI2615" s="143"/>
      <c r="AJ2615" s="143"/>
      <c r="AK2615" s="200"/>
      <c r="AL2615" s="143"/>
      <c r="AM2615" s="143"/>
      <c r="AN2615" s="143"/>
    </row>
    <row r="2616" spans="3:40">
      <c r="C2616" s="136"/>
      <c r="D2616" s="136"/>
      <c r="F2616" s="20"/>
      <c r="G2616" s="138"/>
      <c r="H2616" s="138"/>
      <c r="I2616" s="126"/>
      <c r="J2616" s="20"/>
      <c r="K2616" s="20"/>
      <c r="L2616" s="20"/>
      <c r="M2616" s="20"/>
      <c r="N2616" s="126"/>
      <c r="O2616" s="126"/>
      <c r="P2616" s="126"/>
      <c r="Q2616" s="202"/>
      <c r="R2616" s="199"/>
      <c r="S2616" s="199"/>
      <c r="AE2616" s="143"/>
      <c r="AF2616" s="143"/>
      <c r="AG2616" s="143"/>
      <c r="AH2616" s="143"/>
      <c r="AI2616" s="143"/>
      <c r="AJ2616" s="143"/>
      <c r="AK2616" s="200"/>
      <c r="AL2616" s="143"/>
      <c r="AM2616" s="143"/>
      <c r="AN2616" s="187"/>
    </row>
    <row r="2617" spans="3:40">
      <c r="C2617" s="136"/>
      <c r="D2617" s="136"/>
      <c r="F2617" s="20"/>
      <c r="G2617" s="138"/>
      <c r="H2617" s="138"/>
      <c r="I2617" s="126"/>
      <c r="J2617" s="20"/>
      <c r="K2617" s="20"/>
      <c r="L2617" s="20"/>
      <c r="M2617" s="20"/>
      <c r="N2617" s="126"/>
      <c r="O2617" s="126"/>
      <c r="P2617" s="126"/>
      <c r="Q2617" s="202"/>
      <c r="R2617" s="199"/>
      <c r="S2617" s="199"/>
      <c r="AE2617" s="143"/>
      <c r="AF2617" s="143"/>
      <c r="AG2617" s="143"/>
      <c r="AH2617" s="143"/>
      <c r="AI2617" s="143"/>
      <c r="AJ2617" s="143"/>
      <c r="AK2617" s="200"/>
      <c r="AL2617" s="143"/>
      <c r="AM2617" s="143"/>
      <c r="AN2617" s="187"/>
    </row>
    <row r="2618" spans="3:40">
      <c r="C2618" s="136"/>
      <c r="D2618" s="136"/>
      <c r="F2618" s="20"/>
      <c r="G2618" s="138"/>
      <c r="H2618" s="138"/>
      <c r="I2618" s="126"/>
      <c r="J2618" s="20"/>
      <c r="K2618" s="20"/>
      <c r="L2618" s="20"/>
      <c r="M2618" s="20"/>
      <c r="N2618" s="126"/>
      <c r="O2618" s="126"/>
      <c r="P2618" s="126"/>
      <c r="Q2618" s="202"/>
      <c r="R2618" s="199"/>
      <c r="S2618" s="199"/>
      <c r="AE2618" s="143"/>
      <c r="AF2618" s="143"/>
      <c r="AG2618" s="143"/>
      <c r="AH2618" s="143"/>
      <c r="AI2618" s="143"/>
      <c r="AJ2618" s="143"/>
      <c r="AK2618" s="200"/>
      <c r="AL2618" s="143"/>
      <c r="AM2618" s="145"/>
      <c r="AN2618" s="143"/>
    </row>
    <row r="2619" spans="3:40">
      <c r="C2619" s="136"/>
      <c r="D2619" s="136"/>
      <c r="F2619" s="20"/>
      <c r="G2619" s="138"/>
      <c r="H2619" s="138"/>
      <c r="I2619" s="126"/>
      <c r="J2619" s="20"/>
      <c r="K2619" s="20"/>
      <c r="L2619" s="20"/>
      <c r="M2619" s="20"/>
      <c r="N2619" s="126"/>
      <c r="O2619" s="126"/>
      <c r="P2619" s="126"/>
      <c r="Q2619" s="202"/>
      <c r="R2619" s="199"/>
      <c r="S2619" s="199"/>
      <c r="AE2619" s="143"/>
      <c r="AF2619" s="143"/>
      <c r="AG2619" s="143"/>
      <c r="AH2619" s="143"/>
      <c r="AI2619" s="143"/>
      <c r="AJ2619" s="143"/>
      <c r="AK2619" s="200"/>
      <c r="AL2619" s="143"/>
      <c r="AM2619" s="145"/>
      <c r="AN2619" s="143"/>
    </row>
    <row r="2620" spans="3:40">
      <c r="C2620" s="136"/>
      <c r="D2620" s="136"/>
      <c r="F2620" s="20"/>
      <c r="G2620" s="138"/>
      <c r="H2620" s="138"/>
      <c r="I2620" s="126"/>
      <c r="J2620" s="20"/>
      <c r="K2620" s="20"/>
      <c r="L2620" s="20"/>
      <c r="M2620" s="20"/>
      <c r="N2620" s="126"/>
      <c r="O2620" s="126"/>
      <c r="P2620" s="126"/>
      <c r="Q2620" s="202"/>
      <c r="R2620" s="199"/>
      <c r="S2620" s="199"/>
      <c r="AE2620" s="143"/>
      <c r="AF2620" s="143"/>
      <c r="AG2620" s="143"/>
      <c r="AH2620" s="143"/>
      <c r="AI2620" s="143"/>
      <c r="AJ2620" s="143"/>
      <c r="AK2620" s="200"/>
      <c r="AL2620" s="201"/>
      <c r="AM2620" s="145"/>
      <c r="AN2620" s="143"/>
    </row>
    <row r="2621" spans="3:40">
      <c r="C2621" s="136"/>
      <c r="D2621" s="136"/>
      <c r="F2621" s="20"/>
      <c r="G2621" s="138"/>
      <c r="H2621" s="138"/>
      <c r="I2621" s="126"/>
      <c r="J2621" s="20"/>
      <c r="K2621" s="20"/>
      <c r="L2621" s="20"/>
      <c r="M2621" s="20"/>
      <c r="N2621" s="126"/>
      <c r="O2621" s="126"/>
      <c r="P2621" s="126"/>
      <c r="Q2621" s="202"/>
      <c r="R2621" s="199"/>
      <c r="S2621" s="199"/>
      <c r="AE2621" s="143"/>
      <c r="AF2621" s="143"/>
      <c r="AG2621" s="143"/>
      <c r="AH2621" s="143"/>
      <c r="AI2621" s="143"/>
      <c r="AJ2621" s="143"/>
      <c r="AK2621" s="200"/>
      <c r="AL2621" s="143"/>
      <c r="AM2621" s="145"/>
      <c r="AN2621" s="143"/>
    </row>
    <row r="2622" spans="3:40">
      <c r="C2622" s="136"/>
      <c r="D2622" s="136"/>
      <c r="F2622" s="20"/>
      <c r="G2622" s="138"/>
      <c r="H2622" s="138"/>
      <c r="I2622" s="126"/>
      <c r="J2622" s="20"/>
      <c r="K2622" s="20"/>
      <c r="L2622" s="20"/>
      <c r="M2622" s="20"/>
      <c r="N2622" s="126"/>
      <c r="O2622" s="126"/>
      <c r="P2622" s="126"/>
      <c r="Q2622" s="202"/>
      <c r="R2622" s="199"/>
      <c r="S2622" s="199"/>
      <c r="AE2622" s="143"/>
      <c r="AF2622" s="143"/>
      <c r="AG2622" s="143"/>
      <c r="AH2622" s="143"/>
      <c r="AI2622" s="143"/>
      <c r="AJ2622" s="143"/>
      <c r="AK2622" s="200"/>
      <c r="AL2622" s="143"/>
      <c r="AM2622" s="143"/>
      <c r="AN2622" s="187"/>
    </row>
    <row r="2623" spans="3:40">
      <c r="C2623" s="136"/>
      <c r="D2623" s="136"/>
      <c r="F2623" s="20"/>
      <c r="G2623" s="138"/>
      <c r="H2623" s="138"/>
      <c r="I2623" s="126"/>
      <c r="J2623" s="20"/>
      <c r="K2623" s="20"/>
      <c r="L2623" s="20"/>
      <c r="M2623" s="20"/>
      <c r="N2623" s="126"/>
      <c r="O2623" s="126"/>
      <c r="P2623" s="126"/>
      <c r="Q2623" s="202"/>
      <c r="R2623" s="199"/>
      <c r="S2623" s="199"/>
      <c r="AE2623" s="143"/>
      <c r="AF2623" s="143"/>
      <c r="AG2623" s="143"/>
      <c r="AH2623" s="143"/>
      <c r="AI2623" s="143"/>
      <c r="AJ2623" s="143"/>
      <c r="AK2623" s="200"/>
      <c r="AL2623" s="143"/>
      <c r="AM2623" s="145"/>
      <c r="AN2623" s="143"/>
    </row>
    <row r="2624" spans="3:40">
      <c r="C2624" s="136"/>
      <c r="D2624" s="136"/>
      <c r="F2624" s="20"/>
      <c r="G2624" s="138"/>
      <c r="H2624" s="138"/>
      <c r="I2624" s="126"/>
      <c r="J2624" s="20"/>
      <c r="K2624" s="20"/>
      <c r="L2624" s="20"/>
      <c r="M2624" s="20"/>
      <c r="N2624" s="126"/>
      <c r="O2624" s="126"/>
      <c r="P2624" s="126"/>
      <c r="Q2624" s="202"/>
      <c r="R2624" s="199"/>
      <c r="S2624" s="199"/>
      <c r="AE2624" s="143"/>
      <c r="AF2624" s="143"/>
      <c r="AG2624" s="143"/>
      <c r="AH2624" s="143"/>
      <c r="AI2624" s="143"/>
      <c r="AJ2624" s="143"/>
      <c r="AK2624" s="200"/>
      <c r="AL2624" s="143"/>
      <c r="AM2624" s="143"/>
      <c r="AN2624" s="187"/>
    </row>
    <row r="2625" spans="3:40">
      <c r="C2625" s="136"/>
      <c r="D2625" s="136"/>
      <c r="F2625" s="20"/>
      <c r="G2625" s="138"/>
      <c r="H2625" s="138"/>
      <c r="I2625" s="126"/>
      <c r="J2625" s="20"/>
      <c r="K2625" s="20"/>
      <c r="L2625" s="20"/>
      <c r="M2625" s="20"/>
      <c r="N2625" s="126"/>
      <c r="O2625" s="126"/>
      <c r="P2625" s="126"/>
      <c r="Q2625" s="202"/>
      <c r="R2625" s="20"/>
      <c r="S2625" s="199"/>
      <c r="AE2625" s="143"/>
      <c r="AF2625" s="143"/>
      <c r="AG2625" s="143"/>
      <c r="AH2625" s="143"/>
      <c r="AI2625" s="143"/>
      <c r="AJ2625" s="143"/>
      <c r="AK2625" s="143"/>
      <c r="AL2625" s="143"/>
      <c r="AM2625" s="145"/>
      <c r="AN2625" s="143"/>
    </row>
    <row r="2626" spans="3:40">
      <c r="C2626" s="136"/>
      <c r="D2626" s="136"/>
      <c r="F2626" s="20"/>
      <c r="G2626" s="138"/>
      <c r="H2626" s="138"/>
      <c r="I2626" s="126"/>
      <c r="J2626" s="20"/>
      <c r="K2626" s="20"/>
      <c r="L2626" s="20"/>
      <c r="M2626" s="20"/>
      <c r="N2626" s="126"/>
      <c r="O2626" s="126"/>
      <c r="P2626" s="126"/>
      <c r="Q2626" s="202"/>
      <c r="R2626" s="20"/>
      <c r="S2626" s="199"/>
      <c r="AE2626" s="143"/>
      <c r="AF2626" s="143"/>
      <c r="AG2626" s="143"/>
      <c r="AH2626" s="143"/>
      <c r="AI2626" s="143"/>
      <c r="AJ2626" s="143"/>
      <c r="AK2626" s="143"/>
      <c r="AL2626" s="143"/>
      <c r="AM2626" s="143"/>
      <c r="AN2626" s="143"/>
    </row>
    <row r="2627" spans="3:40">
      <c r="C2627" s="136"/>
      <c r="D2627" s="136"/>
      <c r="F2627" s="20"/>
      <c r="G2627" s="138"/>
      <c r="H2627" s="138"/>
      <c r="I2627" s="126"/>
      <c r="J2627" s="20"/>
      <c r="K2627" s="20"/>
      <c r="L2627" s="20"/>
      <c r="M2627" s="20"/>
      <c r="N2627" s="126"/>
      <c r="O2627" s="126"/>
      <c r="P2627" s="126"/>
      <c r="Q2627" s="202"/>
      <c r="R2627" s="20"/>
      <c r="S2627" s="199"/>
      <c r="AE2627" s="143"/>
      <c r="AF2627" s="143"/>
      <c r="AG2627" s="143"/>
      <c r="AH2627" s="143"/>
      <c r="AI2627" s="143"/>
      <c r="AJ2627" s="143"/>
      <c r="AK2627" s="143"/>
      <c r="AL2627" s="143"/>
      <c r="AM2627" s="143"/>
      <c r="AN2627" s="143"/>
    </row>
    <row r="2628" spans="3:40">
      <c r="C2628" s="136"/>
      <c r="D2628" s="136"/>
      <c r="F2628" s="20"/>
      <c r="G2628" s="138"/>
      <c r="H2628" s="138"/>
      <c r="I2628" s="126"/>
      <c r="J2628" s="20"/>
      <c r="K2628" s="20"/>
      <c r="L2628" s="20"/>
      <c r="M2628" s="20"/>
      <c r="N2628" s="126"/>
      <c r="O2628" s="126"/>
      <c r="P2628" s="126"/>
      <c r="Q2628" s="202"/>
      <c r="R2628" s="20"/>
      <c r="S2628" s="199"/>
      <c r="AE2628" s="143"/>
      <c r="AF2628" s="143"/>
      <c r="AG2628" s="143"/>
      <c r="AH2628" s="143"/>
      <c r="AI2628" s="143"/>
      <c r="AJ2628" s="143"/>
      <c r="AK2628" s="143"/>
      <c r="AL2628" s="143"/>
      <c r="AM2628" s="143"/>
      <c r="AN2628" s="143"/>
    </row>
    <row r="2629" spans="3:40">
      <c r="C2629" s="136"/>
      <c r="D2629" s="136"/>
      <c r="F2629" s="20"/>
      <c r="G2629" s="138"/>
      <c r="H2629" s="138"/>
      <c r="I2629" s="126"/>
      <c r="J2629" s="20"/>
      <c r="K2629" s="20"/>
      <c r="L2629" s="20"/>
      <c r="M2629" s="20"/>
      <c r="N2629" s="126"/>
      <c r="O2629" s="126"/>
      <c r="P2629" s="126"/>
      <c r="Q2629" s="202"/>
      <c r="R2629" s="20"/>
      <c r="S2629" s="199"/>
      <c r="AE2629" s="143"/>
      <c r="AF2629" s="143"/>
      <c r="AG2629" s="143"/>
      <c r="AH2629" s="143"/>
      <c r="AI2629" s="143"/>
      <c r="AJ2629" s="143"/>
      <c r="AK2629" s="143"/>
      <c r="AL2629" s="143"/>
      <c r="AM2629" s="143"/>
      <c r="AN2629" s="143"/>
    </row>
    <row r="2630" spans="3:40">
      <c r="C2630" s="136"/>
      <c r="D2630" s="136"/>
      <c r="F2630" s="20"/>
      <c r="G2630" s="138"/>
      <c r="H2630" s="138"/>
      <c r="I2630" s="126"/>
      <c r="J2630" s="20"/>
      <c r="K2630" s="20"/>
      <c r="L2630" s="20"/>
      <c r="M2630" s="20"/>
      <c r="N2630" s="126"/>
      <c r="O2630" s="126"/>
      <c r="P2630" s="126"/>
      <c r="Q2630" s="202"/>
      <c r="R2630" s="20"/>
      <c r="S2630" s="199"/>
      <c r="AE2630" s="143"/>
      <c r="AF2630" s="143"/>
      <c r="AG2630" s="143"/>
      <c r="AH2630" s="143"/>
      <c r="AI2630" s="143"/>
      <c r="AJ2630" s="143"/>
      <c r="AK2630" s="143"/>
      <c r="AL2630" s="143"/>
      <c r="AM2630" s="143"/>
      <c r="AN2630" s="143"/>
    </row>
    <row r="2631" spans="3:40">
      <c r="C2631" s="136"/>
      <c r="D2631" s="136"/>
      <c r="F2631" s="20"/>
      <c r="G2631" s="138"/>
      <c r="H2631" s="138"/>
      <c r="I2631" s="126"/>
      <c r="J2631" s="20"/>
      <c r="K2631" s="20"/>
      <c r="L2631" s="20"/>
      <c r="M2631" s="20"/>
      <c r="N2631" s="126"/>
      <c r="O2631" s="126"/>
      <c r="P2631" s="126"/>
      <c r="Q2631" s="202"/>
      <c r="R2631" s="222"/>
      <c r="S2631" s="199"/>
      <c r="AE2631" s="143"/>
      <c r="AF2631" s="143"/>
      <c r="AG2631" s="143"/>
      <c r="AH2631" s="143"/>
      <c r="AI2631" s="143"/>
      <c r="AJ2631" s="143"/>
      <c r="AK2631" s="143"/>
      <c r="AL2631" s="143"/>
      <c r="AM2631" s="143"/>
      <c r="AN2631" s="143"/>
    </row>
    <row r="2632" spans="3:40">
      <c r="C2632" s="136"/>
      <c r="D2632" s="136"/>
      <c r="F2632" s="20"/>
      <c r="G2632" s="138"/>
      <c r="H2632" s="138"/>
      <c r="I2632" s="126"/>
      <c r="J2632" s="20"/>
      <c r="K2632" s="20"/>
      <c r="L2632" s="20"/>
      <c r="M2632" s="20"/>
      <c r="N2632" s="126"/>
      <c r="O2632" s="126"/>
      <c r="P2632" s="126"/>
      <c r="Q2632" s="202"/>
      <c r="R2632" s="222"/>
      <c r="S2632" s="199"/>
      <c r="AE2632" s="143"/>
      <c r="AF2632" s="143"/>
      <c r="AG2632" s="143"/>
      <c r="AH2632" s="143"/>
      <c r="AI2632" s="143"/>
      <c r="AJ2632" s="143"/>
      <c r="AK2632" s="143"/>
      <c r="AL2632" s="143"/>
      <c r="AM2632" s="143"/>
      <c r="AN2632" s="143"/>
    </row>
    <row r="2633" spans="3:40">
      <c r="C2633" s="136"/>
      <c r="D2633" s="136"/>
      <c r="F2633" s="20"/>
      <c r="G2633" s="138"/>
      <c r="H2633" s="138"/>
      <c r="I2633" s="126"/>
      <c r="J2633" s="20"/>
      <c r="K2633" s="20"/>
      <c r="L2633" s="20"/>
      <c r="M2633" s="20"/>
      <c r="N2633" s="126"/>
      <c r="O2633" s="126"/>
      <c r="P2633" s="126"/>
      <c r="Q2633" s="202"/>
      <c r="R2633" s="222"/>
      <c r="S2633" s="199"/>
      <c r="AE2633" s="143"/>
      <c r="AF2633" s="143"/>
      <c r="AG2633" s="143"/>
      <c r="AH2633" s="143"/>
      <c r="AI2633" s="143"/>
      <c r="AJ2633" s="143"/>
      <c r="AK2633" s="143"/>
      <c r="AL2633" s="143"/>
      <c r="AM2633" s="143"/>
      <c r="AN2633" s="143"/>
    </row>
    <row r="2634" spans="3:40">
      <c r="C2634" s="136"/>
      <c r="D2634" s="136"/>
      <c r="F2634" s="20"/>
      <c r="G2634" s="138"/>
      <c r="H2634" s="138"/>
      <c r="I2634" s="126"/>
      <c r="J2634" s="20"/>
      <c r="K2634" s="20"/>
      <c r="L2634" s="20"/>
      <c r="M2634" s="20"/>
      <c r="N2634" s="126"/>
      <c r="O2634" s="126"/>
      <c r="P2634" s="126"/>
      <c r="Q2634" s="202"/>
      <c r="R2634" s="20"/>
      <c r="S2634" s="199"/>
      <c r="AE2634" s="143"/>
      <c r="AF2634" s="143"/>
      <c r="AG2634" s="143"/>
      <c r="AH2634" s="143"/>
      <c r="AI2634" s="143"/>
      <c r="AJ2634" s="143"/>
      <c r="AK2634" s="143"/>
      <c r="AL2634" s="143"/>
      <c r="AM2634" s="143"/>
      <c r="AN2634" s="143"/>
    </row>
    <row r="2635" spans="3:40">
      <c r="C2635" s="136"/>
      <c r="D2635" s="136"/>
      <c r="F2635" s="20"/>
      <c r="G2635" s="138"/>
      <c r="H2635" s="138"/>
      <c r="I2635" s="126"/>
      <c r="J2635" s="20"/>
      <c r="K2635" s="20"/>
      <c r="L2635" s="20"/>
      <c r="M2635" s="20"/>
      <c r="N2635" s="126"/>
      <c r="O2635" s="126"/>
      <c r="P2635" s="126"/>
      <c r="Q2635" s="202"/>
      <c r="R2635" s="20"/>
      <c r="S2635" s="199"/>
      <c r="AE2635" s="143"/>
      <c r="AF2635" s="143"/>
      <c r="AG2635" s="143"/>
      <c r="AH2635" s="143"/>
      <c r="AI2635" s="143"/>
      <c r="AJ2635" s="143"/>
      <c r="AK2635" s="143"/>
      <c r="AL2635" s="143"/>
      <c r="AM2635" s="143"/>
      <c r="AN2635" s="143"/>
    </row>
    <row r="2636" spans="3:40">
      <c r="C2636" s="136"/>
      <c r="D2636" s="136"/>
      <c r="F2636" s="20"/>
      <c r="G2636" s="138"/>
      <c r="H2636" s="138"/>
      <c r="I2636" s="126"/>
      <c r="J2636" s="20"/>
      <c r="K2636" s="20"/>
      <c r="L2636" s="20"/>
      <c r="M2636" s="20"/>
      <c r="N2636" s="126"/>
      <c r="O2636" s="126"/>
      <c r="P2636" s="126"/>
      <c r="Q2636" s="202"/>
      <c r="R2636" s="20"/>
      <c r="S2636" s="199"/>
      <c r="AE2636" s="143"/>
      <c r="AF2636" s="143"/>
      <c r="AG2636" s="143"/>
      <c r="AH2636" s="143"/>
      <c r="AI2636" s="143"/>
      <c r="AJ2636" s="143"/>
      <c r="AK2636" s="143"/>
      <c r="AL2636" s="143"/>
      <c r="AM2636" s="143"/>
      <c r="AN2636" s="143"/>
    </row>
    <row r="2637" spans="3:40">
      <c r="C2637" s="136"/>
      <c r="D2637" s="136"/>
      <c r="F2637" s="20"/>
      <c r="G2637" s="138"/>
      <c r="H2637" s="138"/>
      <c r="I2637" s="126"/>
      <c r="J2637" s="20"/>
      <c r="K2637" s="20"/>
      <c r="L2637" s="20"/>
      <c r="M2637" s="20"/>
      <c r="N2637" s="126"/>
      <c r="O2637" s="126"/>
      <c r="P2637" s="126"/>
      <c r="Q2637" s="202"/>
      <c r="R2637" s="20"/>
      <c r="S2637" s="199"/>
      <c r="AE2637" s="143"/>
      <c r="AF2637" s="143"/>
      <c r="AG2637" s="143"/>
      <c r="AH2637" s="143"/>
      <c r="AI2637" s="143"/>
      <c r="AJ2637" s="143"/>
      <c r="AK2637" s="143"/>
      <c r="AL2637" s="143"/>
      <c r="AM2637" s="143"/>
      <c r="AN2637" s="143"/>
    </row>
    <row r="2638" spans="3:40">
      <c r="C2638" s="136"/>
      <c r="D2638" s="136"/>
      <c r="F2638" s="20"/>
      <c r="G2638" s="138"/>
      <c r="H2638" s="138"/>
      <c r="I2638" s="126"/>
      <c r="J2638" s="20"/>
      <c r="K2638" s="20"/>
      <c r="L2638" s="20"/>
      <c r="M2638" s="20"/>
      <c r="N2638" s="126"/>
      <c r="O2638" s="126"/>
      <c r="P2638" s="126"/>
      <c r="Q2638" s="202"/>
      <c r="R2638" s="20"/>
      <c r="S2638" s="199"/>
      <c r="AE2638" s="143"/>
      <c r="AF2638" s="143"/>
      <c r="AG2638" s="143"/>
      <c r="AH2638" s="143"/>
      <c r="AI2638" s="143"/>
      <c r="AJ2638" s="143"/>
      <c r="AK2638" s="143"/>
      <c r="AL2638" s="143"/>
      <c r="AM2638" s="143"/>
      <c r="AN2638" s="143"/>
    </row>
    <row r="2639" spans="3:40">
      <c r="C2639" s="136"/>
      <c r="D2639" s="136"/>
      <c r="F2639" s="20"/>
      <c r="G2639" s="138"/>
      <c r="H2639" s="138"/>
      <c r="I2639" s="126"/>
      <c r="J2639" s="20"/>
      <c r="K2639" s="20"/>
      <c r="L2639" s="20"/>
      <c r="M2639" s="20"/>
      <c r="N2639" s="126"/>
      <c r="O2639" s="126"/>
      <c r="P2639" s="126"/>
      <c r="Q2639" s="202"/>
      <c r="R2639" s="20"/>
      <c r="S2639" s="199"/>
      <c r="AE2639" s="143"/>
      <c r="AF2639" s="143"/>
      <c r="AG2639" s="143"/>
      <c r="AH2639" s="143"/>
      <c r="AI2639" s="143"/>
      <c r="AJ2639" s="143"/>
      <c r="AK2639" s="143"/>
      <c r="AL2639" s="143"/>
      <c r="AM2639" s="143"/>
      <c r="AN2639" s="143"/>
    </row>
    <row r="2640" spans="3:40">
      <c r="C2640" s="136"/>
      <c r="D2640" s="136"/>
      <c r="F2640" s="20"/>
      <c r="G2640" s="138"/>
      <c r="H2640" s="138"/>
      <c r="I2640" s="126"/>
      <c r="J2640" s="20"/>
      <c r="K2640" s="20"/>
      <c r="L2640" s="20"/>
      <c r="M2640" s="20"/>
      <c r="N2640" s="126"/>
      <c r="O2640" s="126"/>
      <c r="P2640" s="126"/>
      <c r="Q2640" s="202"/>
      <c r="R2640" s="222"/>
      <c r="S2640" s="199"/>
      <c r="AE2640" s="143"/>
      <c r="AF2640" s="143"/>
      <c r="AG2640" s="143"/>
      <c r="AH2640" s="143"/>
      <c r="AI2640" s="143"/>
      <c r="AJ2640" s="143"/>
      <c r="AK2640" s="143"/>
      <c r="AL2640" s="143"/>
      <c r="AM2640" s="143"/>
      <c r="AN2640" s="143"/>
    </row>
    <row r="2641" spans="3:40">
      <c r="C2641" s="136"/>
      <c r="D2641" s="136"/>
      <c r="F2641" s="20"/>
      <c r="G2641" s="138"/>
      <c r="H2641" s="138"/>
      <c r="I2641" s="126"/>
      <c r="J2641" s="20"/>
      <c r="K2641" s="20"/>
      <c r="L2641" s="20"/>
      <c r="M2641" s="20"/>
      <c r="N2641" s="126"/>
      <c r="O2641" s="126"/>
      <c r="P2641" s="126"/>
      <c r="Q2641" s="202"/>
      <c r="R2641" s="222"/>
      <c r="S2641" s="199"/>
      <c r="AE2641" s="143"/>
      <c r="AF2641" s="143"/>
      <c r="AG2641" s="143"/>
      <c r="AH2641" s="143"/>
      <c r="AI2641" s="143"/>
      <c r="AJ2641" s="143"/>
      <c r="AK2641" s="143"/>
      <c r="AL2641" s="143"/>
      <c r="AM2641" s="143"/>
      <c r="AN2641" s="143"/>
    </row>
    <row r="2642" spans="3:40">
      <c r="C2642" s="136"/>
      <c r="D2642" s="136"/>
      <c r="F2642" s="20"/>
      <c r="G2642" s="138"/>
      <c r="H2642" s="138"/>
      <c r="I2642" s="126"/>
      <c r="J2642" s="20"/>
      <c r="K2642" s="20"/>
      <c r="L2642" s="20"/>
      <c r="M2642" s="20"/>
      <c r="N2642" s="126"/>
      <c r="O2642" s="126"/>
      <c r="P2642" s="126"/>
      <c r="Q2642" s="202"/>
      <c r="R2642" s="222"/>
      <c r="S2642" s="199"/>
      <c r="AE2642" s="143"/>
      <c r="AF2642" s="143"/>
      <c r="AG2642" s="143"/>
      <c r="AH2642" s="143"/>
      <c r="AI2642" s="143"/>
      <c r="AJ2642" s="143"/>
      <c r="AK2642" s="143"/>
      <c r="AL2642" s="143"/>
      <c r="AM2642" s="143"/>
      <c r="AN2642" s="143"/>
    </row>
    <row r="2643" spans="3:40">
      <c r="C2643" s="136"/>
      <c r="D2643" s="136"/>
      <c r="F2643" s="20"/>
      <c r="G2643" s="138"/>
      <c r="H2643" s="138"/>
      <c r="I2643" s="126"/>
      <c r="J2643" s="20"/>
      <c r="K2643" s="20"/>
      <c r="L2643" s="20"/>
      <c r="M2643" s="20"/>
      <c r="N2643" s="126"/>
      <c r="O2643" s="126"/>
      <c r="P2643" s="126"/>
      <c r="Q2643" s="202"/>
      <c r="R2643" s="222"/>
      <c r="S2643" s="199"/>
      <c r="AE2643" s="143"/>
      <c r="AF2643" s="143"/>
      <c r="AG2643" s="143"/>
      <c r="AH2643" s="143"/>
      <c r="AI2643" s="143"/>
      <c r="AJ2643" s="143"/>
      <c r="AK2643" s="143"/>
      <c r="AL2643" s="143"/>
      <c r="AM2643" s="143"/>
      <c r="AN2643" s="143"/>
    </row>
    <row r="2644" spans="3:40">
      <c r="C2644" s="136"/>
      <c r="D2644" s="136"/>
      <c r="F2644" s="20"/>
      <c r="G2644" s="138"/>
      <c r="H2644" s="138"/>
      <c r="I2644" s="126"/>
      <c r="J2644" s="20"/>
      <c r="K2644" s="20"/>
      <c r="L2644" s="20"/>
      <c r="M2644" s="20"/>
      <c r="N2644" s="126"/>
      <c r="O2644" s="126"/>
      <c r="P2644" s="126"/>
      <c r="Q2644" s="202"/>
      <c r="R2644" s="222"/>
      <c r="S2644" s="199"/>
      <c r="AE2644" s="143"/>
      <c r="AF2644" s="143"/>
      <c r="AG2644" s="143"/>
      <c r="AH2644" s="143"/>
      <c r="AI2644" s="143"/>
      <c r="AJ2644" s="143"/>
      <c r="AK2644" s="143"/>
      <c r="AL2644" s="143"/>
      <c r="AM2644" s="143"/>
      <c r="AN2644" s="143"/>
    </row>
    <row r="2645" spans="3:40">
      <c r="C2645" s="136"/>
      <c r="D2645" s="136"/>
      <c r="F2645" s="20"/>
      <c r="G2645" s="138"/>
      <c r="H2645" s="138"/>
      <c r="I2645" s="126"/>
      <c r="J2645" s="20"/>
      <c r="K2645" s="20"/>
      <c r="L2645" s="20"/>
      <c r="M2645" s="20"/>
      <c r="N2645" s="126"/>
      <c r="O2645" s="126"/>
      <c r="P2645" s="126"/>
      <c r="Q2645" s="202"/>
      <c r="R2645" s="222"/>
      <c r="S2645" s="199"/>
      <c r="AE2645" s="143"/>
      <c r="AF2645" s="143"/>
      <c r="AG2645" s="143"/>
      <c r="AH2645" s="143"/>
      <c r="AI2645" s="143"/>
      <c r="AJ2645" s="143"/>
      <c r="AK2645" s="143"/>
      <c r="AL2645" s="143"/>
      <c r="AM2645" s="143"/>
      <c r="AN2645" s="143"/>
    </row>
    <row r="2646" spans="3:40">
      <c r="C2646" s="136"/>
      <c r="D2646" s="136"/>
      <c r="F2646" s="20"/>
      <c r="G2646" s="138"/>
      <c r="H2646" s="138"/>
      <c r="I2646" s="126"/>
      <c r="J2646" s="20"/>
      <c r="K2646" s="20"/>
      <c r="L2646" s="20"/>
      <c r="M2646" s="20"/>
      <c r="N2646" s="126"/>
      <c r="O2646" s="126"/>
      <c r="P2646" s="126"/>
      <c r="Q2646" s="202"/>
      <c r="R2646" s="222"/>
      <c r="S2646" s="199"/>
      <c r="AE2646" s="143"/>
      <c r="AF2646" s="143"/>
      <c r="AG2646" s="143"/>
      <c r="AH2646" s="143"/>
      <c r="AI2646" s="143"/>
      <c r="AJ2646" s="143"/>
      <c r="AK2646" s="143"/>
      <c r="AL2646" s="143"/>
      <c r="AM2646" s="143"/>
      <c r="AN2646" s="143"/>
    </row>
    <row r="2647" spans="3:40">
      <c r="C2647" s="136"/>
      <c r="D2647" s="136"/>
      <c r="F2647" s="20"/>
      <c r="G2647" s="138"/>
      <c r="H2647" s="138"/>
      <c r="I2647" s="126"/>
      <c r="J2647" s="20"/>
      <c r="K2647" s="20"/>
      <c r="L2647" s="20"/>
      <c r="M2647" s="20"/>
      <c r="N2647" s="126"/>
      <c r="O2647" s="126"/>
      <c r="P2647" s="126"/>
      <c r="Q2647" s="202"/>
      <c r="R2647" s="222"/>
      <c r="S2647" s="199"/>
      <c r="AE2647" s="143"/>
      <c r="AF2647" s="143"/>
      <c r="AG2647" s="143"/>
      <c r="AH2647" s="143"/>
      <c r="AI2647" s="143"/>
      <c r="AJ2647" s="143"/>
      <c r="AK2647" s="143"/>
      <c r="AL2647" s="143"/>
      <c r="AM2647" s="143"/>
      <c r="AN2647" s="143"/>
    </row>
    <row r="2648" spans="3:40">
      <c r="C2648" s="136"/>
      <c r="D2648" s="136"/>
      <c r="F2648" s="20"/>
      <c r="G2648" s="138"/>
      <c r="H2648" s="138"/>
      <c r="I2648" s="126"/>
      <c r="J2648" s="20"/>
      <c r="K2648" s="20"/>
      <c r="L2648" s="20"/>
      <c r="M2648" s="20"/>
      <c r="N2648" s="126"/>
      <c r="O2648" s="126"/>
      <c r="P2648" s="126"/>
      <c r="Q2648" s="202"/>
      <c r="R2648" s="222"/>
      <c r="S2648" s="199"/>
      <c r="AE2648" s="143"/>
      <c r="AF2648" s="143"/>
      <c r="AG2648" s="143"/>
      <c r="AH2648" s="143"/>
      <c r="AI2648" s="143"/>
      <c r="AJ2648" s="143"/>
      <c r="AK2648" s="143"/>
      <c r="AL2648" s="143"/>
      <c r="AM2648" s="143"/>
      <c r="AN2648" s="143"/>
    </row>
    <row r="2649" spans="3:40">
      <c r="C2649" s="136"/>
      <c r="D2649" s="136"/>
      <c r="F2649" s="20"/>
      <c r="G2649" s="138"/>
      <c r="H2649" s="138"/>
      <c r="I2649" s="126"/>
      <c r="J2649" s="20"/>
      <c r="K2649" s="20"/>
      <c r="L2649" s="20"/>
      <c r="M2649" s="20"/>
      <c r="N2649" s="126"/>
      <c r="O2649" s="126"/>
      <c r="P2649" s="126"/>
      <c r="Q2649" s="202"/>
      <c r="R2649" s="222"/>
      <c r="S2649" s="199"/>
      <c r="AE2649" s="143"/>
      <c r="AF2649" s="143"/>
      <c r="AG2649" s="143"/>
      <c r="AH2649" s="143"/>
      <c r="AI2649" s="143"/>
      <c r="AJ2649" s="143"/>
      <c r="AK2649" s="143"/>
      <c r="AL2649" s="143"/>
      <c r="AM2649" s="143"/>
      <c r="AN2649" s="143"/>
    </row>
    <row r="2650" spans="3:40">
      <c r="C2650" s="136"/>
      <c r="D2650" s="136"/>
      <c r="F2650" s="20"/>
      <c r="G2650" s="138"/>
      <c r="H2650" s="138"/>
      <c r="I2650" s="126"/>
      <c r="J2650" s="20"/>
      <c r="K2650" s="20"/>
      <c r="L2650" s="20"/>
      <c r="M2650" s="20"/>
      <c r="N2650" s="126"/>
      <c r="O2650" s="126"/>
      <c r="P2650" s="126"/>
      <c r="Q2650" s="202"/>
      <c r="R2650" s="222"/>
      <c r="S2650" s="199"/>
      <c r="AE2650" s="143"/>
      <c r="AF2650" s="143"/>
      <c r="AG2650" s="143"/>
      <c r="AH2650" s="143"/>
      <c r="AI2650" s="143"/>
      <c r="AJ2650" s="143"/>
      <c r="AK2650" s="143"/>
      <c r="AL2650" s="143"/>
      <c r="AM2650" s="143"/>
      <c r="AN2650" s="143"/>
    </row>
    <row r="2651" spans="3:40">
      <c r="C2651" s="136"/>
      <c r="D2651" s="136"/>
      <c r="F2651" s="20"/>
      <c r="G2651" s="138"/>
      <c r="H2651" s="138"/>
      <c r="I2651" s="126"/>
      <c r="J2651" s="20"/>
      <c r="K2651" s="20"/>
      <c r="L2651" s="20"/>
      <c r="M2651" s="20"/>
      <c r="N2651" s="126"/>
      <c r="O2651" s="126"/>
      <c r="P2651" s="126"/>
      <c r="Q2651" s="202"/>
      <c r="R2651" s="222"/>
      <c r="S2651" s="199"/>
      <c r="AE2651" s="143"/>
      <c r="AF2651" s="143"/>
      <c r="AG2651" s="143"/>
      <c r="AH2651" s="143"/>
      <c r="AI2651" s="143"/>
      <c r="AJ2651" s="143"/>
      <c r="AK2651" s="143"/>
      <c r="AL2651" s="143"/>
      <c r="AM2651" s="143"/>
      <c r="AN2651" s="143"/>
    </row>
    <row r="2652" spans="3:40">
      <c r="C2652" s="136"/>
      <c r="D2652" s="136"/>
      <c r="F2652" s="20"/>
      <c r="G2652" s="138"/>
      <c r="H2652" s="138"/>
      <c r="I2652" s="126"/>
      <c r="J2652" s="20"/>
      <c r="K2652" s="20"/>
      <c r="L2652" s="20"/>
      <c r="M2652" s="20"/>
      <c r="N2652" s="126"/>
      <c r="O2652" s="126"/>
      <c r="P2652" s="126"/>
      <c r="Q2652" s="202"/>
      <c r="R2652" s="222"/>
      <c r="S2652" s="199"/>
      <c r="AE2652" s="143"/>
      <c r="AF2652" s="143"/>
      <c r="AG2652" s="143"/>
      <c r="AH2652" s="143"/>
      <c r="AI2652" s="143"/>
      <c r="AJ2652" s="143"/>
      <c r="AK2652" s="143"/>
      <c r="AL2652" s="143"/>
      <c r="AM2652" s="143"/>
      <c r="AN2652" s="143"/>
    </row>
    <row r="2653" spans="3:40">
      <c r="C2653" s="136"/>
      <c r="D2653" s="136"/>
      <c r="F2653" s="20"/>
      <c r="G2653" s="138"/>
      <c r="H2653" s="138"/>
      <c r="I2653" s="126"/>
      <c r="J2653" s="20"/>
      <c r="K2653" s="20"/>
      <c r="L2653" s="20"/>
      <c r="M2653" s="20"/>
      <c r="N2653" s="126"/>
      <c r="O2653" s="126"/>
      <c r="P2653" s="126"/>
      <c r="Q2653" s="202"/>
      <c r="R2653" s="222"/>
      <c r="S2653" s="199"/>
      <c r="AE2653" s="143"/>
      <c r="AF2653" s="143"/>
      <c r="AG2653" s="143"/>
      <c r="AH2653" s="143"/>
      <c r="AI2653" s="143"/>
      <c r="AJ2653" s="143"/>
      <c r="AK2653" s="143"/>
      <c r="AL2653" s="143"/>
      <c r="AM2653" s="143"/>
      <c r="AN2653" s="143"/>
    </row>
    <row r="2654" spans="3:40">
      <c r="C2654" s="136"/>
      <c r="D2654" s="136"/>
      <c r="F2654" s="20"/>
      <c r="G2654" s="138"/>
      <c r="H2654" s="138"/>
      <c r="I2654" s="126"/>
      <c r="J2654" s="20"/>
      <c r="K2654" s="20"/>
      <c r="L2654" s="20"/>
      <c r="M2654" s="20"/>
      <c r="N2654" s="126"/>
      <c r="O2654" s="126"/>
      <c r="P2654" s="126"/>
      <c r="Q2654" s="202"/>
      <c r="R2654" s="222"/>
      <c r="S2654" s="199"/>
      <c r="AE2654" s="143"/>
      <c r="AF2654" s="143"/>
      <c r="AG2654" s="143"/>
      <c r="AH2654" s="143"/>
      <c r="AI2654" s="143"/>
      <c r="AJ2654" s="143"/>
      <c r="AK2654" s="143"/>
      <c r="AL2654" s="143"/>
      <c r="AM2654" s="143"/>
      <c r="AN2654" s="143"/>
    </row>
    <row r="2655" spans="3:40">
      <c r="C2655" s="136"/>
      <c r="D2655" s="136"/>
      <c r="F2655" s="20"/>
      <c r="G2655" s="138"/>
      <c r="H2655" s="138"/>
      <c r="I2655" s="126"/>
      <c r="J2655" s="20"/>
      <c r="K2655" s="20"/>
      <c r="L2655" s="20"/>
      <c r="M2655" s="20"/>
      <c r="N2655" s="126"/>
      <c r="O2655" s="126"/>
      <c r="P2655" s="126"/>
      <c r="Q2655" s="202"/>
      <c r="R2655" s="222"/>
      <c r="S2655" s="199"/>
      <c r="AE2655" s="143"/>
      <c r="AF2655" s="143"/>
      <c r="AG2655" s="143"/>
      <c r="AH2655" s="143"/>
      <c r="AI2655" s="143"/>
      <c r="AJ2655" s="143"/>
      <c r="AK2655" s="143"/>
      <c r="AL2655" s="143"/>
      <c r="AM2655" s="143"/>
      <c r="AN2655" s="143"/>
    </row>
    <row r="2656" spans="3:40">
      <c r="C2656" s="136"/>
      <c r="D2656" s="136"/>
      <c r="F2656" s="20"/>
      <c r="G2656" s="138"/>
      <c r="H2656" s="138"/>
      <c r="I2656" s="126"/>
      <c r="J2656" s="20"/>
      <c r="K2656" s="20"/>
      <c r="L2656" s="20"/>
      <c r="M2656" s="20"/>
      <c r="N2656" s="126"/>
      <c r="O2656" s="126"/>
      <c r="P2656" s="126"/>
      <c r="Q2656" s="202"/>
      <c r="R2656" s="222"/>
      <c r="S2656" s="199"/>
      <c r="AE2656" s="143"/>
      <c r="AF2656" s="143"/>
      <c r="AG2656" s="143"/>
      <c r="AH2656" s="143"/>
      <c r="AI2656" s="143"/>
      <c r="AJ2656" s="143"/>
      <c r="AK2656" s="143"/>
      <c r="AL2656" s="143"/>
      <c r="AM2656" s="143"/>
      <c r="AN2656" s="143"/>
    </row>
    <row r="2657" spans="3:40">
      <c r="C2657" s="136"/>
      <c r="D2657" s="136"/>
      <c r="F2657" s="20"/>
      <c r="G2657" s="138"/>
      <c r="H2657" s="138"/>
      <c r="I2657" s="126"/>
      <c r="J2657" s="20"/>
      <c r="K2657" s="20"/>
      <c r="L2657" s="20"/>
      <c r="M2657" s="20"/>
      <c r="N2657" s="126"/>
      <c r="O2657" s="126"/>
      <c r="P2657" s="126"/>
      <c r="Q2657" s="202"/>
      <c r="R2657" s="222"/>
      <c r="S2657" s="199"/>
      <c r="AE2657" s="143"/>
      <c r="AF2657" s="143"/>
      <c r="AG2657" s="143"/>
      <c r="AH2657" s="143"/>
      <c r="AI2657" s="143"/>
      <c r="AJ2657" s="143"/>
      <c r="AK2657" s="143"/>
      <c r="AL2657" s="143"/>
      <c r="AM2657" s="143"/>
      <c r="AN2657" s="143"/>
    </row>
    <row r="2658" spans="3:40">
      <c r="C2658" s="136"/>
      <c r="D2658" s="136"/>
      <c r="F2658" s="20"/>
      <c r="G2658" s="138"/>
      <c r="H2658" s="138"/>
      <c r="I2658" s="126"/>
      <c r="J2658" s="20"/>
      <c r="K2658" s="20"/>
      <c r="L2658" s="20"/>
      <c r="M2658" s="20"/>
      <c r="N2658" s="126"/>
      <c r="O2658" s="126"/>
      <c r="P2658" s="126"/>
      <c r="Q2658" s="202"/>
      <c r="R2658" s="222"/>
      <c r="S2658" s="199"/>
      <c r="AE2658" s="143"/>
      <c r="AF2658" s="143"/>
      <c r="AG2658" s="143"/>
      <c r="AH2658" s="143"/>
      <c r="AI2658" s="143"/>
      <c r="AJ2658" s="143"/>
      <c r="AK2658" s="143"/>
      <c r="AL2658" s="143"/>
      <c r="AM2658" s="143"/>
      <c r="AN2658" s="143"/>
    </row>
    <row r="2659" spans="3:40">
      <c r="C2659" s="136"/>
      <c r="D2659" s="136"/>
      <c r="F2659" s="20"/>
      <c r="G2659" s="138"/>
      <c r="H2659" s="138"/>
      <c r="I2659" s="126"/>
      <c r="J2659" s="20"/>
      <c r="K2659" s="20"/>
      <c r="L2659" s="20"/>
      <c r="M2659" s="20"/>
      <c r="N2659" s="126"/>
      <c r="O2659" s="126"/>
      <c r="P2659" s="126"/>
      <c r="Q2659" s="202"/>
      <c r="R2659" s="20"/>
      <c r="S2659" s="199"/>
      <c r="AE2659" s="143"/>
      <c r="AF2659" s="143"/>
      <c r="AG2659" s="143"/>
      <c r="AH2659" s="143"/>
      <c r="AI2659" s="143"/>
      <c r="AJ2659" s="143"/>
      <c r="AK2659" s="143"/>
      <c r="AL2659" s="143"/>
      <c r="AM2659" s="143"/>
      <c r="AN2659" s="143"/>
    </row>
    <row r="2660" spans="3:40">
      <c r="C2660" s="136"/>
      <c r="D2660" s="136"/>
      <c r="F2660" s="20"/>
      <c r="G2660" s="138"/>
      <c r="H2660" s="138"/>
      <c r="I2660" s="126"/>
      <c r="J2660" s="20"/>
      <c r="K2660" s="20"/>
      <c r="L2660" s="20"/>
      <c r="M2660" s="20"/>
      <c r="N2660" s="126"/>
      <c r="O2660" s="126"/>
      <c r="P2660" s="126"/>
      <c r="Q2660" s="202"/>
      <c r="R2660" s="20"/>
      <c r="S2660" s="199"/>
      <c r="AE2660" s="143"/>
      <c r="AF2660" s="143"/>
      <c r="AG2660" s="143"/>
      <c r="AH2660" s="143"/>
      <c r="AI2660" s="143"/>
      <c r="AJ2660" s="143"/>
      <c r="AK2660" s="143"/>
      <c r="AL2660" s="143"/>
      <c r="AM2660" s="143"/>
      <c r="AN2660" s="143"/>
    </row>
    <row r="2661" spans="3:40">
      <c r="C2661" s="136"/>
      <c r="D2661" s="136"/>
      <c r="F2661" s="20"/>
      <c r="G2661" s="138"/>
      <c r="H2661" s="138"/>
      <c r="I2661" s="126"/>
      <c r="J2661" s="20"/>
      <c r="K2661" s="20"/>
      <c r="L2661" s="20"/>
      <c r="M2661" s="20"/>
      <c r="N2661" s="126"/>
      <c r="O2661" s="126"/>
      <c r="P2661" s="126"/>
      <c r="Q2661" s="202"/>
      <c r="R2661" s="20"/>
      <c r="S2661" s="199"/>
      <c r="AE2661" s="143"/>
      <c r="AF2661" s="143"/>
      <c r="AG2661" s="143"/>
      <c r="AH2661" s="143"/>
      <c r="AI2661" s="143"/>
      <c r="AJ2661" s="143"/>
      <c r="AK2661" s="143"/>
      <c r="AL2661" s="143"/>
      <c r="AM2661" s="143"/>
      <c r="AN2661" s="143"/>
    </row>
    <row r="2662" spans="3:40">
      <c r="C2662" s="136"/>
      <c r="D2662" s="136"/>
      <c r="F2662" s="20"/>
      <c r="G2662" s="138"/>
      <c r="H2662" s="138"/>
      <c r="I2662" s="126"/>
      <c r="J2662" s="20"/>
      <c r="K2662" s="20"/>
      <c r="L2662" s="20"/>
      <c r="M2662" s="20"/>
      <c r="N2662" s="126"/>
      <c r="O2662" s="126"/>
      <c r="P2662" s="126"/>
      <c r="Q2662" s="202"/>
      <c r="R2662" s="20"/>
      <c r="S2662" s="199"/>
      <c r="AE2662" s="143"/>
      <c r="AF2662" s="143"/>
      <c r="AG2662" s="143"/>
      <c r="AH2662" s="143"/>
      <c r="AI2662" s="143"/>
      <c r="AJ2662" s="143"/>
      <c r="AK2662" s="143"/>
      <c r="AL2662" s="143"/>
      <c r="AM2662" s="143"/>
      <c r="AN2662" s="143"/>
    </row>
    <row r="2663" spans="3:40">
      <c r="C2663" s="136"/>
      <c r="D2663" s="136"/>
      <c r="F2663" s="20"/>
      <c r="G2663" s="138"/>
      <c r="H2663" s="138"/>
      <c r="I2663" s="126"/>
      <c r="J2663" s="20"/>
      <c r="K2663" s="20"/>
      <c r="L2663" s="20"/>
      <c r="M2663" s="20"/>
      <c r="N2663" s="126"/>
      <c r="O2663" s="126"/>
      <c r="P2663" s="126"/>
      <c r="Q2663" s="202"/>
      <c r="R2663" s="20"/>
      <c r="S2663" s="199"/>
      <c r="AE2663" s="143"/>
      <c r="AF2663" s="143"/>
      <c r="AG2663" s="143"/>
      <c r="AH2663" s="143"/>
      <c r="AI2663" s="143"/>
      <c r="AJ2663" s="143"/>
      <c r="AK2663" s="143"/>
      <c r="AL2663" s="143"/>
      <c r="AM2663" s="143"/>
      <c r="AN2663" s="143"/>
    </row>
    <row r="2664" spans="3:40">
      <c r="C2664" s="136"/>
      <c r="D2664" s="136"/>
      <c r="F2664" s="20"/>
      <c r="G2664" s="138"/>
      <c r="H2664" s="138"/>
      <c r="I2664" s="126"/>
      <c r="J2664" s="20"/>
      <c r="K2664" s="20"/>
      <c r="L2664" s="20"/>
      <c r="M2664" s="20"/>
      <c r="N2664" s="126"/>
      <c r="O2664" s="126"/>
      <c r="P2664" s="126"/>
      <c r="Q2664" s="202"/>
      <c r="R2664" s="20"/>
      <c r="S2664" s="199"/>
      <c r="AE2664" s="143"/>
      <c r="AF2664" s="143"/>
      <c r="AG2664" s="143"/>
      <c r="AH2664" s="143"/>
      <c r="AI2664" s="143"/>
      <c r="AJ2664" s="143"/>
      <c r="AK2664" s="143"/>
      <c r="AL2664" s="143"/>
      <c r="AM2664" s="143"/>
      <c r="AN2664" s="143"/>
    </row>
    <row r="2665" spans="3:40">
      <c r="C2665" s="136"/>
      <c r="D2665" s="136"/>
      <c r="F2665" s="20"/>
      <c r="G2665" s="138"/>
      <c r="H2665" s="138"/>
      <c r="I2665" s="126"/>
      <c r="J2665" s="20"/>
      <c r="K2665" s="20"/>
      <c r="L2665" s="20"/>
      <c r="M2665" s="20"/>
      <c r="N2665" s="126"/>
      <c r="O2665" s="126"/>
      <c r="P2665" s="126"/>
      <c r="Q2665" s="202"/>
      <c r="R2665" s="20"/>
      <c r="S2665" s="199"/>
      <c r="AE2665" s="143"/>
      <c r="AF2665" s="143"/>
      <c r="AG2665" s="143"/>
      <c r="AH2665" s="143"/>
      <c r="AI2665" s="143"/>
      <c r="AJ2665" s="143"/>
      <c r="AK2665" s="143"/>
      <c r="AL2665" s="143"/>
      <c r="AM2665" s="145"/>
      <c r="AN2665" s="143"/>
    </row>
    <row r="2666" spans="3:40">
      <c r="C2666" s="136"/>
      <c r="D2666" s="136"/>
      <c r="F2666" s="20"/>
      <c r="G2666" s="138"/>
      <c r="H2666" s="138"/>
      <c r="I2666" s="126"/>
      <c r="J2666" s="20"/>
      <c r="K2666" s="20"/>
      <c r="L2666" s="20"/>
      <c r="M2666" s="20"/>
      <c r="N2666" s="126"/>
      <c r="O2666" s="126"/>
      <c r="P2666" s="126"/>
      <c r="Q2666" s="202"/>
      <c r="R2666" s="222"/>
      <c r="S2666" s="199"/>
      <c r="AE2666" s="143"/>
      <c r="AF2666" s="143"/>
      <c r="AG2666" s="143"/>
      <c r="AH2666" s="143"/>
      <c r="AI2666" s="143"/>
      <c r="AJ2666" s="143"/>
      <c r="AK2666" s="143"/>
      <c r="AL2666" s="143"/>
      <c r="AM2666" s="143"/>
      <c r="AN2666" s="143"/>
    </row>
    <row r="2667" spans="3:40">
      <c r="C2667" s="136"/>
      <c r="D2667" s="136"/>
      <c r="F2667" s="20"/>
      <c r="G2667" s="138"/>
      <c r="H2667" s="138"/>
      <c r="I2667" s="126"/>
      <c r="J2667" s="20"/>
      <c r="K2667" s="20"/>
      <c r="L2667" s="20"/>
      <c r="M2667" s="20"/>
      <c r="N2667" s="126"/>
      <c r="O2667" s="126"/>
      <c r="P2667" s="126"/>
      <c r="Q2667" s="202"/>
      <c r="R2667" s="222"/>
      <c r="S2667" s="199"/>
      <c r="AE2667" s="143"/>
      <c r="AF2667" s="143"/>
      <c r="AG2667" s="143"/>
      <c r="AH2667" s="143"/>
      <c r="AI2667" s="143"/>
      <c r="AJ2667" s="143"/>
      <c r="AK2667" s="143"/>
      <c r="AL2667" s="143"/>
      <c r="AM2667" s="143"/>
      <c r="AN2667" s="143"/>
    </row>
    <row r="2668" spans="3:40">
      <c r="C2668" s="136"/>
      <c r="D2668" s="136"/>
      <c r="F2668" s="20"/>
      <c r="G2668" s="138"/>
      <c r="H2668" s="138"/>
      <c r="I2668" s="126"/>
      <c r="J2668" s="20"/>
      <c r="K2668" s="20"/>
      <c r="L2668" s="20"/>
      <c r="M2668" s="20"/>
      <c r="N2668" s="126"/>
      <c r="O2668" s="126"/>
      <c r="P2668" s="126"/>
      <c r="Q2668" s="202"/>
      <c r="R2668" s="222"/>
      <c r="S2668" s="199"/>
      <c r="AE2668" s="143"/>
      <c r="AF2668" s="143"/>
      <c r="AG2668" s="143"/>
      <c r="AH2668" s="143"/>
      <c r="AI2668" s="143"/>
      <c r="AJ2668" s="143"/>
      <c r="AK2668" s="143"/>
      <c r="AL2668" s="143"/>
      <c r="AM2668" s="143"/>
      <c r="AN2668" s="143"/>
    </row>
    <row r="2669" spans="3:40">
      <c r="C2669" s="136"/>
      <c r="D2669" s="136"/>
      <c r="F2669" s="20"/>
      <c r="G2669" s="138"/>
      <c r="H2669" s="138"/>
      <c r="I2669" s="126"/>
      <c r="J2669" s="20"/>
      <c r="K2669" s="20"/>
      <c r="L2669" s="20"/>
      <c r="M2669" s="20"/>
      <c r="N2669" s="126"/>
      <c r="O2669" s="126"/>
      <c r="P2669" s="126"/>
      <c r="Q2669" s="202"/>
      <c r="R2669" s="222"/>
      <c r="S2669" s="199"/>
      <c r="AE2669" s="143"/>
      <c r="AF2669" s="143"/>
      <c r="AG2669" s="143"/>
      <c r="AH2669" s="143"/>
      <c r="AI2669" s="143"/>
      <c r="AJ2669" s="143"/>
      <c r="AK2669" s="143"/>
      <c r="AL2669" s="143"/>
      <c r="AM2669" s="143"/>
      <c r="AN2669" s="143"/>
    </row>
    <row r="2670" spans="3:40">
      <c r="C2670" s="136"/>
      <c r="D2670" s="136"/>
      <c r="F2670" s="20"/>
      <c r="G2670" s="138"/>
      <c r="H2670" s="138"/>
      <c r="I2670" s="126"/>
      <c r="J2670" s="20"/>
      <c r="K2670" s="20"/>
      <c r="L2670" s="20"/>
      <c r="M2670" s="20"/>
      <c r="N2670" s="126"/>
      <c r="O2670" s="126"/>
      <c r="P2670" s="126"/>
      <c r="Q2670" s="202"/>
      <c r="R2670" s="222"/>
      <c r="S2670" s="199"/>
      <c r="AE2670" s="143"/>
      <c r="AF2670" s="143"/>
      <c r="AG2670" s="143"/>
      <c r="AH2670" s="143"/>
      <c r="AI2670" s="143"/>
      <c r="AJ2670" s="143"/>
      <c r="AK2670" s="143"/>
      <c r="AL2670" s="143"/>
      <c r="AM2670" s="143"/>
      <c r="AN2670" s="143"/>
    </row>
    <row r="2671" spans="3:40">
      <c r="C2671" s="136"/>
      <c r="D2671" s="136"/>
      <c r="F2671" s="20"/>
      <c r="G2671" s="138"/>
      <c r="H2671" s="138"/>
      <c r="I2671" s="126"/>
      <c r="J2671" s="20"/>
      <c r="K2671" s="20"/>
      <c r="L2671" s="20"/>
      <c r="M2671" s="20"/>
      <c r="N2671" s="126"/>
      <c r="O2671" s="126"/>
      <c r="P2671" s="126"/>
      <c r="Q2671" s="202"/>
      <c r="R2671" s="222"/>
      <c r="S2671" s="199"/>
      <c r="AE2671" s="143"/>
      <c r="AF2671" s="143"/>
      <c r="AG2671" s="143"/>
      <c r="AH2671" s="143"/>
      <c r="AI2671" s="143"/>
      <c r="AJ2671" s="143"/>
      <c r="AK2671" s="143"/>
      <c r="AL2671" s="143"/>
      <c r="AM2671" s="143"/>
      <c r="AN2671" s="143"/>
    </row>
    <row r="2672" spans="3:40">
      <c r="C2672" s="136"/>
      <c r="D2672" s="136"/>
      <c r="F2672" s="20"/>
      <c r="G2672" s="138"/>
      <c r="H2672" s="138"/>
      <c r="I2672" s="126"/>
      <c r="J2672" s="20"/>
      <c r="K2672" s="20"/>
      <c r="L2672" s="20"/>
      <c r="M2672" s="20"/>
      <c r="N2672" s="126"/>
      <c r="O2672" s="126"/>
      <c r="P2672" s="126"/>
      <c r="Q2672" s="202"/>
      <c r="R2672" s="222"/>
      <c r="S2672" s="199"/>
      <c r="AE2672" s="143"/>
      <c r="AF2672" s="143"/>
      <c r="AG2672" s="143"/>
      <c r="AH2672" s="143"/>
      <c r="AI2672" s="143"/>
      <c r="AJ2672" s="143"/>
      <c r="AK2672" s="143"/>
      <c r="AL2672" s="143"/>
      <c r="AM2672" s="143"/>
      <c r="AN2672" s="143"/>
    </row>
    <row r="2673" spans="3:40">
      <c r="C2673" s="136"/>
      <c r="D2673" s="136"/>
      <c r="F2673" s="20"/>
      <c r="G2673" s="138"/>
      <c r="H2673" s="138"/>
      <c r="I2673" s="126"/>
      <c r="J2673" s="20"/>
      <c r="K2673" s="20"/>
      <c r="L2673" s="20"/>
      <c r="M2673" s="20"/>
      <c r="N2673" s="126"/>
      <c r="O2673" s="126"/>
      <c r="P2673" s="126"/>
      <c r="Q2673" s="202"/>
      <c r="R2673" s="222"/>
      <c r="S2673" s="199"/>
      <c r="AE2673" s="143"/>
      <c r="AF2673" s="143"/>
      <c r="AG2673" s="143"/>
      <c r="AH2673" s="143"/>
      <c r="AI2673" s="143"/>
      <c r="AJ2673" s="143"/>
      <c r="AK2673" s="143"/>
      <c r="AL2673" s="143"/>
      <c r="AM2673" s="143"/>
      <c r="AN2673" s="143"/>
    </row>
    <row r="2674" spans="3:40">
      <c r="C2674" s="136"/>
      <c r="D2674" s="136"/>
      <c r="F2674" s="20"/>
      <c r="G2674" s="138"/>
      <c r="H2674" s="138"/>
      <c r="I2674" s="126"/>
      <c r="J2674" s="20"/>
      <c r="K2674" s="20"/>
      <c r="L2674" s="20"/>
      <c r="M2674" s="20"/>
      <c r="N2674" s="126"/>
      <c r="O2674" s="126"/>
      <c r="P2674" s="126"/>
      <c r="Q2674" s="202"/>
      <c r="R2674" s="222"/>
      <c r="S2674" s="199"/>
      <c r="AE2674" s="143"/>
      <c r="AF2674" s="143"/>
      <c r="AG2674" s="143"/>
      <c r="AH2674" s="143"/>
      <c r="AI2674" s="143"/>
      <c r="AJ2674" s="143"/>
      <c r="AK2674" s="143"/>
      <c r="AL2674" s="143"/>
      <c r="AM2674" s="143"/>
      <c r="AN2674" s="143"/>
    </row>
    <row r="2675" spans="3:40">
      <c r="C2675" s="136"/>
      <c r="D2675" s="136"/>
      <c r="F2675" s="20"/>
      <c r="G2675" s="138"/>
      <c r="H2675" s="138"/>
      <c r="I2675" s="126"/>
      <c r="J2675" s="20"/>
      <c r="K2675" s="20"/>
      <c r="L2675" s="20"/>
      <c r="M2675" s="20"/>
      <c r="N2675" s="126"/>
      <c r="O2675" s="126"/>
      <c r="P2675" s="126"/>
      <c r="Q2675" s="202"/>
      <c r="R2675" s="222"/>
      <c r="S2675" s="199"/>
      <c r="AE2675" s="143"/>
      <c r="AF2675" s="143"/>
      <c r="AG2675" s="143"/>
      <c r="AH2675" s="143"/>
      <c r="AI2675" s="143"/>
      <c r="AJ2675" s="143"/>
      <c r="AK2675" s="143"/>
      <c r="AL2675" s="143"/>
      <c r="AM2675" s="143"/>
      <c r="AN2675" s="143"/>
    </row>
    <row r="2676" spans="3:40">
      <c r="C2676" s="136"/>
      <c r="D2676" s="136"/>
      <c r="F2676" s="20"/>
      <c r="G2676" s="138"/>
      <c r="H2676" s="138"/>
      <c r="I2676" s="126"/>
      <c r="J2676" s="20"/>
      <c r="K2676" s="20"/>
      <c r="L2676" s="20"/>
      <c r="M2676" s="20"/>
      <c r="N2676" s="126"/>
      <c r="O2676" s="126"/>
      <c r="P2676" s="126"/>
      <c r="Q2676" s="202"/>
      <c r="R2676" s="222"/>
      <c r="S2676" s="199"/>
      <c r="AE2676" s="143"/>
      <c r="AF2676" s="143"/>
      <c r="AG2676" s="143"/>
      <c r="AH2676" s="143"/>
      <c r="AI2676" s="143"/>
      <c r="AJ2676" s="143"/>
      <c r="AK2676" s="143"/>
      <c r="AL2676" s="143"/>
      <c r="AM2676" s="145"/>
      <c r="AN2676" s="143"/>
    </row>
    <row r="2677" spans="3:40">
      <c r="C2677" s="136"/>
      <c r="D2677" s="136"/>
      <c r="F2677" s="20"/>
      <c r="G2677" s="138"/>
      <c r="H2677" s="138"/>
      <c r="I2677" s="126"/>
      <c r="J2677" s="20"/>
      <c r="K2677" s="20"/>
      <c r="L2677" s="20"/>
      <c r="M2677" s="20"/>
      <c r="N2677" s="126"/>
      <c r="O2677" s="126"/>
      <c r="P2677" s="126"/>
      <c r="Q2677" s="202"/>
      <c r="R2677" s="20"/>
      <c r="S2677" s="199"/>
      <c r="AE2677" s="143"/>
      <c r="AF2677" s="143"/>
      <c r="AG2677" s="143"/>
      <c r="AH2677" s="143"/>
      <c r="AI2677" s="143"/>
      <c r="AJ2677" s="143"/>
      <c r="AK2677" s="143"/>
      <c r="AL2677" s="143"/>
      <c r="AM2677" s="145"/>
      <c r="AN2677" s="143"/>
    </row>
    <row r="2678" spans="3:40">
      <c r="C2678" s="136"/>
      <c r="D2678" s="136"/>
      <c r="F2678" s="20"/>
      <c r="G2678" s="138"/>
      <c r="H2678" s="138"/>
      <c r="I2678" s="126"/>
      <c r="J2678" s="20"/>
      <c r="K2678" s="20"/>
      <c r="L2678" s="20"/>
      <c r="M2678" s="20"/>
      <c r="N2678" s="126"/>
      <c r="O2678" s="126"/>
      <c r="P2678" s="126"/>
      <c r="Q2678" s="202"/>
      <c r="R2678" s="20"/>
      <c r="S2678" s="199"/>
      <c r="AE2678" s="143"/>
      <c r="AF2678" s="143"/>
      <c r="AG2678" s="143"/>
      <c r="AH2678" s="143"/>
      <c r="AI2678" s="143"/>
      <c r="AJ2678" s="143"/>
      <c r="AK2678" s="143"/>
      <c r="AL2678" s="143"/>
      <c r="AM2678" s="143"/>
      <c r="AN2678" s="143"/>
    </row>
    <row r="2679" spans="3:40">
      <c r="C2679" s="136"/>
      <c r="D2679" s="136"/>
      <c r="F2679" s="20"/>
      <c r="G2679" s="138"/>
      <c r="H2679" s="138"/>
      <c r="I2679" s="126"/>
      <c r="J2679" s="20"/>
      <c r="K2679" s="20"/>
      <c r="L2679" s="20"/>
      <c r="M2679" s="20"/>
      <c r="N2679" s="126"/>
      <c r="O2679" s="126"/>
      <c r="P2679" s="126"/>
      <c r="Q2679" s="202"/>
      <c r="R2679" s="20"/>
      <c r="S2679" s="199"/>
      <c r="AE2679" s="143"/>
      <c r="AF2679" s="143"/>
      <c r="AG2679" s="143"/>
      <c r="AH2679" s="143"/>
      <c r="AI2679" s="143"/>
      <c r="AJ2679" s="143"/>
      <c r="AK2679" s="143"/>
      <c r="AL2679" s="143"/>
      <c r="AM2679" s="143"/>
      <c r="AN2679" s="143"/>
    </row>
    <row r="2680" spans="3:40">
      <c r="C2680" s="136"/>
      <c r="D2680" s="136"/>
      <c r="F2680" s="20"/>
      <c r="G2680" s="138"/>
      <c r="H2680" s="138"/>
      <c r="I2680" s="126"/>
      <c r="J2680" s="20"/>
      <c r="K2680" s="20"/>
      <c r="L2680" s="20"/>
      <c r="M2680" s="20"/>
      <c r="N2680" s="126"/>
      <c r="O2680" s="126"/>
      <c r="P2680" s="126"/>
      <c r="Q2680" s="202"/>
      <c r="R2680" s="20"/>
      <c r="S2680" s="199"/>
      <c r="AE2680" s="143"/>
      <c r="AF2680" s="143"/>
      <c r="AG2680" s="143"/>
      <c r="AH2680" s="143"/>
      <c r="AI2680" s="143"/>
      <c r="AJ2680" s="143"/>
      <c r="AK2680" s="143"/>
      <c r="AL2680" s="143"/>
      <c r="AM2680" s="143"/>
      <c r="AN2680" s="143"/>
    </row>
    <row r="2681" spans="3:40">
      <c r="C2681" s="136"/>
      <c r="D2681" s="136"/>
      <c r="F2681" s="20"/>
      <c r="G2681" s="138"/>
      <c r="H2681" s="138"/>
      <c r="I2681" s="126"/>
      <c r="J2681" s="20"/>
      <c r="K2681" s="20"/>
      <c r="L2681" s="20"/>
      <c r="M2681" s="20"/>
      <c r="N2681" s="126"/>
      <c r="O2681" s="126"/>
      <c r="P2681" s="126"/>
      <c r="Q2681" s="202"/>
      <c r="R2681" s="20"/>
      <c r="S2681" s="199"/>
      <c r="AE2681" s="143"/>
      <c r="AF2681" s="143"/>
      <c r="AG2681" s="143"/>
      <c r="AH2681" s="143"/>
      <c r="AI2681" s="143"/>
      <c r="AJ2681" s="143"/>
      <c r="AK2681" s="143"/>
      <c r="AL2681" s="143"/>
      <c r="AM2681" s="143"/>
      <c r="AN2681" s="143"/>
    </row>
    <row r="2682" spans="3:40">
      <c r="C2682" s="136"/>
      <c r="D2682" s="136"/>
      <c r="F2682" s="20"/>
      <c r="G2682" s="138"/>
      <c r="H2682" s="138"/>
      <c r="I2682" s="126"/>
      <c r="J2682" s="20"/>
      <c r="K2682" s="20"/>
      <c r="L2682" s="20"/>
      <c r="M2682" s="20"/>
      <c r="N2682" s="126"/>
      <c r="O2682" s="126"/>
      <c r="P2682" s="126"/>
      <c r="Q2682" s="202"/>
      <c r="R2682" s="20"/>
      <c r="S2682" s="199"/>
      <c r="AE2682" s="143"/>
      <c r="AF2682" s="143"/>
      <c r="AG2682" s="143"/>
      <c r="AH2682" s="143"/>
      <c r="AI2682" s="143"/>
      <c r="AJ2682" s="143"/>
      <c r="AK2682" s="143"/>
      <c r="AL2682" s="143"/>
      <c r="AM2682" s="143"/>
      <c r="AN2682" s="143"/>
    </row>
    <row r="2683" spans="3:40">
      <c r="C2683" s="136"/>
      <c r="D2683" s="136"/>
      <c r="F2683" s="20"/>
      <c r="G2683" s="138"/>
      <c r="H2683" s="138"/>
      <c r="I2683" s="126"/>
      <c r="J2683" s="20"/>
      <c r="K2683" s="20"/>
      <c r="L2683" s="20"/>
      <c r="M2683" s="20"/>
      <c r="N2683" s="126"/>
      <c r="O2683" s="126"/>
      <c r="P2683" s="126"/>
      <c r="Q2683" s="202"/>
      <c r="R2683" s="20"/>
      <c r="S2683" s="199"/>
      <c r="AE2683" s="143"/>
      <c r="AF2683" s="143"/>
      <c r="AG2683" s="143"/>
      <c r="AH2683" s="143"/>
      <c r="AI2683" s="143"/>
      <c r="AJ2683" s="143"/>
      <c r="AK2683" s="143"/>
      <c r="AL2683" s="143"/>
      <c r="AM2683" s="145"/>
      <c r="AN2683" s="143"/>
    </row>
    <row r="2684" spans="3:40">
      <c r="C2684" s="136"/>
      <c r="D2684" s="136"/>
      <c r="F2684" s="20"/>
      <c r="G2684" s="138"/>
      <c r="H2684" s="138"/>
      <c r="I2684" s="126"/>
      <c r="J2684" s="20"/>
      <c r="K2684" s="20"/>
      <c r="L2684" s="20"/>
      <c r="M2684" s="20"/>
      <c r="N2684" s="126"/>
      <c r="O2684" s="126"/>
      <c r="P2684" s="126"/>
      <c r="Q2684" s="202"/>
      <c r="R2684" s="20"/>
      <c r="S2684" s="199"/>
      <c r="AE2684" s="143"/>
      <c r="AF2684" s="143"/>
      <c r="AG2684" s="143"/>
      <c r="AH2684" s="143"/>
      <c r="AI2684" s="143"/>
      <c r="AJ2684" s="143"/>
      <c r="AK2684" s="143"/>
      <c r="AL2684" s="143"/>
      <c r="AM2684" s="143"/>
      <c r="AN2684" s="143"/>
    </row>
    <row r="2685" spans="3:40">
      <c r="C2685" s="136"/>
      <c r="D2685" s="136"/>
      <c r="F2685" s="20"/>
      <c r="G2685" s="138"/>
      <c r="H2685" s="138"/>
      <c r="I2685" s="126"/>
      <c r="J2685" s="20"/>
      <c r="K2685" s="20"/>
      <c r="L2685" s="20"/>
      <c r="M2685" s="20"/>
      <c r="N2685" s="126"/>
      <c r="O2685" s="126"/>
      <c r="P2685" s="126"/>
      <c r="Q2685" s="202"/>
      <c r="R2685" s="199"/>
      <c r="S2685" s="199"/>
      <c r="AE2685" s="143"/>
      <c r="AF2685" s="143"/>
      <c r="AG2685" s="143"/>
      <c r="AH2685" s="143"/>
      <c r="AI2685" s="143"/>
      <c r="AJ2685" s="143"/>
      <c r="AK2685" s="143"/>
      <c r="AL2685" s="143"/>
      <c r="AM2685" s="143"/>
      <c r="AN2685" s="143"/>
    </row>
    <row r="2686" spans="3:40">
      <c r="C2686" s="136"/>
      <c r="D2686" s="136"/>
      <c r="F2686" s="20"/>
      <c r="G2686" s="138"/>
      <c r="H2686" s="138"/>
      <c r="I2686" s="126"/>
      <c r="J2686" s="20"/>
      <c r="K2686" s="20"/>
      <c r="L2686" s="20"/>
      <c r="M2686" s="20"/>
      <c r="N2686" s="126"/>
      <c r="O2686" s="126"/>
      <c r="P2686" s="126"/>
      <c r="Q2686" s="202"/>
      <c r="R2686" s="20"/>
      <c r="S2686" s="199"/>
      <c r="AE2686" s="143"/>
      <c r="AF2686" s="143"/>
      <c r="AG2686" s="143"/>
      <c r="AH2686" s="143"/>
      <c r="AI2686" s="143"/>
      <c r="AJ2686" s="143"/>
      <c r="AK2686" s="143"/>
      <c r="AL2686" s="143"/>
      <c r="AM2686" s="145"/>
      <c r="AN2686" s="143"/>
    </row>
    <row r="2687" spans="3:40">
      <c r="C2687" s="136"/>
      <c r="D2687" s="136"/>
      <c r="F2687" s="20"/>
      <c r="G2687" s="138"/>
      <c r="H2687" s="138"/>
      <c r="I2687" s="126"/>
      <c r="J2687" s="20"/>
      <c r="K2687" s="20"/>
      <c r="L2687" s="20"/>
      <c r="M2687" s="20"/>
      <c r="N2687" s="126"/>
      <c r="O2687" s="126"/>
      <c r="P2687" s="126"/>
      <c r="Q2687" s="202"/>
      <c r="R2687" s="20"/>
      <c r="S2687" s="199"/>
      <c r="AE2687" s="143"/>
      <c r="AF2687" s="143"/>
      <c r="AG2687" s="143"/>
      <c r="AH2687" s="143"/>
      <c r="AI2687" s="143"/>
      <c r="AJ2687" s="143"/>
      <c r="AK2687" s="143"/>
      <c r="AL2687" s="143"/>
      <c r="AM2687" s="145"/>
      <c r="AN2687" s="143"/>
    </row>
    <row r="2688" spans="3:40">
      <c r="C2688" s="136"/>
      <c r="D2688" s="136"/>
      <c r="F2688" s="20"/>
      <c r="G2688" s="138"/>
      <c r="H2688" s="138"/>
      <c r="I2688" s="126"/>
      <c r="J2688" s="20"/>
      <c r="K2688" s="20"/>
      <c r="L2688" s="20"/>
      <c r="M2688" s="20"/>
      <c r="N2688" s="126"/>
      <c r="O2688" s="126"/>
      <c r="P2688" s="126"/>
      <c r="Q2688" s="202"/>
      <c r="R2688" s="20"/>
      <c r="S2688" s="199"/>
      <c r="AE2688" s="143"/>
      <c r="AF2688" s="143"/>
      <c r="AG2688" s="143"/>
      <c r="AH2688" s="143"/>
      <c r="AI2688" s="143"/>
      <c r="AJ2688" s="143"/>
      <c r="AK2688" s="143"/>
      <c r="AL2688" s="143"/>
      <c r="AM2688" s="143"/>
      <c r="AN2688" s="143"/>
    </row>
    <row r="2689" spans="3:40">
      <c r="C2689" s="136"/>
      <c r="D2689" s="136"/>
      <c r="F2689" s="20"/>
      <c r="G2689" s="138"/>
      <c r="H2689" s="138"/>
      <c r="I2689" s="126"/>
      <c r="J2689" s="20"/>
      <c r="K2689" s="20"/>
      <c r="L2689" s="20"/>
      <c r="M2689" s="20"/>
      <c r="N2689" s="126"/>
      <c r="O2689" s="126"/>
      <c r="P2689" s="126"/>
      <c r="Q2689" s="202"/>
      <c r="R2689" s="199"/>
      <c r="S2689" s="199"/>
      <c r="AE2689" s="143"/>
      <c r="AF2689" s="143"/>
      <c r="AG2689" s="143"/>
      <c r="AH2689" s="143"/>
      <c r="AI2689" s="143"/>
      <c r="AJ2689" s="143"/>
      <c r="AK2689" s="143"/>
      <c r="AL2689" s="143"/>
      <c r="AM2689" s="145"/>
      <c r="AN2689" s="143"/>
    </row>
    <row r="2690" spans="3:40">
      <c r="C2690" s="136"/>
      <c r="D2690" s="136"/>
      <c r="F2690" s="20"/>
      <c r="G2690" s="138"/>
      <c r="H2690" s="138"/>
      <c r="I2690" s="126"/>
      <c r="J2690" s="20"/>
      <c r="K2690" s="20"/>
      <c r="L2690" s="20"/>
      <c r="M2690" s="20"/>
      <c r="N2690" s="126"/>
      <c r="O2690" s="126"/>
      <c r="P2690" s="126"/>
      <c r="Q2690" s="202"/>
      <c r="R2690" s="20"/>
      <c r="S2690" s="199"/>
      <c r="AE2690" s="143"/>
      <c r="AF2690" s="143"/>
      <c r="AG2690" s="143"/>
      <c r="AH2690" s="143"/>
      <c r="AI2690" s="143"/>
      <c r="AJ2690" s="143"/>
      <c r="AK2690" s="143"/>
      <c r="AL2690" s="143"/>
      <c r="AM2690" s="143"/>
      <c r="AN2690" s="143"/>
    </row>
    <row r="2691" spans="3:40">
      <c r="C2691" s="136"/>
      <c r="D2691" s="136"/>
      <c r="F2691" s="20"/>
      <c r="G2691" s="138"/>
      <c r="H2691" s="138"/>
      <c r="I2691" s="126"/>
      <c r="J2691" s="20"/>
      <c r="K2691" s="20"/>
      <c r="L2691" s="20"/>
      <c r="M2691" s="20"/>
      <c r="N2691" s="126"/>
      <c r="O2691" s="126"/>
      <c r="P2691" s="126"/>
      <c r="Q2691" s="202"/>
      <c r="R2691" s="20"/>
      <c r="S2691" s="199"/>
      <c r="AE2691" s="143"/>
      <c r="AF2691" s="143"/>
      <c r="AG2691" s="143"/>
      <c r="AH2691" s="143"/>
      <c r="AI2691" s="143"/>
      <c r="AJ2691" s="143"/>
      <c r="AK2691" s="143"/>
      <c r="AL2691" s="143"/>
      <c r="AM2691" s="143"/>
      <c r="AN2691" s="143"/>
    </row>
    <row r="2692" spans="3:40">
      <c r="C2692" s="136"/>
      <c r="D2692" s="136"/>
      <c r="F2692" s="20"/>
      <c r="G2692" s="138"/>
      <c r="H2692" s="138"/>
      <c r="I2692" s="126"/>
      <c r="J2692" s="20"/>
      <c r="K2692" s="20"/>
      <c r="L2692" s="20"/>
      <c r="M2692" s="20"/>
      <c r="N2692" s="126"/>
      <c r="O2692" s="126"/>
      <c r="P2692" s="126"/>
      <c r="Q2692" s="202"/>
      <c r="R2692" s="199"/>
      <c r="S2692" s="199"/>
      <c r="AE2692" s="143"/>
      <c r="AF2692" s="143"/>
      <c r="AG2692" s="143"/>
      <c r="AH2692" s="143"/>
      <c r="AI2692" s="143"/>
      <c r="AJ2692" s="143"/>
      <c r="AK2692" s="143"/>
      <c r="AL2692" s="143"/>
      <c r="AM2692" s="145"/>
      <c r="AN2692" s="143"/>
    </row>
    <row r="2693" spans="3:40">
      <c r="C2693" s="136"/>
      <c r="D2693" s="136"/>
      <c r="F2693" s="20"/>
      <c r="G2693" s="138"/>
      <c r="H2693" s="138"/>
      <c r="I2693" s="126"/>
      <c r="J2693" s="20"/>
      <c r="K2693" s="20"/>
      <c r="L2693" s="20"/>
      <c r="M2693" s="20"/>
      <c r="N2693" s="126"/>
      <c r="O2693" s="126"/>
      <c r="P2693" s="126"/>
      <c r="Q2693" s="202"/>
      <c r="R2693" s="20"/>
      <c r="S2693" s="199"/>
      <c r="AE2693" s="143"/>
      <c r="AF2693" s="143"/>
      <c r="AG2693" s="143"/>
      <c r="AH2693" s="143"/>
      <c r="AI2693" s="143"/>
      <c r="AJ2693" s="143"/>
      <c r="AK2693" s="143"/>
      <c r="AL2693" s="143"/>
      <c r="AM2693" s="143"/>
      <c r="AN2693" s="143"/>
    </row>
    <row r="2694" spans="3:40">
      <c r="C2694" s="136"/>
      <c r="D2694" s="136"/>
      <c r="F2694" s="20"/>
      <c r="G2694" s="138"/>
      <c r="H2694" s="138"/>
      <c r="I2694" s="126"/>
      <c r="J2694" s="20"/>
      <c r="K2694" s="20"/>
      <c r="L2694" s="20"/>
      <c r="M2694" s="20"/>
      <c r="N2694" s="126"/>
      <c r="O2694" s="126"/>
      <c r="P2694" s="126"/>
      <c r="Q2694" s="202"/>
      <c r="R2694" s="199"/>
      <c r="S2694" s="199"/>
      <c r="AE2694" s="143"/>
      <c r="AF2694" s="143"/>
      <c r="AG2694" s="143"/>
      <c r="AH2694" s="143"/>
      <c r="AI2694" s="143"/>
      <c r="AJ2694" s="143"/>
      <c r="AK2694" s="143"/>
      <c r="AL2694" s="143"/>
      <c r="AM2694" s="143"/>
      <c r="AN2694" s="143"/>
    </row>
    <row r="2695" spans="3:40">
      <c r="C2695" s="136"/>
      <c r="D2695" s="136"/>
      <c r="F2695" s="20"/>
      <c r="G2695" s="138"/>
      <c r="H2695" s="138"/>
      <c r="I2695" s="126"/>
      <c r="J2695" s="20"/>
      <c r="K2695" s="20"/>
      <c r="L2695" s="20"/>
      <c r="M2695" s="20"/>
      <c r="N2695" s="126"/>
      <c r="O2695" s="126"/>
      <c r="P2695" s="126"/>
      <c r="Q2695" s="202"/>
      <c r="R2695" s="199"/>
      <c r="S2695" s="199"/>
      <c r="AE2695" s="143"/>
      <c r="AF2695" s="143"/>
      <c r="AG2695" s="143"/>
      <c r="AH2695" s="143"/>
      <c r="AI2695" s="143"/>
      <c r="AJ2695" s="143"/>
      <c r="AK2695" s="143"/>
      <c r="AL2695" s="143"/>
      <c r="AM2695" s="143"/>
      <c r="AN2695" s="143"/>
    </row>
    <row r="2696" spans="3:40">
      <c r="C2696" s="136"/>
      <c r="D2696" s="136"/>
      <c r="F2696" s="20"/>
      <c r="G2696" s="138"/>
      <c r="H2696" s="138"/>
      <c r="I2696" s="126"/>
      <c r="J2696" s="20"/>
      <c r="K2696" s="20"/>
      <c r="L2696" s="20"/>
      <c r="M2696" s="20"/>
      <c r="N2696" s="126"/>
      <c r="O2696" s="126"/>
      <c r="P2696" s="126"/>
      <c r="Q2696" s="202"/>
      <c r="R2696" s="199"/>
      <c r="S2696" s="199"/>
      <c r="AE2696" s="143"/>
      <c r="AF2696" s="143"/>
      <c r="AG2696" s="143"/>
      <c r="AH2696" s="143"/>
      <c r="AI2696" s="143"/>
      <c r="AJ2696" s="143"/>
      <c r="AK2696" s="143"/>
      <c r="AL2696" s="143"/>
      <c r="AM2696" s="143"/>
      <c r="AN2696" s="143"/>
    </row>
    <row r="2697" spans="3:40">
      <c r="C2697" s="136"/>
      <c r="D2697" s="136"/>
      <c r="F2697" s="20"/>
      <c r="G2697" s="138"/>
      <c r="H2697" s="138"/>
      <c r="I2697" s="126"/>
      <c r="J2697" s="20"/>
      <c r="K2697" s="20"/>
      <c r="L2697" s="20"/>
      <c r="M2697" s="20"/>
      <c r="N2697" s="126"/>
      <c r="O2697" s="126"/>
      <c r="P2697" s="126"/>
      <c r="Q2697" s="202"/>
      <c r="R2697" s="199"/>
      <c r="S2697" s="199"/>
      <c r="AE2697" s="143"/>
      <c r="AF2697" s="143"/>
      <c r="AG2697" s="143"/>
      <c r="AH2697" s="143"/>
      <c r="AI2697" s="143"/>
      <c r="AJ2697" s="143"/>
      <c r="AK2697" s="143"/>
      <c r="AL2697" s="143"/>
      <c r="AM2697" s="143"/>
      <c r="AN2697" s="143"/>
    </row>
    <row r="2698" spans="3:40">
      <c r="C2698" s="136"/>
      <c r="D2698" s="136"/>
      <c r="F2698" s="20"/>
      <c r="G2698" s="138"/>
      <c r="H2698" s="138"/>
      <c r="I2698" s="126"/>
      <c r="J2698" s="20"/>
      <c r="K2698" s="20"/>
      <c r="L2698" s="20"/>
      <c r="M2698" s="20"/>
      <c r="N2698" s="126"/>
      <c r="O2698" s="126"/>
      <c r="P2698" s="126"/>
      <c r="Q2698" s="202"/>
      <c r="R2698" s="199"/>
      <c r="S2698" s="199"/>
      <c r="AE2698" s="143"/>
      <c r="AF2698" s="143"/>
      <c r="AG2698" s="143"/>
      <c r="AH2698" s="143"/>
      <c r="AI2698" s="143"/>
      <c r="AJ2698" s="143"/>
      <c r="AK2698" s="143"/>
      <c r="AL2698" s="143"/>
      <c r="AM2698" s="143"/>
      <c r="AN2698" s="143"/>
    </row>
    <row r="2699" spans="3:40">
      <c r="C2699" s="136"/>
      <c r="D2699" s="136"/>
      <c r="F2699" s="20"/>
      <c r="G2699" s="138"/>
      <c r="H2699" s="138"/>
      <c r="I2699" s="126"/>
      <c r="J2699" s="20"/>
      <c r="K2699" s="20"/>
      <c r="L2699" s="20"/>
      <c r="M2699" s="20"/>
      <c r="N2699" s="126"/>
      <c r="O2699" s="126"/>
      <c r="P2699" s="126"/>
      <c r="Q2699" s="202"/>
      <c r="R2699" s="20"/>
      <c r="S2699" s="199"/>
      <c r="AE2699" s="143"/>
      <c r="AF2699" s="143"/>
      <c r="AG2699" s="143"/>
      <c r="AH2699" s="143"/>
      <c r="AI2699" s="143"/>
      <c r="AJ2699" s="143"/>
      <c r="AK2699" s="143"/>
      <c r="AL2699" s="143"/>
      <c r="AM2699" s="145"/>
      <c r="AN2699" s="143"/>
    </row>
    <row r="2700" spans="3:40">
      <c r="C2700" s="136"/>
      <c r="D2700" s="136"/>
      <c r="F2700" s="20"/>
      <c r="G2700" s="138"/>
      <c r="H2700" s="138"/>
      <c r="I2700" s="126"/>
      <c r="J2700" s="20"/>
      <c r="K2700" s="20"/>
      <c r="L2700" s="20"/>
      <c r="M2700" s="20"/>
      <c r="N2700" s="126"/>
      <c r="O2700" s="126"/>
      <c r="P2700" s="126"/>
      <c r="Q2700" s="202"/>
      <c r="R2700" s="20"/>
      <c r="S2700" s="199"/>
      <c r="AE2700" s="143"/>
      <c r="AF2700" s="143"/>
      <c r="AG2700" s="143"/>
      <c r="AH2700" s="143"/>
      <c r="AI2700" s="143"/>
      <c r="AJ2700" s="143"/>
      <c r="AK2700" s="143"/>
      <c r="AL2700" s="143"/>
      <c r="AM2700" s="143"/>
      <c r="AN2700" s="143"/>
    </row>
    <row r="2701" spans="3:40">
      <c r="C2701" s="136"/>
      <c r="D2701" s="136"/>
      <c r="F2701" s="20"/>
      <c r="G2701" s="138"/>
      <c r="H2701" s="138"/>
      <c r="I2701" s="126"/>
      <c r="J2701" s="20"/>
      <c r="K2701" s="20"/>
      <c r="L2701" s="20"/>
      <c r="M2701" s="20"/>
      <c r="N2701" s="126"/>
      <c r="O2701" s="126"/>
      <c r="P2701" s="126"/>
      <c r="Q2701" s="202"/>
      <c r="R2701" s="20"/>
      <c r="S2701" s="199"/>
      <c r="AE2701" s="143"/>
      <c r="AF2701" s="143"/>
      <c r="AG2701" s="143"/>
      <c r="AH2701" s="143"/>
      <c r="AI2701" s="143"/>
      <c r="AJ2701" s="143"/>
      <c r="AK2701" s="143"/>
      <c r="AL2701" s="143"/>
      <c r="AM2701" s="143"/>
      <c r="AN2701" s="143"/>
    </row>
    <row r="2702" spans="3:40">
      <c r="C2702" s="136"/>
      <c r="D2702" s="136"/>
      <c r="F2702" s="20"/>
      <c r="G2702" s="138"/>
      <c r="H2702" s="138"/>
      <c r="I2702" s="126"/>
      <c r="J2702" s="20"/>
      <c r="K2702" s="20"/>
      <c r="L2702" s="20"/>
      <c r="M2702" s="20"/>
      <c r="N2702" s="126"/>
      <c r="O2702" s="126"/>
      <c r="P2702" s="126"/>
      <c r="Q2702" s="202"/>
      <c r="R2702" s="20"/>
      <c r="S2702" s="199"/>
      <c r="AE2702" s="143"/>
      <c r="AF2702" s="143"/>
      <c r="AG2702" s="143"/>
      <c r="AH2702" s="143"/>
      <c r="AI2702" s="143"/>
      <c r="AJ2702" s="143"/>
      <c r="AK2702" s="143"/>
      <c r="AL2702" s="143"/>
      <c r="AM2702" s="145"/>
      <c r="AN2702" s="143"/>
    </row>
    <row r="2703" spans="3:40">
      <c r="C2703" s="136"/>
      <c r="D2703" s="136"/>
      <c r="F2703" s="20"/>
      <c r="G2703" s="138"/>
      <c r="H2703" s="138"/>
      <c r="I2703" s="126"/>
      <c r="J2703" s="20"/>
      <c r="K2703" s="20"/>
      <c r="L2703" s="20"/>
      <c r="M2703" s="20"/>
      <c r="N2703" s="126"/>
      <c r="O2703" s="126"/>
      <c r="P2703" s="126"/>
      <c r="Q2703" s="202"/>
      <c r="R2703" s="20"/>
      <c r="S2703" s="199"/>
      <c r="AE2703" s="143"/>
      <c r="AF2703" s="143"/>
      <c r="AG2703" s="143"/>
      <c r="AH2703" s="143"/>
      <c r="AI2703" s="143"/>
      <c r="AJ2703" s="143"/>
      <c r="AK2703" s="143"/>
      <c r="AL2703" s="143"/>
      <c r="AM2703" s="145"/>
      <c r="AN2703" s="143"/>
    </row>
    <row r="2704" spans="3:40">
      <c r="C2704" s="136"/>
      <c r="D2704" s="136"/>
      <c r="F2704" s="20"/>
      <c r="G2704" s="138"/>
      <c r="H2704" s="138"/>
      <c r="I2704" s="126"/>
      <c r="J2704" s="20"/>
      <c r="K2704" s="20"/>
      <c r="L2704" s="20"/>
      <c r="M2704" s="20"/>
      <c r="N2704" s="126"/>
      <c r="O2704" s="126"/>
      <c r="P2704" s="126"/>
      <c r="Q2704" s="202"/>
      <c r="R2704" s="199"/>
      <c r="S2704" s="199"/>
      <c r="AE2704" s="143"/>
      <c r="AF2704" s="143"/>
      <c r="AG2704" s="143"/>
      <c r="AH2704" s="143"/>
      <c r="AI2704" s="143"/>
      <c r="AJ2704" s="143"/>
      <c r="AK2704" s="143"/>
      <c r="AL2704" s="143"/>
      <c r="AM2704" s="145"/>
      <c r="AN2704" s="143"/>
    </row>
    <row r="2705" spans="3:40">
      <c r="C2705" s="136"/>
      <c r="D2705" s="136"/>
      <c r="F2705" s="20"/>
      <c r="G2705" s="138"/>
      <c r="H2705" s="138"/>
      <c r="I2705" s="126"/>
      <c r="J2705" s="20"/>
      <c r="K2705" s="20"/>
      <c r="L2705" s="20"/>
      <c r="M2705" s="20"/>
      <c r="N2705" s="126"/>
      <c r="O2705" s="126"/>
      <c r="P2705" s="126"/>
      <c r="Q2705" s="202"/>
      <c r="R2705" s="20"/>
      <c r="S2705" s="199"/>
      <c r="AE2705" s="143"/>
      <c r="AF2705" s="143"/>
      <c r="AG2705" s="143"/>
      <c r="AH2705" s="143"/>
      <c r="AI2705" s="143"/>
      <c r="AJ2705" s="143"/>
      <c r="AK2705" s="143"/>
      <c r="AL2705" s="143"/>
      <c r="AM2705" s="145"/>
      <c r="AN2705" s="143"/>
    </row>
    <row r="2706" spans="3:40">
      <c r="C2706" s="136"/>
      <c r="D2706" s="136"/>
      <c r="F2706" s="20"/>
      <c r="G2706" s="138"/>
      <c r="H2706" s="138"/>
      <c r="I2706" s="126"/>
      <c r="J2706" s="20"/>
      <c r="K2706" s="20"/>
      <c r="L2706" s="20"/>
      <c r="M2706" s="20"/>
      <c r="N2706" s="126"/>
      <c r="O2706" s="126"/>
      <c r="P2706" s="126"/>
      <c r="Q2706" s="202"/>
      <c r="R2706" s="199"/>
      <c r="S2706" s="199"/>
      <c r="AE2706" s="143"/>
      <c r="AF2706" s="143"/>
      <c r="AG2706" s="143"/>
      <c r="AH2706" s="143"/>
      <c r="AI2706" s="143"/>
      <c r="AJ2706" s="143"/>
      <c r="AK2706" s="143"/>
      <c r="AL2706" s="143"/>
      <c r="AM2706" s="145"/>
      <c r="AN2706" s="143"/>
    </row>
    <row r="2707" spans="3:40">
      <c r="C2707" s="136"/>
      <c r="D2707" s="136"/>
      <c r="F2707" s="20"/>
      <c r="G2707" s="138"/>
      <c r="H2707" s="138"/>
      <c r="I2707" s="126"/>
      <c r="J2707" s="20"/>
      <c r="K2707" s="20"/>
      <c r="L2707" s="20"/>
      <c r="M2707" s="20"/>
      <c r="N2707" s="126"/>
      <c r="O2707" s="126"/>
      <c r="P2707" s="126"/>
      <c r="Q2707" s="202"/>
      <c r="R2707" s="199"/>
      <c r="S2707" s="199"/>
      <c r="AE2707" s="143"/>
      <c r="AF2707" s="143"/>
      <c r="AG2707" s="143"/>
      <c r="AH2707" s="143"/>
      <c r="AI2707" s="143"/>
      <c r="AJ2707" s="143"/>
      <c r="AK2707" s="143"/>
      <c r="AL2707" s="143"/>
      <c r="AM2707" s="145"/>
      <c r="AN2707" s="143"/>
    </row>
    <row r="2708" spans="3:40">
      <c r="C2708" s="136"/>
      <c r="D2708" s="136"/>
      <c r="F2708" s="20"/>
      <c r="G2708" s="138"/>
      <c r="H2708" s="138"/>
      <c r="I2708" s="126"/>
      <c r="J2708" s="20"/>
      <c r="K2708" s="20"/>
      <c r="L2708" s="20"/>
      <c r="M2708" s="20"/>
      <c r="N2708" s="126"/>
      <c r="O2708" s="126"/>
      <c r="P2708" s="126"/>
      <c r="Q2708" s="202"/>
      <c r="R2708" s="199"/>
      <c r="S2708" s="199"/>
      <c r="AE2708" s="143"/>
      <c r="AF2708" s="143"/>
      <c r="AG2708" s="143"/>
      <c r="AH2708" s="143"/>
      <c r="AI2708" s="143"/>
      <c r="AJ2708" s="143"/>
      <c r="AK2708" s="143"/>
      <c r="AL2708" s="143"/>
      <c r="AM2708" s="145"/>
      <c r="AN2708" s="143"/>
    </row>
    <row r="2709" spans="3:40">
      <c r="C2709" s="136"/>
      <c r="D2709" s="136"/>
      <c r="F2709" s="20"/>
      <c r="G2709" s="138"/>
      <c r="H2709" s="138"/>
      <c r="I2709" s="126"/>
      <c r="J2709" s="20"/>
      <c r="K2709" s="20"/>
      <c r="L2709" s="20"/>
      <c r="M2709" s="20"/>
      <c r="N2709" s="126"/>
      <c r="O2709" s="126"/>
      <c r="P2709" s="126"/>
      <c r="Q2709" s="202"/>
      <c r="R2709" s="199"/>
      <c r="S2709" s="199"/>
      <c r="AE2709" s="143"/>
      <c r="AF2709" s="143"/>
      <c r="AG2709" s="143"/>
      <c r="AH2709" s="143"/>
      <c r="AI2709" s="143"/>
      <c r="AJ2709" s="143"/>
      <c r="AK2709" s="143"/>
      <c r="AL2709" s="143"/>
      <c r="AM2709" s="143"/>
      <c r="AN2709" s="143"/>
    </row>
    <row r="2710" spans="3:40">
      <c r="C2710" s="136"/>
      <c r="D2710" s="136"/>
      <c r="F2710" s="20"/>
      <c r="G2710" s="138"/>
      <c r="H2710" s="138"/>
      <c r="I2710" s="126"/>
      <c r="J2710" s="20"/>
      <c r="K2710" s="20"/>
      <c r="L2710" s="20"/>
      <c r="M2710" s="20"/>
      <c r="N2710" s="126"/>
      <c r="O2710" s="126"/>
      <c r="P2710" s="126"/>
      <c r="Q2710" s="202"/>
      <c r="R2710" s="199"/>
      <c r="S2710" s="199"/>
      <c r="AE2710" s="143"/>
      <c r="AF2710" s="143"/>
      <c r="AG2710" s="143"/>
      <c r="AH2710" s="143"/>
      <c r="AI2710" s="143"/>
      <c r="AJ2710" s="143"/>
      <c r="AK2710" s="143"/>
      <c r="AL2710" s="143"/>
      <c r="AM2710" s="145"/>
      <c r="AN2710" s="143"/>
    </row>
    <row r="2711" spans="3:40">
      <c r="C2711" s="136"/>
      <c r="D2711" s="136"/>
      <c r="F2711" s="20"/>
      <c r="G2711" s="138"/>
      <c r="H2711" s="138"/>
      <c r="I2711" s="126"/>
      <c r="J2711" s="20"/>
      <c r="K2711" s="20"/>
      <c r="L2711" s="20"/>
      <c r="M2711" s="20"/>
      <c r="N2711" s="126"/>
      <c r="O2711" s="126"/>
      <c r="P2711" s="126"/>
      <c r="Q2711" s="202"/>
      <c r="R2711" s="199"/>
      <c r="S2711" s="199"/>
      <c r="AE2711" s="143"/>
      <c r="AF2711" s="143"/>
      <c r="AG2711" s="143"/>
      <c r="AH2711" s="143"/>
      <c r="AI2711" s="143"/>
      <c r="AJ2711" s="143"/>
      <c r="AK2711" s="143"/>
      <c r="AL2711" s="143"/>
      <c r="AM2711" s="143"/>
      <c r="AN2711" s="143"/>
    </row>
    <row r="2712" spans="3:40">
      <c r="C2712" s="136"/>
      <c r="D2712" s="136"/>
      <c r="F2712" s="20"/>
      <c r="G2712" s="138"/>
      <c r="H2712" s="138"/>
      <c r="I2712" s="126"/>
      <c r="J2712" s="20"/>
      <c r="K2712" s="20"/>
      <c r="L2712" s="20"/>
      <c r="M2712" s="20"/>
      <c r="N2712" s="126"/>
      <c r="O2712" s="126"/>
      <c r="P2712" s="126"/>
      <c r="Q2712" s="202"/>
      <c r="R2712" s="20"/>
      <c r="S2712" s="199"/>
      <c r="AE2712" s="143"/>
      <c r="AF2712" s="143"/>
      <c r="AG2712" s="143"/>
      <c r="AH2712" s="143"/>
      <c r="AI2712" s="143"/>
      <c r="AJ2712" s="143"/>
      <c r="AK2712" s="143"/>
      <c r="AL2712" s="143"/>
      <c r="AM2712" s="145"/>
      <c r="AN2712" s="143"/>
    </row>
    <row r="2713" spans="3:40">
      <c r="C2713" s="136"/>
      <c r="D2713" s="136"/>
      <c r="F2713" s="20"/>
      <c r="G2713" s="138"/>
      <c r="H2713" s="138"/>
      <c r="I2713" s="126"/>
      <c r="J2713" s="20"/>
      <c r="K2713" s="20"/>
      <c r="L2713" s="20"/>
      <c r="M2713" s="20"/>
      <c r="N2713" s="126"/>
      <c r="O2713" s="126"/>
      <c r="P2713" s="126"/>
      <c r="Q2713" s="202"/>
      <c r="R2713" s="199"/>
      <c r="S2713" s="199"/>
      <c r="AE2713" s="143"/>
      <c r="AF2713" s="143"/>
      <c r="AG2713" s="143"/>
      <c r="AH2713" s="143"/>
      <c r="AI2713" s="143"/>
      <c r="AJ2713" s="143"/>
      <c r="AK2713" s="143"/>
      <c r="AL2713" s="143"/>
      <c r="AM2713" s="145"/>
      <c r="AN2713" s="143"/>
    </row>
    <row r="2714" spans="3:40">
      <c r="C2714" s="136"/>
      <c r="D2714" s="136"/>
      <c r="F2714" s="20"/>
      <c r="G2714" s="138"/>
      <c r="H2714" s="138"/>
      <c r="I2714" s="126"/>
      <c r="J2714" s="20"/>
      <c r="K2714" s="20"/>
      <c r="L2714" s="20"/>
      <c r="M2714" s="20"/>
      <c r="N2714" s="126"/>
      <c r="O2714" s="126"/>
      <c r="P2714" s="126"/>
      <c r="Q2714" s="202"/>
      <c r="R2714" s="199"/>
      <c r="S2714" s="199"/>
      <c r="AE2714" s="143"/>
      <c r="AF2714" s="143"/>
      <c r="AG2714" s="143"/>
      <c r="AH2714" s="143"/>
      <c r="AI2714" s="143"/>
      <c r="AJ2714" s="143"/>
      <c r="AK2714" s="143"/>
      <c r="AL2714" s="143"/>
      <c r="AM2714" s="145"/>
      <c r="AN2714" s="143"/>
    </row>
    <row r="2715" spans="3:40">
      <c r="C2715" s="136"/>
      <c r="D2715" s="136"/>
      <c r="F2715" s="20"/>
      <c r="G2715" s="138"/>
      <c r="H2715" s="138"/>
      <c r="I2715" s="126"/>
      <c r="J2715" s="20"/>
      <c r="K2715" s="20"/>
      <c r="L2715" s="20"/>
      <c r="M2715" s="20"/>
      <c r="N2715" s="126"/>
      <c r="O2715" s="126"/>
      <c r="P2715" s="126"/>
      <c r="Q2715" s="202"/>
      <c r="R2715" s="20"/>
      <c r="S2715" s="199"/>
      <c r="AE2715" s="143"/>
      <c r="AF2715" s="143"/>
      <c r="AG2715" s="143"/>
      <c r="AH2715" s="143"/>
      <c r="AI2715" s="143"/>
      <c r="AJ2715" s="143"/>
      <c r="AK2715" s="143"/>
      <c r="AL2715" s="143"/>
      <c r="AM2715" s="143"/>
      <c r="AN2715" s="143"/>
    </row>
    <row r="2716" spans="3:40">
      <c r="C2716" s="136"/>
      <c r="D2716" s="136"/>
      <c r="F2716" s="20"/>
      <c r="G2716" s="138"/>
      <c r="H2716" s="138"/>
      <c r="I2716" s="126"/>
      <c r="J2716" s="20"/>
      <c r="K2716" s="20"/>
      <c r="L2716" s="20"/>
      <c r="M2716" s="20"/>
      <c r="N2716" s="126"/>
      <c r="O2716" s="126"/>
      <c r="P2716" s="126"/>
      <c r="Q2716" s="202"/>
      <c r="R2716" s="199"/>
      <c r="S2716" s="199"/>
      <c r="AE2716" s="143"/>
      <c r="AF2716" s="143"/>
      <c r="AG2716" s="143"/>
      <c r="AH2716" s="143"/>
      <c r="AI2716" s="143"/>
      <c r="AJ2716" s="143"/>
      <c r="AK2716" s="143"/>
      <c r="AL2716" s="143"/>
      <c r="AM2716" s="143"/>
      <c r="AN2716" s="143"/>
    </row>
    <row r="2717" spans="3:40">
      <c r="C2717" s="136"/>
      <c r="D2717" s="136"/>
      <c r="F2717" s="20"/>
      <c r="G2717" s="138"/>
      <c r="H2717" s="138"/>
      <c r="I2717" s="126"/>
      <c r="J2717" s="20"/>
      <c r="K2717" s="20"/>
      <c r="L2717" s="20"/>
      <c r="M2717" s="20"/>
      <c r="N2717" s="126"/>
      <c r="O2717" s="126"/>
      <c r="P2717" s="126"/>
      <c r="Q2717" s="202"/>
      <c r="R2717" s="20"/>
      <c r="S2717" s="199"/>
      <c r="AE2717" s="143"/>
      <c r="AF2717" s="143"/>
      <c r="AG2717" s="143"/>
      <c r="AH2717" s="143"/>
      <c r="AI2717" s="143"/>
      <c r="AJ2717" s="143"/>
      <c r="AK2717" s="143"/>
      <c r="AL2717" s="143"/>
      <c r="AM2717" s="143"/>
      <c r="AN2717" s="143"/>
    </row>
    <row r="2718" spans="3:40">
      <c r="C2718" s="136"/>
      <c r="D2718" s="136"/>
      <c r="F2718" s="20"/>
      <c r="G2718" s="138"/>
      <c r="H2718" s="138"/>
      <c r="I2718" s="126"/>
      <c r="J2718" s="20"/>
      <c r="K2718" s="20"/>
      <c r="L2718" s="20"/>
      <c r="M2718" s="20"/>
      <c r="N2718" s="126"/>
      <c r="O2718" s="126"/>
      <c r="P2718" s="126"/>
      <c r="Q2718" s="202"/>
      <c r="R2718" s="199"/>
      <c r="S2718" s="199"/>
      <c r="AE2718" s="143"/>
      <c r="AF2718" s="143"/>
      <c r="AG2718" s="143"/>
      <c r="AH2718" s="143"/>
      <c r="AI2718" s="143"/>
      <c r="AJ2718" s="143"/>
      <c r="AK2718" s="143"/>
      <c r="AL2718" s="143"/>
      <c r="AM2718" s="145"/>
      <c r="AN2718" s="143"/>
    </row>
    <row r="2719" spans="3:40">
      <c r="C2719" s="136"/>
      <c r="D2719" s="136"/>
      <c r="F2719" s="20"/>
      <c r="G2719" s="138"/>
      <c r="H2719" s="138"/>
      <c r="I2719" s="126"/>
      <c r="J2719" s="20"/>
      <c r="K2719" s="20"/>
      <c r="L2719" s="20"/>
      <c r="M2719" s="20"/>
      <c r="N2719" s="126"/>
      <c r="O2719" s="126"/>
      <c r="P2719" s="126"/>
      <c r="Q2719" s="202"/>
      <c r="R2719" s="199"/>
      <c r="S2719" s="199"/>
      <c r="AE2719" s="143"/>
      <c r="AF2719" s="143"/>
      <c r="AG2719" s="143"/>
      <c r="AH2719" s="143"/>
      <c r="AI2719" s="143"/>
      <c r="AJ2719" s="143"/>
      <c r="AK2719" s="143"/>
      <c r="AL2719" s="143"/>
      <c r="AM2719" s="145"/>
      <c r="AN2719" s="143"/>
    </row>
    <row r="2720" spans="3:40">
      <c r="C2720" s="136"/>
      <c r="D2720" s="136"/>
      <c r="F2720" s="20"/>
      <c r="G2720" s="138"/>
      <c r="H2720" s="138"/>
      <c r="I2720" s="126"/>
      <c r="J2720" s="20"/>
      <c r="K2720" s="20"/>
      <c r="L2720" s="20"/>
      <c r="M2720" s="20"/>
      <c r="N2720" s="126"/>
      <c r="O2720" s="126"/>
      <c r="P2720" s="126"/>
      <c r="Q2720" s="202"/>
      <c r="R2720" s="20"/>
      <c r="S2720" s="199"/>
      <c r="AE2720" s="143"/>
      <c r="AF2720" s="143"/>
      <c r="AG2720" s="143"/>
      <c r="AH2720" s="143"/>
      <c r="AI2720" s="143"/>
      <c r="AJ2720" s="143"/>
      <c r="AK2720" s="143"/>
      <c r="AL2720" s="143"/>
      <c r="AM2720" s="143"/>
      <c r="AN2720" s="143"/>
    </row>
    <row r="2721" spans="3:40">
      <c r="C2721" s="136"/>
      <c r="D2721" s="136"/>
      <c r="F2721" s="20"/>
      <c r="G2721" s="138"/>
      <c r="H2721" s="138"/>
      <c r="I2721" s="126"/>
      <c r="J2721" s="20"/>
      <c r="K2721" s="20"/>
      <c r="L2721" s="20"/>
      <c r="M2721" s="20"/>
      <c r="N2721" s="126"/>
      <c r="O2721" s="126"/>
      <c r="P2721" s="126"/>
      <c r="Q2721" s="202"/>
      <c r="R2721" s="199"/>
      <c r="S2721" s="199"/>
      <c r="AE2721" s="143"/>
      <c r="AF2721" s="143"/>
      <c r="AG2721" s="143"/>
      <c r="AH2721" s="143"/>
      <c r="AI2721" s="143"/>
      <c r="AJ2721" s="143"/>
      <c r="AK2721" s="143"/>
      <c r="AL2721" s="143"/>
      <c r="AM2721" s="145"/>
      <c r="AN2721" s="143"/>
    </row>
    <row r="2722" spans="3:40">
      <c r="C2722" s="136"/>
      <c r="D2722" s="136"/>
      <c r="F2722" s="20"/>
      <c r="G2722" s="138"/>
      <c r="H2722" s="138"/>
      <c r="I2722" s="126"/>
      <c r="J2722" s="20"/>
      <c r="K2722" s="20"/>
      <c r="L2722" s="20"/>
      <c r="M2722" s="20"/>
      <c r="N2722" s="126"/>
      <c r="O2722" s="126"/>
      <c r="P2722" s="126"/>
      <c r="Q2722" s="202"/>
      <c r="R2722" s="199"/>
      <c r="S2722" s="199"/>
      <c r="AE2722" s="143"/>
      <c r="AF2722" s="143"/>
      <c r="AG2722" s="143"/>
      <c r="AH2722" s="143"/>
      <c r="AI2722" s="143"/>
      <c r="AJ2722" s="143"/>
      <c r="AK2722" s="143"/>
      <c r="AL2722" s="143"/>
      <c r="AM2722" s="143"/>
      <c r="AN2722" s="143"/>
    </row>
    <row r="2723" spans="3:40">
      <c r="C2723" s="136"/>
      <c r="D2723" s="136"/>
      <c r="F2723" s="20"/>
      <c r="G2723" s="138"/>
      <c r="H2723" s="138"/>
      <c r="I2723" s="126"/>
      <c r="J2723" s="20"/>
      <c r="K2723" s="20"/>
      <c r="L2723" s="20"/>
      <c r="M2723" s="20"/>
      <c r="N2723" s="126"/>
      <c r="O2723" s="126"/>
      <c r="P2723" s="126"/>
      <c r="Q2723" s="202"/>
      <c r="R2723" s="199"/>
      <c r="S2723" s="199"/>
      <c r="AE2723" s="143"/>
      <c r="AF2723" s="143"/>
      <c r="AG2723" s="143"/>
      <c r="AH2723" s="143"/>
      <c r="AI2723" s="143"/>
      <c r="AJ2723" s="143"/>
      <c r="AK2723" s="143"/>
      <c r="AL2723" s="143"/>
      <c r="AM2723" s="143"/>
      <c r="AN2723" s="143"/>
    </row>
    <row r="2724" spans="3:40">
      <c r="C2724" s="136"/>
      <c r="D2724" s="136"/>
      <c r="F2724" s="20"/>
      <c r="G2724" s="138"/>
      <c r="H2724" s="138"/>
      <c r="I2724" s="126"/>
      <c r="J2724" s="20"/>
      <c r="K2724" s="20"/>
      <c r="L2724" s="20"/>
      <c r="M2724" s="20"/>
      <c r="N2724" s="126"/>
      <c r="O2724" s="126"/>
      <c r="P2724" s="126"/>
      <c r="Q2724" s="202"/>
      <c r="R2724" s="199"/>
      <c r="S2724" s="199"/>
      <c r="AE2724" s="143"/>
      <c r="AF2724" s="143"/>
      <c r="AG2724" s="143"/>
      <c r="AH2724" s="143"/>
      <c r="AI2724" s="143"/>
      <c r="AJ2724" s="143"/>
      <c r="AK2724" s="143"/>
      <c r="AL2724" s="143"/>
      <c r="AM2724" s="143"/>
      <c r="AN2724" s="143"/>
    </row>
    <row r="2725" spans="3:40">
      <c r="C2725" s="136"/>
      <c r="D2725" s="136"/>
      <c r="F2725" s="20"/>
      <c r="G2725" s="138"/>
      <c r="H2725" s="138"/>
      <c r="I2725" s="126"/>
      <c r="J2725" s="20"/>
      <c r="K2725" s="20"/>
      <c r="L2725" s="20"/>
      <c r="M2725" s="20"/>
      <c r="N2725" s="126"/>
      <c r="O2725" s="126"/>
      <c r="P2725" s="126"/>
      <c r="Q2725" s="202"/>
      <c r="R2725" s="199"/>
      <c r="S2725" s="199"/>
      <c r="AE2725" s="143"/>
      <c r="AF2725" s="143"/>
      <c r="AG2725" s="143"/>
      <c r="AH2725" s="143"/>
      <c r="AI2725" s="143"/>
      <c r="AJ2725" s="143"/>
      <c r="AK2725" s="143"/>
      <c r="AL2725" s="143"/>
      <c r="AM2725" s="143"/>
      <c r="AN2725" s="143"/>
    </row>
    <row r="2726" spans="3:40">
      <c r="C2726" s="136"/>
      <c r="D2726" s="136"/>
      <c r="F2726" s="20"/>
      <c r="G2726" s="138"/>
      <c r="H2726" s="138"/>
      <c r="I2726" s="126"/>
      <c r="J2726" s="20"/>
      <c r="K2726" s="20"/>
      <c r="L2726" s="20"/>
      <c r="M2726" s="20"/>
      <c r="N2726" s="126"/>
      <c r="O2726" s="126"/>
      <c r="P2726" s="126"/>
      <c r="Q2726" s="202"/>
      <c r="R2726" s="199"/>
      <c r="S2726" s="199"/>
      <c r="AE2726" s="143"/>
      <c r="AF2726" s="143"/>
      <c r="AG2726" s="143"/>
      <c r="AH2726" s="143"/>
      <c r="AI2726" s="143"/>
      <c r="AJ2726" s="143"/>
      <c r="AK2726" s="143"/>
      <c r="AL2726" s="143"/>
      <c r="AM2726" s="143"/>
      <c r="AN2726" s="143"/>
    </row>
    <row r="2727" spans="3:40">
      <c r="C2727" s="136"/>
      <c r="D2727" s="136"/>
      <c r="F2727" s="20"/>
      <c r="G2727" s="138"/>
      <c r="H2727" s="138"/>
      <c r="I2727" s="126"/>
      <c r="J2727" s="20"/>
      <c r="K2727" s="20"/>
      <c r="L2727" s="20"/>
      <c r="M2727" s="20"/>
      <c r="N2727" s="126"/>
      <c r="O2727" s="126"/>
      <c r="P2727" s="126"/>
      <c r="Q2727" s="202"/>
      <c r="R2727" s="199"/>
      <c r="S2727" s="199"/>
      <c r="AE2727" s="143"/>
      <c r="AF2727" s="143"/>
      <c r="AG2727" s="143"/>
      <c r="AH2727" s="143"/>
      <c r="AI2727" s="143"/>
      <c r="AJ2727" s="143"/>
      <c r="AK2727" s="143"/>
      <c r="AL2727" s="143"/>
      <c r="AM2727" s="143"/>
      <c r="AN2727" s="143"/>
    </row>
    <row r="2728" spans="3:40">
      <c r="C2728" s="136"/>
      <c r="D2728" s="136"/>
      <c r="F2728" s="20"/>
      <c r="G2728" s="138"/>
      <c r="H2728" s="138"/>
      <c r="I2728" s="126"/>
      <c r="J2728" s="20"/>
      <c r="K2728" s="20"/>
      <c r="L2728" s="20"/>
      <c r="M2728" s="20"/>
      <c r="N2728" s="126"/>
      <c r="O2728" s="126"/>
      <c r="P2728" s="126"/>
      <c r="Q2728" s="202"/>
      <c r="R2728" s="199"/>
      <c r="S2728" s="199"/>
      <c r="AE2728" s="143"/>
      <c r="AF2728" s="143"/>
      <c r="AG2728" s="143"/>
      <c r="AH2728" s="143"/>
      <c r="AI2728" s="143"/>
      <c r="AJ2728" s="143"/>
      <c r="AK2728" s="143"/>
      <c r="AL2728" s="143"/>
      <c r="AM2728" s="143"/>
      <c r="AN2728" s="143"/>
    </row>
    <row r="2729" spans="3:40">
      <c r="C2729" s="136"/>
      <c r="D2729" s="136"/>
      <c r="F2729" s="19"/>
      <c r="G2729" s="138"/>
      <c r="H2729" s="138"/>
      <c r="I2729" s="126"/>
      <c r="J2729" s="20"/>
      <c r="K2729" s="20"/>
      <c r="L2729" s="20"/>
      <c r="M2729" s="20"/>
      <c r="N2729" s="126"/>
      <c r="O2729" s="126"/>
      <c r="P2729" s="126"/>
      <c r="Q2729" s="198"/>
      <c r="R2729" s="199"/>
      <c r="S2729" s="199"/>
      <c r="AE2729" s="20"/>
      <c r="AF2729" s="20"/>
      <c r="AG2729" s="20"/>
      <c r="AH2729" s="20"/>
      <c r="AI2729" s="20"/>
      <c r="AJ2729" s="20"/>
      <c r="AK2729" s="218"/>
      <c r="AL2729" s="20"/>
      <c r="AM2729" s="20"/>
      <c r="AN2729" s="219"/>
    </row>
    <row r="2730" spans="3:40">
      <c r="C2730" s="136"/>
      <c r="D2730" s="136"/>
      <c r="F2730" s="19"/>
      <c r="G2730" s="138"/>
      <c r="H2730" s="138"/>
      <c r="I2730" s="126"/>
      <c r="J2730" s="20"/>
      <c r="K2730" s="20"/>
      <c r="L2730" s="20"/>
      <c r="M2730" s="20"/>
      <c r="N2730" s="126"/>
      <c r="O2730" s="126"/>
      <c r="P2730" s="126"/>
      <c r="Q2730" s="198"/>
      <c r="R2730" s="199"/>
      <c r="S2730" s="199"/>
      <c r="AE2730" s="20"/>
      <c r="AF2730" s="20"/>
      <c r="AG2730" s="20"/>
      <c r="AH2730" s="20"/>
      <c r="AI2730" s="20"/>
      <c r="AJ2730" s="20"/>
      <c r="AK2730" s="218"/>
      <c r="AL2730" s="20"/>
      <c r="AM2730" s="20"/>
      <c r="AN2730" s="219"/>
    </row>
    <row r="2731" spans="3:40">
      <c r="C2731" s="136"/>
      <c r="D2731" s="136"/>
      <c r="F2731" s="19"/>
      <c r="G2731" s="138"/>
      <c r="H2731" s="138"/>
      <c r="I2731" s="126"/>
      <c r="J2731" s="20"/>
      <c r="K2731" s="20"/>
      <c r="L2731" s="20"/>
      <c r="M2731" s="20"/>
      <c r="N2731" s="126"/>
      <c r="O2731" s="126"/>
      <c r="P2731" s="126"/>
      <c r="Q2731" s="198"/>
      <c r="R2731" s="199"/>
      <c r="S2731" s="199"/>
      <c r="AE2731" s="20"/>
      <c r="AF2731" s="20"/>
      <c r="AG2731" s="20"/>
      <c r="AH2731" s="20"/>
      <c r="AI2731" s="20"/>
      <c r="AJ2731" s="20"/>
      <c r="AK2731" s="218"/>
      <c r="AL2731" s="20"/>
      <c r="AM2731" s="20"/>
      <c r="AN2731" s="219"/>
    </row>
    <row r="2732" spans="3:40">
      <c r="C2732" s="136"/>
      <c r="D2732" s="136"/>
      <c r="F2732" s="19"/>
      <c r="G2732" s="138"/>
      <c r="H2732" s="138"/>
      <c r="I2732" s="126"/>
      <c r="J2732" s="20"/>
      <c r="K2732" s="20"/>
      <c r="L2732" s="20"/>
      <c r="M2732" s="20"/>
      <c r="N2732" s="126"/>
      <c r="O2732" s="126"/>
      <c r="P2732" s="126"/>
      <c r="Q2732" s="198"/>
      <c r="R2732" s="199"/>
      <c r="S2732" s="199"/>
      <c r="AE2732" s="20"/>
      <c r="AF2732" s="20"/>
      <c r="AG2732" s="20"/>
      <c r="AH2732" s="20"/>
      <c r="AI2732" s="20"/>
      <c r="AJ2732" s="20"/>
      <c r="AK2732" s="218"/>
      <c r="AL2732" s="20"/>
      <c r="AM2732" s="216"/>
      <c r="AN2732" s="20"/>
    </row>
    <row r="2733" spans="3:40">
      <c r="C2733" s="136"/>
      <c r="D2733" s="136"/>
      <c r="F2733" s="19"/>
      <c r="G2733" s="138"/>
      <c r="H2733" s="138"/>
      <c r="I2733" s="126"/>
      <c r="J2733" s="20"/>
      <c r="K2733" s="20"/>
      <c r="L2733" s="20"/>
      <c r="M2733" s="20"/>
      <c r="N2733" s="126"/>
      <c r="O2733" s="126"/>
      <c r="P2733" s="126"/>
      <c r="Q2733" s="198"/>
      <c r="R2733" s="199"/>
      <c r="S2733" s="199"/>
      <c r="AE2733" s="20"/>
      <c r="AF2733" s="20"/>
      <c r="AG2733" s="20"/>
      <c r="AH2733" s="20"/>
      <c r="AI2733" s="20"/>
      <c r="AJ2733" s="20"/>
      <c r="AK2733" s="218"/>
      <c r="AL2733" s="20"/>
      <c r="AM2733" s="20"/>
      <c r="AN2733" s="219"/>
    </row>
    <row r="2734" spans="3:40">
      <c r="C2734" s="136"/>
      <c r="D2734" s="136"/>
      <c r="F2734" s="19"/>
      <c r="G2734" s="138"/>
      <c r="H2734" s="138"/>
      <c r="I2734" s="126"/>
      <c r="J2734" s="20"/>
      <c r="K2734" s="20"/>
      <c r="L2734" s="20"/>
      <c r="M2734" s="20"/>
      <c r="N2734" s="126"/>
      <c r="O2734" s="126"/>
      <c r="P2734" s="126"/>
      <c r="Q2734" s="198"/>
      <c r="R2734" s="199"/>
      <c r="S2734" s="199"/>
      <c r="AE2734" s="20"/>
      <c r="AF2734" s="20"/>
      <c r="AG2734" s="20"/>
      <c r="AH2734" s="20"/>
      <c r="AI2734" s="20"/>
      <c r="AJ2734" s="20"/>
      <c r="AK2734" s="218"/>
      <c r="AL2734" s="20"/>
      <c r="AM2734" s="216"/>
      <c r="AN2734" s="20"/>
    </row>
    <row r="2735" spans="3:40">
      <c r="C2735" s="136"/>
      <c r="D2735" s="136"/>
      <c r="F2735" s="19"/>
      <c r="G2735" s="138"/>
      <c r="H2735" s="138"/>
      <c r="I2735" s="126"/>
      <c r="J2735" s="20"/>
      <c r="K2735" s="20"/>
      <c r="L2735" s="20"/>
      <c r="M2735" s="20"/>
      <c r="N2735" s="126"/>
      <c r="O2735" s="126"/>
      <c r="P2735" s="126"/>
      <c r="Q2735" s="198"/>
      <c r="R2735" s="199"/>
      <c r="S2735" s="199"/>
      <c r="AE2735" s="20"/>
      <c r="AF2735" s="20"/>
      <c r="AG2735" s="20"/>
      <c r="AH2735" s="20"/>
      <c r="AI2735" s="20"/>
      <c r="AJ2735" s="20"/>
      <c r="AK2735" s="218"/>
      <c r="AL2735" s="20"/>
      <c r="AM2735" s="20"/>
      <c r="AN2735" s="219"/>
    </row>
    <row r="2736" spans="3:40">
      <c r="C2736" s="136"/>
      <c r="D2736" s="136"/>
      <c r="F2736" s="19"/>
      <c r="G2736" s="138"/>
      <c r="H2736" s="138"/>
      <c r="I2736" s="126"/>
      <c r="J2736" s="20"/>
      <c r="K2736" s="20"/>
      <c r="L2736" s="20"/>
      <c r="M2736" s="20"/>
      <c r="N2736" s="126"/>
      <c r="O2736" s="126"/>
      <c r="P2736" s="126"/>
      <c r="Q2736" s="198"/>
      <c r="R2736" s="199"/>
      <c r="S2736" s="199"/>
      <c r="AE2736" s="20"/>
      <c r="AF2736" s="20"/>
      <c r="AG2736" s="20"/>
      <c r="AH2736" s="20"/>
      <c r="AI2736" s="20"/>
      <c r="AJ2736" s="20"/>
      <c r="AK2736" s="218"/>
      <c r="AL2736" s="20"/>
      <c r="AM2736" s="216"/>
      <c r="AN2736" s="20"/>
    </row>
    <row r="2737" spans="3:40">
      <c r="C2737" s="136"/>
      <c r="D2737" s="136"/>
      <c r="F2737" s="19"/>
      <c r="G2737" s="138"/>
      <c r="H2737" s="138"/>
      <c r="I2737" s="126"/>
      <c r="J2737" s="20"/>
      <c r="K2737" s="20"/>
      <c r="L2737" s="20"/>
      <c r="M2737" s="20"/>
      <c r="N2737" s="126"/>
      <c r="O2737" s="126"/>
      <c r="P2737" s="126"/>
      <c r="Q2737" s="198"/>
      <c r="R2737" s="199"/>
      <c r="S2737" s="199"/>
      <c r="AE2737" s="20"/>
      <c r="AF2737" s="20"/>
      <c r="AG2737" s="20"/>
      <c r="AH2737" s="20"/>
      <c r="AI2737" s="20"/>
      <c r="AJ2737" s="20"/>
      <c r="AK2737" s="218"/>
      <c r="AL2737" s="20"/>
      <c r="AM2737" s="216"/>
      <c r="AN2737" s="20"/>
    </row>
    <row r="2738" spans="3:40">
      <c r="C2738" s="136"/>
      <c r="D2738" s="136"/>
      <c r="F2738" s="19"/>
      <c r="G2738" s="138"/>
      <c r="H2738" s="138"/>
      <c r="I2738" s="126"/>
      <c r="J2738" s="20"/>
      <c r="K2738" s="20"/>
      <c r="L2738" s="20"/>
      <c r="M2738" s="20"/>
      <c r="N2738" s="126"/>
      <c r="O2738" s="126"/>
      <c r="P2738" s="126"/>
      <c r="Q2738" s="198"/>
      <c r="R2738" s="199"/>
      <c r="S2738" s="199"/>
      <c r="AE2738" s="20"/>
      <c r="AF2738" s="20"/>
      <c r="AG2738" s="20"/>
      <c r="AH2738" s="20"/>
      <c r="AI2738" s="20"/>
      <c r="AJ2738" s="20"/>
      <c r="AK2738" s="218"/>
      <c r="AL2738" s="20"/>
      <c r="AM2738" s="20"/>
      <c r="AN2738" s="219"/>
    </row>
    <row r="2739" spans="3:40">
      <c r="C2739" s="136"/>
      <c r="D2739" s="136"/>
      <c r="F2739" s="19"/>
      <c r="G2739" s="138"/>
      <c r="H2739" s="138"/>
      <c r="I2739" s="126"/>
      <c r="J2739" s="20"/>
      <c r="K2739" s="20"/>
      <c r="L2739" s="20"/>
      <c r="M2739" s="20"/>
      <c r="N2739" s="126"/>
      <c r="O2739" s="126"/>
      <c r="P2739" s="126"/>
      <c r="Q2739" s="198"/>
      <c r="R2739" s="199"/>
      <c r="S2739" s="199"/>
      <c r="AE2739" s="20"/>
      <c r="AF2739" s="20"/>
      <c r="AG2739" s="20"/>
      <c r="AH2739" s="20"/>
      <c r="AI2739" s="20"/>
      <c r="AJ2739" s="20"/>
      <c r="AK2739" s="218"/>
      <c r="AL2739" s="20"/>
      <c r="AM2739" s="20"/>
      <c r="AN2739" s="219"/>
    </row>
    <row r="2740" spans="3:40">
      <c r="C2740" s="136"/>
      <c r="D2740" s="136"/>
      <c r="F2740" s="19"/>
      <c r="G2740" s="138"/>
      <c r="H2740" s="138"/>
      <c r="I2740" s="126"/>
      <c r="J2740" s="20"/>
      <c r="K2740" s="20"/>
      <c r="L2740" s="20"/>
      <c r="M2740" s="20"/>
      <c r="N2740" s="126"/>
      <c r="O2740" s="126"/>
      <c r="P2740" s="126"/>
      <c r="Q2740" s="198"/>
      <c r="R2740" s="199"/>
      <c r="S2740" s="199"/>
      <c r="AE2740" s="20"/>
      <c r="AF2740" s="20"/>
      <c r="AG2740" s="20"/>
      <c r="AH2740" s="20"/>
      <c r="AI2740" s="20"/>
      <c r="AJ2740" s="20"/>
      <c r="AK2740" s="218"/>
      <c r="AL2740" s="20"/>
      <c r="AM2740" s="20"/>
      <c r="AN2740" s="219"/>
    </row>
    <row r="2741" spans="3:40">
      <c r="C2741" s="136"/>
      <c r="D2741" s="136"/>
      <c r="F2741" s="19"/>
      <c r="G2741" s="138"/>
      <c r="H2741" s="138"/>
      <c r="I2741" s="126"/>
      <c r="J2741" s="20"/>
      <c r="K2741" s="20"/>
      <c r="L2741" s="20"/>
      <c r="M2741" s="20"/>
      <c r="N2741" s="126"/>
      <c r="O2741" s="126"/>
      <c r="P2741" s="126"/>
      <c r="Q2741" s="198"/>
      <c r="R2741" s="199"/>
      <c r="S2741" s="199"/>
      <c r="AE2741" s="20"/>
      <c r="AF2741" s="20"/>
      <c r="AG2741" s="20"/>
      <c r="AH2741" s="20"/>
      <c r="AI2741" s="20"/>
      <c r="AJ2741" s="20"/>
      <c r="AK2741" s="218"/>
      <c r="AL2741" s="20"/>
      <c r="AM2741" s="216"/>
      <c r="AN2741" s="20"/>
    </row>
    <row r="2742" spans="3:40">
      <c r="C2742" s="136"/>
      <c r="D2742" s="136"/>
      <c r="F2742" s="19"/>
      <c r="G2742" s="138"/>
      <c r="H2742" s="138"/>
      <c r="I2742" s="126"/>
      <c r="J2742" s="20"/>
      <c r="K2742" s="20"/>
      <c r="L2742" s="20"/>
      <c r="M2742" s="20"/>
      <c r="N2742" s="126"/>
      <c r="O2742" s="126"/>
      <c r="P2742" s="126"/>
      <c r="Q2742" s="198"/>
      <c r="R2742" s="199"/>
      <c r="S2742" s="199"/>
      <c r="AE2742" s="20"/>
      <c r="AF2742" s="20"/>
      <c r="AG2742" s="20"/>
      <c r="AH2742" s="20"/>
      <c r="AI2742" s="20"/>
      <c r="AJ2742" s="20"/>
      <c r="AK2742" s="218"/>
      <c r="AL2742" s="20"/>
      <c r="AM2742" s="216"/>
      <c r="AN2742" s="20"/>
    </row>
    <row r="2743" spans="3:40">
      <c r="C2743" s="136"/>
      <c r="D2743" s="136"/>
      <c r="F2743" s="19"/>
      <c r="G2743" s="138"/>
      <c r="H2743" s="138"/>
      <c r="I2743" s="126"/>
      <c r="J2743" s="20"/>
      <c r="K2743" s="20"/>
      <c r="L2743" s="20"/>
      <c r="M2743" s="20"/>
      <c r="N2743" s="126"/>
      <c r="O2743" s="126"/>
      <c r="P2743" s="126"/>
      <c r="Q2743" s="198"/>
      <c r="R2743" s="199"/>
      <c r="S2743" s="199"/>
      <c r="AE2743" s="20"/>
      <c r="AF2743" s="20"/>
      <c r="AG2743" s="20"/>
      <c r="AH2743" s="20"/>
      <c r="AI2743" s="20"/>
      <c r="AJ2743" s="20"/>
      <c r="AK2743" s="218"/>
      <c r="AL2743" s="20"/>
      <c r="AM2743" s="20"/>
      <c r="AN2743" s="20"/>
    </row>
    <row r="2744" spans="3:40">
      <c r="C2744" s="136"/>
      <c r="D2744" s="136"/>
      <c r="F2744" s="19"/>
      <c r="G2744" s="138"/>
      <c r="H2744" s="138"/>
      <c r="I2744" s="126"/>
      <c r="J2744" s="20"/>
      <c r="K2744" s="20"/>
      <c r="L2744" s="20"/>
      <c r="M2744" s="20"/>
      <c r="N2744" s="126"/>
      <c r="O2744" s="126"/>
      <c r="P2744" s="126"/>
      <c r="Q2744" s="198"/>
      <c r="R2744" s="199"/>
      <c r="S2744" s="199"/>
      <c r="AE2744" s="20"/>
      <c r="AF2744" s="20"/>
      <c r="AG2744" s="20"/>
      <c r="AH2744" s="20"/>
      <c r="AI2744" s="223"/>
      <c r="AJ2744" s="20"/>
      <c r="AK2744" s="218"/>
      <c r="AL2744" s="20"/>
      <c r="AM2744" s="20"/>
      <c r="AN2744" s="20"/>
    </row>
    <row r="2745" spans="3:40">
      <c r="C2745" s="136"/>
      <c r="D2745" s="136"/>
      <c r="F2745" s="19"/>
      <c r="G2745" s="138"/>
      <c r="H2745" s="138"/>
      <c r="I2745" s="126"/>
      <c r="J2745" s="20"/>
      <c r="K2745" s="20"/>
      <c r="L2745" s="20"/>
      <c r="M2745" s="20"/>
      <c r="N2745" s="126"/>
      <c r="O2745" s="126"/>
      <c r="P2745" s="126"/>
      <c r="Q2745" s="198"/>
      <c r="R2745" s="199"/>
      <c r="S2745" s="199"/>
      <c r="AE2745" s="20"/>
      <c r="AF2745" s="20"/>
      <c r="AG2745" s="20"/>
      <c r="AH2745" s="20"/>
      <c r="AI2745" s="20"/>
      <c r="AJ2745" s="20"/>
      <c r="AK2745" s="218"/>
      <c r="AL2745" s="20"/>
      <c r="AM2745" s="216"/>
      <c r="AN2745" s="20"/>
    </row>
    <row r="2746" spans="3:40">
      <c r="C2746" s="136"/>
      <c r="D2746" s="136"/>
      <c r="F2746" s="19"/>
      <c r="G2746" s="138"/>
      <c r="H2746" s="138"/>
      <c r="I2746" s="126"/>
      <c r="J2746" s="20"/>
      <c r="K2746" s="20"/>
      <c r="L2746" s="20"/>
      <c r="M2746" s="20"/>
      <c r="N2746" s="126"/>
      <c r="O2746" s="126"/>
      <c r="P2746" s="126"/>
      <c r="Q2746" s="198"/>
      <c r="R2746" s="199"/>
      <c r="S2746" s="199"/>
      <c r="AE2746" s="20"/>
      <c r="AF2746" s="20"/>
      <c r="AG2746" s="20"/>
      <c r="AH2746" s="20"/>
      <c r="AI2746" s="20"/>
      <c r="AJ2746" s="20"/>
      <c r="AK2746" s="218"/>
      <c r="AL2746" s="20"/>
      <c r="AM2746" s="216"/>
      <c r="AN2746" s="20"/>
    </row>
    <row r="2747" spans="3:40">
      <c r="C2747" s="136"/>
      <c r="D2747" s="136"/>
      <c r="F2747" s="19"/>
      <c r="G2747" s="138"/>
      <c r="H2747" s="138"/>
      <c r="I2747" s="126"/>
      <c r="J2747" s="20"/>
      <c r="K2747" s="20"/>
      <c r="L2747" s="20"/>
      <c r="M2747" s="20"/>
      <c r="N2747" s="126"/>
      <c r="O2747" s="126"/>
      <c r="P2747" s="126"/>
      <c r="Q2747" s="198"/>
      <c r="R2747" s="199"/>
      <c r="S2747" s="199"/>
      <c r="AE2747" s="20"/>
      <c r="AF2747" s="20"/>
      <c r="AG2747" s="20"/>
      <c r="AH2747" s="20"/>
      <c r="AI2747" s="20"/>
      <c r="AJ2747" s="20"/>
      <c r="AK2747" s="218"/>
      <c r="AL2747" s="20"/>
      <c r="AM2747" s="20"/>
      <c r="AN2747" s="20"/>
    </row>
    <row r="2748" spans="3:40">
      <c r="C2748" s="136"/>
      <c r="D2748" s="136"/>
      <c r="F2748" s="19"/>
      <c r="G2748" s="138"/>
      <c r="H2748" s="138"/>
      <c r="I2748" s="126"/>
      <c r="J2748" s="20"/>
      <c r="K2748" s="20"/>
      <c r="L2748" s="20"/>
      <c r="M2748" s="20"/>
      <c r="N2748" s="126"/>
      <c r="O2748" s="126"/>
      <c r="P2748" s="126"/>
      <c r="Q2748" s="198"/>
      <c r="R2748" s="199"/>
      <c r="S2748" s="199"/>
      <c r="AE2748" s="20"/>
      <c r="AF2748" s="20"/>
      <c r="AG2748" s="20"/>
      <c r="AH2748" s="20"/>
      <c r="AI2748" s="20"/>
      <c r="AJ2748" s="20"/>
      <c r="AK2748" s="218"/>
      <c r="AL2748" s="20"/>
      <c r="AM2748" s="216"/>
      <c r="AN2748" s="20"/>
    </row>
    <row r="2749" spans="3:40">
      <c r="C2749" s="136"/>
      <c r="D2749" s="136"/>
      <c r="F2749" s="19"/>
      <c r="G2749" s="138"/>
      <c r="H2749" s="138"/>
      <c r="I2749" s="126"/>
      <c r="J2749" s="20"/>
      <c r="K2749" s="20"/>
      <c r="L2749" s="20"/>
      <c r="M2749" s="20"/>
      <c r="N2749" s="126"/>
      <c r="O2749" s="126"/>
      <c r="P2749" s="126"/>
      <c r="Q2749" s="198"/>
      <c r="R2749" s="199"/>
      <c r="S2749" s="199"/>
      <c r="AE2749" s="20"/>
      <c r="AF2749" s="20"/>
      <c r="AG2749" s="20"/>
      <c r="AH2749" s="20"/>
      <c r="AI2749" s="20"/>
      <c r="AJ2749" s="20"/>
      <c r="AK2749" s="218"/>
      <c r="AL2749" s="20"/>
      <c r="AM2749" s="20"/>
      <c r="AN2749" s="20"/>
    </row>
    <row r="2750" spans="3:40">
      <c r="C2750" s="136"/>
      <c r="D2750" s="136"/>
      <c r="F2750" s="19"/>
      <c r="G2750" s="138"/>
      <c r="H2750" s="138"/>
      <c r="I2750" s="126"/>
      <c r="J2750" s="20"/>
      <c r="K2750" s="20"/>
      <c r="L2750" s="20"/>
      <c r="M2750" s="20"/>
      <c r="N2750" s="126"/>
      <c r="O2750" s="126"/>
      <c r="P2750" s="126"/>
      <c r="Q2750" s="198"/>
      <c r="R2750" s="199"/>
      <c r="S2750" s="199"/>
      <c r="AE2750" s="20"/>
      <c r="AF2750" s="20"/>
      <c r="AG2750" s="20"/>
      <c r="AH2750" s="20"/>
      <c r="AI2750" s="20"/>
      <c r="AJ2750" s="20"/>
      <c r="AK2750" s="218"/>
      <c r="AL2750" s="20"/>
      <c r="AM2750" s="20"/>
      <c r="AN2750" s="219"/>
    </row>
    <row r="2751" spans="3:40">
      <c r="C2751" s="136"/>
      <c r="D2751" s="136"/>
      <c r="F2751" s="19"/>
      <c r="G2751" s="138"/>
      <c r="H2751" s="138"/>
      <c r="I2751" s="126"/>
      <c r="J2751" s="20"/>
      <c r="K2751" s="20"/>
      <c r="L2751" s="20"/>
      <c r="M2751" s="20"/>
      <c r="N2751" s="126"/>
      <c r="O2751" s="126"/>
      <c r="P2751" s="126"/>
      <c r="Q2751" s="198"/>
      <c r="R2751" s="199"/>
      <c r="S2751" s="199"/>
      <c r="AE2751" s="20"/>
      <c r="AF2751" s="20"/>
      <c r="AG2751" s="20"/>
      <c r="AH2751" s="20"/>
      <c r="AI2751" s="20"/>
      <c r="AJ2751" s="20"/>
      <c r="AK2751" s="218"/>
      <c r="AL2751" s="20"/>
      <c r="AM2751" s="216"/>
      <c r="AN2751" s="20"/>
    </row>
    <row r="2752" spans="3:40">
      <c r="C2752" s="136"/>
      <c r="D2752" s="136"/>
      <c r="F2752" s="19"/>
      <c r="G2752" s="138"/>
      <c r="H2752" s="138"/>
      <c r="I2752" s="126"/>
      <c r="J2752" s="20"/>
      <c r="K2752" s="20"/>
      <c r="L2752" s="20"/>
      <c r="M2752" s="20"/>
      <c r="N2752" s="126"/>
      <c r="O2752" s="126"/>
      <c r="P2752" s="126"/>
      <c r="Q2752" s="198"/>
      <c r="R2752" s="199"/>
      <c r="S2752" s="199"/>
      <c r="AE2752" s="20"/>
      <c r="AF2752" s="20"/>
      <c r="AG2752" s="20"/>
      <c r="AH2752" s="20"/>
      <c r="AI2752" s="20"/>
      <c r="AJ2752" s="20"/>
      <c r="AK2752" s="218"/>
      <c r="AL2752" s="20"/>
      <c r="AM2752" s="216"/>
      <c r="AN2752" s="20"/>
    </row>
    <row r="2753" spans="3:40">
      <c r="C2753" s="136"/>
      <c r="D2753" s="136"/>
      <c r="F2753" s="19"/>
      <c r="G2753" s="138"/>
      <c r="H2753" s="138"/>
      <c r="I2753" s="126"/>
      <c r="J2753" s="20"/>
      <c r="K2753" s="20"/>
      <c r="L2753" s="20"/>
      <c r="M2753" s="20"/>
      <c r="N2753" s="126"/>
      <c r="O2753" s="126"/>
      <c r="P2753" s="126"/>
      <c r="Q2753" s="198"/>
      <c r="R2753" s="199"/>
      <c r="S2753" s="199"/>
      <c r="AE2753" s="20"/>
      <c r="AF2753" s="20"/>
      <c r="AG2753" s="20"/>
      <c r="AH2753" s="20"/>
      <c r="AI2753" s="20"/>
      <c r="AJ2753" s="20"/>
      <c r="AK2753" s="218"/>
      <c r="AL2753" s="20"/>
      <c r="AM2753" s="216"/>
      <c r="AN2753" s="20"/>
    </row>
    <row r="2754" spans="3:40">
      <c r="C2754" s="136"/>
      <c r="D2754" s="136"/>
      <c r="F2754" s="19"/>
      <c r="G2754" s="138"/>
      <c r="H2754" s="138"/>
      <c r="I2754" s="126"/>
      <c r="J2754" s="20"/>
      <c r="K2754" s="20"/>
      <c r="L2754" s="20"/>
      <c r="M2754" s="20"/>
      <c r="N2754" s="126"/>
      <c r="O2754" s="126"/>
      <c r="P2754" s="126"/>
      <c r="Q2754" s="198"/>
      <c r="R2754" s="199"/>
      <c r="S2754" s="199"/>
      <c r="AE2754" s="20"/>
      <c r="AF2754" s="20"/>
      <c r="AG2754" s="20"/>
      <c r="AH2754" s="20"/>
      <c r="AI2754" s="20"/>
      <c r="AJ2754" s="20"/>
      <c r="AK2754" s="218"/>
      <c r="AL2754" s="20"/>
      <c r="AM2754" s="216"/>
      <c r="AN2754" s="20"/>
    </row>
    <row r="2755" spans="3:40">
      <c r="C2755" s="136"/>
      <c r="D2755" s="136"/>
      <c r="F2755" s="19"/>
      <c r="G2755" s="138"/>
      <c r="H2755" s="138"/>
      <c r="I2755" s="126"/>
      <c r="J2755" s="20"/>
      <c r="K2755" s="20"/>
      <c r="L2755" s="20"/>
      <c r="M2755" s="20"/>
      <c r="N2755" s="126"/>
      <c r="O2755" s="126"/>
      <c r="P2755" s="126"/>
      <c r="Q2755" s="198"/>
      <c r="R2755" s="199"/>
      <c r="S2755" s="199"/>
      <c r="AE2755" s="20"/>
      <c r="AF2755" s="20"/>
      <c r="AG2755" s="20"/>
      <c r="AH2755" s="20"/>
      <c r="AI2755" s="20"/>
      <c r="AJ2755" s="20"/>
      <c r="AK2755" s="218"/>
      <c r="AL2755" s="20"/>
      <c r="AM2755" s="216"/>
      <c r="AN2755" s="20"/>
    </row>
    <row r="2756" spans="3:40">
      <c r="C2756" s="136"/>
      <c r="D2756" s="136"/>
      <c r="F2756" s="19"/>
      <c r="G2756" s="138"/>
      <c r="H2756" s="138"/>
      <c r="I2756" s="126"/>
      <c r="J2756" s="20"/>
      <c r="K2756" s="20"/>
      <c r="L2756" s="20"/>
      <c r="M2756" s="20"/>
      <c r="N2756" s="126"/>
      <c r="O2756" s="126"/>
      <c r="P2756" s="126"/>
      <c r="Q2756" s="198"/>
      <c r="R2756" s="199"/>
      <c r="S2756" s="199"/>
      <c r="AE2756" s="20"/>
      <c r="AF2756" s="20"/>
      <c r="AG2756" s="20"/>
      <c r="AH2756" s="20"/>
      <c r="AI2756" s="20"/>
      <c r="AJ2756" s="20"/>
      <c r="AK2756" s="218"/>
      <c r="AL2756" s="20"/>
      <c r="AM2756" s="20"/>
      <c r="AN2756" s="219"/>
    </row>
    <row r="2757" spans="3:40">
      <c r="C2757" s="136"/>
      <c r="D2757" s="136"/>
      <c r="F2757" s="19"/>
      <c r="G2757" s="138"/>
      <c r="H2757" s="138"/>
      <c r="I2757" s="126"/>
      <c r="J2757" s="20"/>
      <c r="K2757" s="20"/>
      <c r="L2757" s="20"/>
      <c r="M2757" s="20"/>
      <c r="N2757" s="126"/>
      <c r="O2757" s="126"/>
      <c r="P2757" s="126"/>
      <c r="Q2757" s="198"/>
      <c r="R2757" s="199"/>
      <c r="S2757" s="199"/>
      <c r="AE2757" s="20"/>
      <c r="AF2757" s="20"/>
      <c r="AG2757" s="20"/>
      <c r="AH2757" s="20"/>
      <c r="AI2757" s="20"/>
      <c r="AJ2757" s="20"/>
      <c r="AK2757" s="218"/>
      <c r="AL2757" s="20"/>
      <c r="AM2757" s="20"/>
      <c r="AN2757" s="20"/>
    </row>
    <row r="2758" spans="3:40">
      <c r="C2758" s="136"/>
      <c r="D2758" s="136"/>
      <c r="F2758" s="19"/>
      <c r="G2758" s="138"/>
      <c r="H2758" s="138"/>
      <c r="I2758" s="126"/>
      <c r="J2758" s="20"/>
      <c r="K2758" s="20"/>
      <c r="L2758" s="20"/>
      <c r="M2758" s="20"/>
      <c r="N2758" s="126"/>
      <c r="O2758" s="126"/>
      <c r="P2758" s="126"/>
      <c r="Q2758" s="198"/>
      <c r="R2758" s="199"/>
      <c r="S2758" s="199"/>
      <c r="AE2758" s="20"/>
      <c r="AF2758" s="20"/>
      <c r="AG2758" s="20"/>
      <c r="AH2758" s="20"/>
      <c r="AI2758" s="20"/>
      <c r="AJ2758" s="20"/>
      <c r="AK2758" s="218"/>
      <c r="AL2758" s="20"/>
      <c r="AM2758" s="216"/>
      <c r="AN2758" s="20"/>
    </row>
    <row r="2759" spans="3:40">
      <c r="C2759" s="136"/>
      <c r="D2759" s="136"/>
      <c r="F2759" s="19"/>
      <c r="G2759" s="138"/>
      <c r="H2759" s="138"/>
      <c r="I2759" s="126"/>
      <c r="J2759" s="20"/>
      <c r="K2759" s="20"/>
      <c r="L2759" s="20"/>
      <c r="M2759" s="20"/>
      <c r="N2759" s="126"/>
      <c r="O2759" s="126"/>
      <c r="P2759" s="126"/>
      <c r="Q2759" s="198"/>
      <c r="R2759" s="199"/>
      <c r="S2759" s="199"/>
      <c r="AE2759" s="20"/>
      <c r="AF2759" s="20"/>
      <c r="AG2759" s="20"/>
      <c r="AH2759" s="20"/>
      <c r="AI2759" s="20"/>
      <c r="AJ2759" s="20"/>
      <c r="AK2759" s="218"/>
      <c r="AL2759" s="20"/>
      <c r="AM2759" s="20"/>
      <c r="AN2759" s="219"/>
    </row>
    <row r="2760" spans="3:40">
      <c r="C2760" s="136"/>
      <c r="D2760" s="136"/>
      <c r="F2760" s="19"/>
      <c r="G2760" s="138"/>
      <c r="H2760" s="138"/>
      <c r="I2760" s="126"/>
      <c r="J2760" s="20"/>
      <c r="K2760" s="20"/>
      <c r="L2760" s="20"/>
      <c r="M2760" s="20"/>
      <c r="N2760" s="126"/>
      <c r="O2760" s="126"/>
      <c r="P2760" s="126"/>
      <c r="Q2760" s="198"/>
      <c r="R2760" s="199"/>
      <c r="S2760" s="199"/>
      <c r="AE2760" s="20"/>
      <c r="AF2760" s="20"/>
      <c r="AG2760" s="20"/>
      <c r="AH2760" s="20"/>
      <c r="AI2760" s="20"/>
      <c r="AJ2760" s="20"/>
      <c r="AK2760" s="218"/>
      <c r="AL2760" s="20"/>
      <c r="AM2760" s="216"/>
      <c r="AN2760" s="20"/>
    </row>
    <row r="2761" spans="3:40">
      <c r="C2761" s="136"/>
      <c r="D2761" s="136"/>
      <c r="F2761" s="19"/>
      <c r="G2761" s="138"/>
      <c r="H2761" s="138"/>
      <c r="I2761" s="126"/>
      <c r="J2761" s="20"/>
      <c r="K2761" s="20"/>
      <c r="L2761" s="20"/>
      <c r="M2761" s="20"/>
      <c r="N2761" s="126"/>
      <c r="O2761" s="126"/>
      <c r="P2761" s="126"/>
      <c r="Q2761" s="198"/>
      <c r="R2761" s="199"/>
      <c r="S2761" s="199"/>
      <c r="AE2761" s="20"/>
      <c r="AF2761" s="20"/>
      <c r="AG2761" s="20"/>
      <c r="AH2761" s="20"/>
      <c r="AI2761" s="20"/>
      <c r="AJ2761" s="20"/>
      <c r="AK2761" s="218"/>
      <c r="AL2761" s="20"/>
      <c r="AM2761" s="20"/>
      <c r="AN2761" s="219"/>
    </row>
    <row r="2762" spans="3:40">
      <c r="C2762" s="136"/>
      <c r="D2762" s="136"/>
      <c r="F2762" s="19"/>
      <c r="G2762" s="138"/>
      <c r="H2762" s="138"/>
      <c r="I2762" s="126"/>
      <c r="J2762" s="20"/>
      <c r="K2762" s="20"/>
      <c r="L2762" s="20"/>
      <c r="M2762" s="20"/>
      <c r="N2762" s="126"/>
      <c r="O2762" s="126"/>
      <c r="P2762" s="126"/>
      <c r="Q2762" s="198"/>
      <c r="R2762" s="199"/>
      <c r="S2762" s="199"/>
      <c r="AE2762" s="20"/>
      <c r="AF2762" s="20"/>
      <c r="AG2762" s="20"/>
      <c r="AH2762" s="20"/>
      <c r="AI2762" s="20"/>
      <c r="AJ2762" s="20"/>
      <c r="AK2762" s="218"/>
      <c r="AL2762" s="20"/>
      <c r="AM2762" s="216"/>
      <c r="AN2762" s="20"/>
    </row>
    <row r="2763" spans="3:40">
      <c r="C2763" s="136"/>
      <c r="D2763" s="136"/>
      <c r="F2763" s="19"/>
      <c r="G2763" s="138"/>
      <c r="H2763" s="138"/>
      <c r="I2763" s="126"/>
      <c r="J2763" s="20"/>
      <c r="K2763" s="20"/>
      <c r="L2763" s="20"/>
      <c r="M2763" s="20"/>
      <c r="N2763" s="126"/>
      <c r="O2763" s="126"/>
      <c r="P2763" s="126"/>
      <c r="Q2763" s="198"/>
      <c r="R2763" s="199"/>
      <c r="S2763" s="199"/>
      <c r="AE2763" s="20"/>
      <c r="AF2763" s="20"/>
      <c r="AG2763" s="20"/>
      <c r="AH2763" s="20"/>
      <c r="AI2763" s="20"/>
      <c r="AJ2763" s="20"/>
      <c r="AK2763" s="218"/>
      <c r="AL2763" s="20"/>
      <c r="AM2763" s="216"/>
      <c r="AN2763" s="20"/>
    </row>
    <row r="2764" spans="3:40">
      <c r="C2764" s="136"/>
      <c r="D2764" s="136"/>
      <c r="F2764" s="19"/>
      <c r="G2764" s="138"/>
      <c r="H2764" s="138"/>
      <c r="I2764" s="126"/>
      <c r="J2764" s="20"/>
      <c r="K2764" s="20"/>
      <c r="L2764" s="20"/>
      <c r="M2764" s="20"/>
      <c r="N2764" s="126"/>
      <c r="O2764" s="126"/>
      <c r="P2764" s="126"/>
      <c r="Q2764" s="198"/>
      <c r="R2764" s="199"/>
      <c r="S2764" s="199"/>
      <c r="AE2764" s="20"/>
      <c r="AF2764" s="20"/>
      <c r="AG2764" s="20"/>
      <c r="AH2764" s="20"/>
      <c r="AI2764" s="20"/>
      <c r="AJ2764" s="20"/>
      <c r="AK2764" s="218"/>
      <c r="AL2764" s="20"/>
      <c r="AM2764" s="20"/>
      <c r="AN2764" s="219"/>
    </row>
    <row r="2765" spans="3:40">
      <c r="C2765" s="136"/>
      <c r="D2765" s="136"/>
      <c r="F2765" s="19"/>
      <c r="G2765" s="138"/>
      <c r="H2765" s="138"/>
      <c r="I2765" s="126"/>
      <c r="J2765" s="20"/>
      <c r="K2765" s="20"/>
      <c r="L2765" s="20"/>
      <c r="M2765" s="20"/>
      <c r="N2765" s="126"/>
      <c r="O2765" s="126"/>
      <c r="P2765" s="126"/>
      <c r="Q2765" s="198"/>
      <c r="R2765" s="224"/>
      <c r="S2765" s="199"/>
      <c r="AE2765" s="20"/>
      <c r="AF2765" s="20"/>
      <c r="AG2765" s="20"/>
      <c r="AH2765" s="20"/>
      <c r="AI2765" s="20"/>
      <c r="AJ2765" s="20"/>
      <c r="AK2765" s="20"/>
      <c r="AL2765" s="219"/>
      <c r="AM2765" s="216"/>
      <c r="AN2765" s="20"/>
    </row>
    <row r="2766" spans="3:40">
      <c r="C2766" s="136"/>
      <c r="D2766" s="136"/>
      <c r="F2766" s="19"/>
      <c r="G2766" s="138"/>
      <c r="H2766" s="138"/>
      <c r="I2766" s="126"/>
      <c r="J2766" s="20"/>
      <c r="K2766" s="20"/>
      <c r="L2766" s="20"/>
      <c r="M2766" s="20"/>
      <c r="N2766" s="126"/>
      <c r="O2766" s="126"/>
      <c r="P2766" s="126"/>
      <c r="Q2766" s="198"/>
      <c r="R2766" s="224"/>
      <c r="S2766" s="199"/>
      <c r="AE2766" s="20"/>
      <c r="AF2766" s="20"/>
      <c r="AG2766" s="20"/>
      <c r="AH2766" s="20"/>
      <c r="AI2766" s="20"/>
      <c r="AJ2766" s="20"/>
      <c r="AK2766" s="20"/>
      <c r="AL2766" s="219"/>
      <c r="AM2766" s="216"/>
      <c r="AN2766" s="20"/>
    </row>
    <row r="2767" spans="3:40">
      <c r="C2767" s="136"/>
      <c r="D2767" s="136"/>
      <c r="F2767" s="19"/>
      <c r="G2767" s="138"/>
      <c r="H2767" s="138"/>
      <c r="I2767" s="126"/>
      <c r="J2767" s="20"/>
      <c r="K2767" s="20"/>
      <c r="L2767" s="20"/>
      <c r="M2767" s="20"/>
      <c r="N2767" s="126"/>
      <c r="O2767" s="126"/>
      <c r="P2767" s="126"/>
      <c r="Q2767" s="198"/>
      <c r="R2767" s="224"/>
      <c r="S2767" s="199"/>
      <c r="AE2767" s="20"/>
      <c r="AF2767" s="20"/>
      <c r="AG2767" s="20"/>
      <c r="AH2767" s="20"/>
      <c r="AI2767" s="20"/>
      <c r="AJ2767" s="20"/>
      <c r="AK2767" s="20"/>
      <c r="AL2767" s="219"/>
      <c r="AM2767" s="216"/>
      <c r="AN2767" s="20"/>
    </row>
    <row r="2768" spans="3:40">
      <c r="C2768" s="136"/>
      <c r="D2768" s="136"/>
      <c r="F2768" s="19"/>
      <c r="G2768" s="138"/>
      <c r="H2768" s="138"/>
      <c r="I2768" s="126"/>
      <c r="J2768" s="20"/>
      <c r="K2768" s="20"/>
      <c r="L2768" s="20"/>
      <c r="M2768" s="20"/>
      <c r="N2768" s="126"/>
      <c r="O2768" s="126"/>
      <c r="P2768" s="126"/>
      <c r="Q2768" s="198"/>
      <c r="R2768" s="224"/>
      <c r="S2768" s="199"/>
      <c r="AE2768" s="20"/>
      <c r="AF2768" s="20"/>
      <c r="AG2768" s="20"/>
      <c r="AH2768" s="20"/>
      <c r="AI2768" s="20"/>
      <c r="AJ2768" s="20"/>
      <c r="AK2768" s="20"/>
      <c r="AL2768" s="219"/>
      <c r="AM2768" s="216"/>
      <c r="AN2768" s="20"/>
    </row>
    <row r="2769" spans="3:40">
      <c r="C2769" s="136"/>
      <c r="D2769" s="136"/>
      <c r="F2769" s="19"/>
      <c r="G2769" s="138"/>
      <c r="H2769" s="138"/>
      <c r="I2769" s="126"/>
      <c r="J2769" s="20"/>
      <c r="K2769" s="20"/>
      <c r="L2769" s="20"/>
      <c r="M2769" s="20"/>
      <c r="N2769" s="126"/>
      <c r="O2769" s="126"/>
      <c r="P2769" s="126"/>
      <c r="Q2769" s="198"/>
      <c r="R2769" s="224"/>
      <c r="S2769" s="199"/>
      <c r="AE2769" s="20"/>
      <c r="AF2769" s="20"/>
      <c r="AG2769" s="20"/>
      <c r="AH2769" s="20"/>
      <c r="AI2769" s="20"/>
      <c r="AJ2769" s="20"/>
      <c r="AK2769" s="20"/>
      <c r="AL2769" s="219"/>
      <c r="AM2769" s="216"/>
      <c r="AN2769" s="20"/>
    </row>
    <row r="2770" spans="3:40">
      <c r="C2770" s="136"/>
      <c r="D2770" s="136"/>
      <c r="F2770" s="19"/>
      <c r="G2770" s="138"/>
      <c r="H2770" s="138"/>
      <c r="I2770" s="126"/>
      <c r="J2770" s="20"/>
      <c r="K2770" s="20"/>
      <c r="L2770" s="20"/>
      <c r="M2770" s="20"/>
      <c r="N2770" s="126"/>
      <c r="O2770" s="126"/>
      <c r="P2770" s="126"/>
      <c r="Q2770" s="198"/>
      <c r="R2770" s="199"/>
      <c r="S2770" s="199"/>
      <c r="AE2770" s="20"/>
      <c r="AF2770" s="20"/>
      <c r="AG2770" s="20"/>
      <c r="AH2770" s="20"/>
      <c r="AI2770" s="20"/>
      <c r="AJ2770" s="20"/>
      <c r="AK2770" s="20"/>
      <c r="AL2770" s="219"/>
      <c r="AM2770" s="216"/>
      <c r="AN2770" s="20"/>
    </row>
    <row r="2771" spans="3:40">
      <c r="C2771" s="136"/>
      <c r="D2771" s="136"/>
      <c r="F2771" s="19"/>
      <c r="G2771" s="138"/>
      <c r="H2771" s="138"/>
      <c r="I2771" s="126"/>
      <c r="J2771" s="20"/>
      <c r="K2771" s="20"/>
      <c r="L2771" s="20"/>
      <c r="M2771" s="20"/>
      <c r="N2771" s="126"/>
      <c r="O2771" s="126"/>
      <c r="P2771" s="126"/>
      <c r="Q2771" s="198"/>
      <c r="R2771" s="199"/>
      <c r="S2771" s="199"/>
      <c r="AE2771" s="20"/>
      <c r="AF2771" s="20"/>
      <c r="AG2771" s="20"/>
      <c r="AH2771" s="20"/>
      <c r="AI2771" s="20"/>
      <c r="AJ2771" s="20"/>
      <c r="AK2771" s="20"/>
      <c r="AL2771" s="219"/>
      <c r="AM2771" s="216"/>
      <c r="AN2771" s="20"/>
    </row>
    <row r="2772" spans="3:40">
      <c r="C2772" s="136"/>
      <c r="D2772" s="136"/>
      <c r="F2772" s="19"/>
      <c r="G2772" s="138"/>
      <c r="H2772" s="138"/>
      <c r="I2772" s="126"/>
      <c r="J2772" s="20"/>
      <c r="K2772" s="20"/>
      <c r="L2772" s="20"/>
      <c r="M2772" s="20"/>
      <c r="N2772" s="126"/>
      <c r="O2772" s="126"/>
      <c r="P2772" s="126"/>
      <c r="Q2772" s="198"/>
      <c r="R2772" s="199"/>
      <c r="S2772" s="199"/>
      <c r="AE2772" s="20"/>
      <c r="AF2772" s="20"/>
      <c r="AG2772" s="20"/>
      <c r="AH2772" s="20"/>
      <c r="AI2772" s="20"/>
      <c r="AJ2772" s="20"/>
      <c r="AK2772" s="20"/>
      <c r="AL2772" s="219"/>
      <c r="AM2772" s="216"/>
      <c r="AN2772" s="20"/>
    </row>
    <row r="2773" spans="3:40">
      <c r="C2773" s="136"/>
      <c r="D2773" s="136"/>
      <c r="F2773" s="19"/>
      <c r="G2773" s="138"/>
      <c r="H2773" s="138"/>
      <c r="I2773" s="126"/>
      <c r="J2773" s="20"/>
      <c r="K2773" s="20"/>
      <c r="L2773" s="20"/>
      <c r="M2773" s="20"/>
      <c r="N2773" s="126"/>
      <c r="O2773" s="126"/>
      <c r="P2773" s="126"/>
      <c r="Q2773" s="198"/>
      <c r="R2773" s="199"/>
      <c r="S2773" s="199"/>
      <c r="AE2773" s="20"/>
      <c r="AF2773" s="20"/>
      <c r="AG2773" s="20"/>
      <c r="AH2773" s="20"/>
      <c r="AI2773" s="20"/>
      <c r="AJ2773" s="20"/>
      <c r="AK2773" s="20"/>
      <c r="AL2773" s="219"/>
      <c r="AM2773" s="216"/>
      <c r="AN2773" s="20"/>
    </row>
    <row r="2774" spans="3:40">
      <c r="C2774" s="136"/>
      <c r="D2774" s="136"/>
      <c r="F2774" s="19"/>
      <c r="G2774" s="138"/>
      <c r="H2774" s="138"/>
      <c r="I2774" s="126"/>
      <c r="J2774" s="20"/>
      <c r="K2774" s="20"/>
      <c r="L2774" s="20"/>
      <c r="M2774" s="20"/>
      <c r="N2774" s="126"/>
      <c r="O2774" s="126"/>
      <c r="P2774" s="126"/>
      <c r="Q2774" s="198"/>
      <c r="R2774" s="199"/>
      <c r="S2774" s="199"/>
      <c r="AE2774" s="20"/>
      <c r="AF2774" s="20"/>
      <c r="AG2774" s="20"/>
      <c r="AH2774" s="20"/>
      <c r="AI2774" s="20"/>
      <c r="AJ2774" s="20"/>
      <c r="AK2774" s="20"/>
      <c r="AL2774" s="219"/>
      <c r="AM2774" s="216"/>
      <c r="AN2774" s="20"/>
    </row>
    <row r="2775" spans="3:40">
      <c r="C2775" s="136"/>
      <c r="D2775" s="136"/>
      <c r="F2775" s="19"/>
      <c r="G2775" s="138"/>
      <c r="H2775" s="138"/>
      <c r="I2775" s="126"/>
      <c r="J2775" s="20"/>
      <c r="K2775" s="20"/>
      <c r="L2775" s="20"/>
      <c r="M2775" s="20"/>
      <c r="N2775" s="126"/>
      <c r="O2775" s="126"/>
      <c r="P2775" s="126"/>
      <c r="Q2775" s="198"/>
      <c r="R2775" s="199"/>
      <c r="S2775" s="199"/>
      <c r="AE2775" s="20"/>
      <c r="AF2775" s="20"/>
      <c r="AG2775" s="20"/>
      <c r="AH2775" s="20"/>
      <c r="AI2775" s="20"/>
      <c r="AJ2775" s="20"/>
      <c r="AK2775" s="20"/>
      <c r="AL2775" s="219"/>
      <c r="AM2775" s="216"/>
      <c r="AN2775" s="20"/>
    </row>
    <row r="2776" spans="3:40">
      <c r="C2776" s="136"/>
      <c r="D2776" s="136"/>
      <c r="F2776" s="19"/>
      <c r="G2776" s="138"/>
      <c r="H2776" s="138"/>
      <c r="I2776" s="126"/>
      <c r="J2776" s="20"/>
      <c r="K2776" s="20"/>
      <c r="L2776" s="20"/>
      <c r="M2776" s="20"/>
      <c r="N2776" s="126"/>
      <c r="O2776" s="126"/>
      <c r="P2776" s="126"/>
      <c r="Q2776" s="198"/>
      <c r="R2776" s="199"/>
      <c r="S2776" s="199"/>
      <c r="AE2776" s="20"/>
      <c r="AF2776" s="20"/>
      <c r="AG2776" s="20"/>
      <c r="AH2776" s="20"/>
      <c r="AI2776" s="20"/>
      <c r="AJ2776" s="20"/>
      <c r="AK2776" s="20"/>
      <c r="AL2776" s="219"/>
      <c r="AM2776" s="216"/>
      <c r="AN2776" s="20"/>
    </row>
    <row r="2777" spans="3:40">
      <c r="C2777" s="136"/>
      <c r="D2777" s="136"/>
      <c r="F2777" s="19"/>
      <c r="G2777" s="138"/>
      <c r="H2777" s="138"/>
      <c r="I2777" s="126"/>
      <c r="J2777" s="20"/>
      <c r="K2777" s="20"/>
      <c r="L2777" s="20"/>
      <c r="M2777" s="20"/>
      <c r="N2777" s="126"/>
      <c r="O2777" s="126"/>
      <c r="P2777" s="126"/>
      <c r="Q2777" s="198"/>
      <c r="R2777" s="199"/>
      <c r="S2777" s="199"/>
      <c r="AE2777" s="20"/>
      <c r="AF2777" s="20"/>
      <c r="AG2777" s="20"/>
      <c r="AH2777" s="20"/>
      <c r="AI2777" s="20"/>
      <c r="AJ2777" s="20"/>
      <c r="AK2777" s="20"/>
      <c r="AL2777" s="219"/>
      <c r="AM2777" s="216"/>
      <c r="AN2777" s="20"/>
    </row>
    <row r="2778" spans="3:40">
      <c r="C2778" s="136"/>
      <c r="D2778" s="136"/>
      <c r="F2778" s="19"/>
      <c r="G2778" s="138"/>
      <c r="H2778" s="138"/>
      <c r="I2778" s="126"/>
      <c r="J2778" s="20"/>
      <c r="K2778" s="20"/>
      <c r="L2778" s="20"/>
      <c r="M2778" s="20"/>
      <c r="N2778" s="126"/>
      <c r="O2778" s="126"/>
      <c r="P2778" s="126"/>
      <c r="Q2778" s="198"/>
      <c r="R2778" s="199"/>
      <c r="S2778" s="199"/>
      <c r="AE2778" s="20"/>
      <c r="AF2778" s="20"/>
      <c r="AG2778" s="20"/>
      <c r="AH2778" s="20"/>
      <c r="AI2778" s="20"/>
      <c r="AJ2778" s="20"/>
      <c r="AK2778" s="20"/>
      <c r="AL2778" s="219"/>
      <c r="AM2778" s="216"/>
      <c r="AN2778" s="20"/>
    </row>
    <row r="2779" spans="3:40">
      <c r="C2779" s="136"/>
      <c r="D2779" s="136"/>
      <c r="F2779" s="19"/>
      <c r="G2779" s="138"/>
      <c r="H2779" s="138"/>
      <c r="I2779" s="126"/>
      <c r="J2779" s="20"/>
      <c r="K2779" s="20"/>
      <c r="L2779" s="20"/>
      <c r="M2779" s="20"/>
      <c r="N2779" s="126"/>
      <c r="O2779" s="126"/>
      <c r="P2779" s="126"/>
      <c r="Q2779" s="198"/>
      <c r="R2779" s="199"/>
      <c r="S2779" s="199"/>
      <c r="AE2779" s="20"/>
      <c r="AF2779" s="20"/>
      <c r="AG2779" s="20"/>
      <c r="AH2779" s="20"/>
      <c r="AI2779" s="20"/>
      <c r="AJ2779" s="20"/>
      <c r="AK2779" s="20"/>
      <c r="AL2779" s="219"/>
      <c r="AM2779" s="216"/>
      <c r="AN2779" s="20"/>
    </row>
    <row r="2780" spans="3:40">
      <c r="C2780" s="136"/>
      <c r="D2780" s="136"/>
      <c r="F2780" s="19"/>
      <c r="G2780" s="138"/>
      <c r="H2780" s="138"/>
      <c r="I2780" s="126"/>
      <c r="J2780" s="20"/>
      <c r="K2780" s="20"/>
      <c r="L2780" s="20"/>
      <c r="M2780" s="20"/>
      <c r="N2780" s="126"/>
      <c r="O2780" s="126"/>
      <c r="P2780" s="126"/>
      <c r="Q2780" s="198"/>
      <c r="R2780" s="199"/>
      <c r="S2780" s="199"/>
      <c r="AE2780" s="20"/>
      <c r="AF2780" s="20"/>
      <c r="AG2780" s="20"/>
      <c r="AH2780" s="20"/>
      <c r="AI2780" s="20"/>
      <c r="AJ2780" s="20"/>
      <c r="AK2780" s="20"/>
      <c r="AL2780" s="20"/>
      <c r="AM2780" s="20"/>
      <c r="AN2780" s="20"/>
    </row>
    <row r="2781" spans="3:40">
      <c r="C2781" s="136"/>
      <c r="D2781" s="136"/>
      <c r="F2781" s="19"/>
      <c r="G2781" s="138"/>
      <c r="H2781" s="138"/>
      <c r="I2781" s="126"/>
      <c r="J2781" s="20"/>
      <c r="K2781" s="20"/>
      <c r="L2781" s="20"/>
      <c r="M2781" s="20"/>
      <c r="N2781" s="126"/>
      <c r="O2781" s="126"/>
      <c r="P2781" s="126"/>
      <c r="Q2781" s="198"/>
      <c r="R2781" s="199"/>
      <c r="S2781" s="199"/>
      <c r="AE2781" s="20"/>
      <c r="AF2781" s="20"/>
      <c r="AG2781" s="20"/>
      <c r="AH2781" s="20"/>
      <c r="AI2781" s="20"/>
      <c r="AJ2781" s="20"/>
      <c r="AK2781" s="20"/>
      <c r="AL2781" s="219"/>
      <c r="AM2781" s="216"/>
      <c r="AN2781" s="20"/>
    </row>
    <row r="2782" spans="3:40">
      <c r="C2782" s="136"/>
      <c r="D2782" s="136"/>
      <c r="F2782" s="19"/>
      <c r="G2782" s="138"/>
      <c r="H2782" s="138"/>
      <c r="I2782" s="126"/>
      <c r="J2782" s="20"/>
      <c r="K2782" s="20"/>
      <c r="L2782" s="20"/>
      <c r="M2782" s="20"/>
      <c r="N2782" s="126"/>
      <c r="O2782" s="126"/>
      <c r="P2782" s="126"/>
      <c r="Q2782" s="198"/>
      <c r="R2782" s="199"/>
      <c r="S2782" s="199"/>
      <c r="AE2782" s="20"/>
      <c r="AF2782" s="20"/>
      <c r="AG2782" s="20"/>
      <c r="AH2782" s="20"/>
      <c r="AI2782" s="20"/>
      <c r="AJ2782" s="20"/>
      <c r="AK2782" s="20"/>
      <c r="AL2782" s="219"/>
      <c r="AM2782" s="216"/>
      <c r="AN2782" s="20"/>
    </row>
    <row r="2783" spans="3:40">
      <c r="C2783" s="136"/>
      <c r="D2783" s="136"/>
      <c r="F2783" s="19"/>
      <c r="G2783" s="138"/>
      <c r="H2783" s="138"/>
      <c r="I2783" s="126"/>
      <c r="J2783" s="20"/>
      <c r="K2783" s="20"/>
      <c r="L2783" s="20"/>
      <c r="M2783" s="20"/>
      <c r="N2783" s="126"/>
      <c r="O2783" s="126"/>
      <c r="P2783" s="126"/>
      <c r="Q2783" s="198"/>
      <c r="R2783" s="199"/>
      <c r="S2783" s="199"/>
      <c r="AE2783" s="20"/>
      <c r="AF2783" s="20"/>
      <c r="AG2783" s="20"/>
      <c r="AH2783" s="20"/>
      <c r="AI2783" s="20"/>
      <c r="AJ2783" s="20"/>
      <c r="AK2783" s="20"/>
      <c r="AL2783" s="219"/>
      <c r="AM2783" s="216"/>
      <c r="AN2783" s="20"/>
    </row>
    <row r="2784" spans="3:40">
      <c r="C2784" s="136"/>
      <c r="D2784" s="136"/>
      <c r="F2784" s="19"/>
      <c r="G2784" s="138"/>
      <c r="H2784" s="138"/>
      <c r="I2784" s="126"/>
      <c r="J2784" s="20"/>
      <c r="K2784" s="20"/>
      <c r="L2784" s="20"/>
      <c r="M2784" s="20"/>
      <c r="N2784" s="126"/>
      <c r="O2784" s="126"/>
      <c r="P2784" s="126"/>
      <c r="Q2784" s="198"/>
      <c r="R2784" s="199"/>
      <c r="S2784" s="199"/>
      <c r="AE2784" s="20"/>
      <c r="AF2784" s="20"/>
      <c r="AG2784" s="20"/>
      <c r="AH2784" s="20"/>
      <c r="AI2784" s="20"/>
      <c r="AJ2784" s="20"/>
      <c r="AK2784" s="20"/>
      <c r="AL2784" s="219"/>
      <c r="AM2784" s="216"/>
      <c r="AN2784" s="20"/>
    </row>
    <row r="2785" spans="3:40">
      <c r="C2785" s="136"/>
      <c r="D2785" s="136"/>
      <c r="F2785" s="19"/>
      <c r="G2785" s="138"/>
      <c r="H2785" s="138"/>
      <c r="I2785" s="126"/>
      <c r="J2785" s="20"/>
      <c r="K2785" s="20"/>
      <c r="L2785" s="20"/>
      <c r="M2785" s="20"/>
      <c r="N2785" s="126"/>
      <c r="O2785" s="126"/>
      <c r="P2785" s="126"/>
      <c r="Q2785" s="198"/>
      <c r="R2785" s="199"/>
      <c r="S2785" s="199"/>
      <c r="AE2785" s="20"/>
      <c r="AF2785" s="20"/>
      <c r="AG2785" s="20"/>
      <c r="AH2785" s="20"/>
      <c r="AI2785" s="20"/>
      <c r="AJ2785" s="20"/>
      <c r="AK2785" s="20"/>
      <c r="AL2785" s="219"/>
      <c r="AM2785" s="216"/>
      <c r="AN2785" s="20"/>
    </row>
    <row r="2786" spans="3:40">
      <c r="C2786" s="136"/>
      <c r="D2786" s="136"/>
      <c r="F2786" s="19"/>
      <c r="G2786" s="138"/>
      <c r="H2786" s="138"/>
      <c r="I2786" s="126"/>
      <c r="J2786" s="20"/>
      <c r="K2786" s="20"/>
      <c r="L2786" s="20"/>
      <c r="M2786" s="20"/>
      <c r="N2786" s="126"/>
      <c r="O2786" s="126"/>
      <c r="P2786" s="126"/>
      <c r="Q2786" s="198"/>
      <c r="R2786" s="199"/>
      <c r="S2786" s="199"/>
      <c r="AE2786" s="20"/>
      <c r="AF2786" s="20"/>
      <c r="AG2786" s="20"/>
      <c r="AH2786" s="20"/>
      <c r="AI2786" s="20"/>
      <c r="AJ2786" s="20"/>
      <c r="AK2786" s="20"/>
      <c r="AL2786" s="219"/>
      <c r="AM2786" s="216"/>
      <c r="AN2786" s="20"/>
    </row>
    <row r="2787" spans="3:40">
      <c r="C2787" s="136"/>
      <c r="D2787" s="136"/>
      <c r="F2787" s="19"/>
      <c r="G2787" s="138"/>
      <c r="H2787" s="138"/>
      <c r="I2787" s="126"/>
      <c r="J2787" s="20"/>
      <c r="K2787" s="20"/>
      <c r="L2787" s="20"/>
      <c r="M2787" s="20"/>
      <c r="N2787" s="126"/>
      <c r="O2787" s="126"/>
      <c r="P2787" s="126"/>
      <c r="Q2787" s="198"/>
      <c r="R2787" s="199"/>
      <c r="S2787" s="199"/>
      <c r="AE2787" s="20"/>
      <c r="AF2787" s="20"/>
      <c r="AG2787" s="20"/>
      <c r="AH2787" s="20"/>
      <c r="AI2787" s="20"/>
      <c r="AJ2787" s="20"/>
      <c r="AK2787" s="20"/>
      <c r="AL2787" s="219"/>
      <c r="AM2787" s="216"/>
      <c r="AN2787" s="20"/>
    </row>
    <row r="2788" spans="3:40">
      <c r="C2788" s="136"/>
      <c r="D2788" s="136"/>
      <c r="F2788" s="19"/>
      <c r="G2788" s="138"/>
      <c r="H2788" s="138"/>
      <c r="I2788" s="126"/>
      <c r="J2788" s="20"/>
      <c r="K2788" s="20"/>
      <c r="L2788" s="20"/>
      <c r="M2788" s="20"/>
      <c r="N2788" s="126"/>
      <c r="O2788" s="126"/>
      <c r="P2788" s="126"/>
      <c r="Q2788" s="198"/>
      <c r="R2788" s="199"/>
      <c r="S2788" s="199"/>
      <c r="AE2788" s="20"/>
      <c r="AF2788" s="20"/>
      <c r="AG2788" s="20"/>
      <c r="AH2788" s="20"/>
      <c r="AI2788" s="20"/>
      <c r="AJ2788" s="20"/>
      <c r="AK2788" s="20"/>
      <c r="AL2788" s="219"/>
      <c r="AM2788" s="216"/>
      <c r="AN2788" s="20"/>
    </row>
    <row r="2789" spans="3:40">
      <c r="C2789" s="136"/>
      <c r="D2789" s="136"/>
      <c r="F2789" s="19"/>
      <c r="G2789" s="138"/>
      <c r="H2789" s="138"/>
      <c r="I2789" s="126"/>
      <c r="J2789" s="20"/>
      <c r="K2789" s="20"/>
      <c r="L2789" s="20"/>
      <c r="M2789" s="20"/>
      <c r="N2789" s="126"/>
      <c r="O2789" s="126"/>
      <c r="P2789" s="126"/>
      <c r="Q2789" s="198"/>
      <c r="R2789" s="199"/>
      <c r="S2789" s="199"/>
      <c r="AE2789" s="20"/>
      <c r="AF2789" s="20"/>
      <c r="AG2789" s="20"/>
      <c r="AH2789" s="20"/>
      <c r="AI2789" s="20"/>
      <c r="AJ2789" s="20"/>
      <c r="AK2789" s="20"/>
      <c r="AL2789" s="219"/>
      <c r="AM2789" s="216"/>
      <c r="AN2789" s="20"/>
    </row>
    <row r="2790" spans="3:40">
      <c r="C2790" s="136"/>
      <c r="D2790" s="136"/>
      <c r="F2790" s="19"/>
      <c r="G2790" s="138"/>
      <c r="H2790" s="138"/>
      <c r="I2790" s="126"/>
      <c r="J2790" s="20"/>
      <c r="K2790" s="20"/>
      <c r="L2790" s="20"/>
      <c r="M2790" s="20"/>
      <c r="N2790" s="126"/>
      <c r="O2790" s="126"/>
      <c r="P2790" s="126"/>
      <c r="Q2790" s="198"/>
      <c r="R2790" s="199"/>
      <c r="S2790" s="199"/>
      <c r="AE2790" s="20"/>
      <c r="AF2790" s="20"/>
      <c r="AG2790" s="20"/>
      <c r="AH2790" s="20"/>
      <c r="AI2790" s="20"/>
      <c r="AJ2790" s="20"/>
      <c r="AK2790" s="20"/>
      <c r="AL2790" s="219"/>
      <c r="AM2790" s="216"/>
      <c r="AN2790" s="20"/>
    </row>
    <row r="2791" spans="3:40">
      <c r="C2791" s="136"/>
      <c r="D2791" s="136"/>
      <c r="F2791" s="19"/>
      <c r="G2791" s="138"/>
      <c r="H2791" s="138"/>
      <c r="I2791" s="126"/>
      <c r="J2791" s="20"/>
      <c r="K2791" s="20"/>
      <c r="L2791" s="20"/>
      <c r="M2791" s="20"/>
      <c r="N2791" s="126"/>
      <c r="O2791" s="126"/>
      <c r="P2791" s="126"/>
      <c r="Q2791" s="198"/>
      <c r="R2791" s="199"/>
      <c r="S2791" s="199"/>
      <c r="AE2791" s="20"/>
      <c r="AF2791" s="20"/>
      <c r="AG2791" s="20"/>
      <c r="AH2791" s="20"/>
      <c r="AI2791" s="20"/>
      <c r="AJ2791" s="20"/>
      <c r="AK2791" s="20"/>
      <c r="AL2791" s="219"/>
      <c r="AM2791" s="216"/>
      <c r="AN2791" s="20"/>
    </row>
    <row r="2792" spans="3:40">
      <c r="C2792" s="136"/>
      <c r="D2792" s="136"/>
      <c r="F2792" s="19"/>
      <c r="G2792" s="138"/>
      <c r="H2792" s="138"/>
      <c r="I2792" s="126"/>
      <c r="J2792" s="20"/>
      <c r="K2792" s="20"/>
      <c r="L2792" s="20"/>
      <c r="M2792" s="20"/>
      <c r="N2792" s="126"/>
      <c r="O2792" s="126"/>
      <c r="P2792" s="126"/>
      <c r="Q2792" s="198"/>
      <c r="R2792" s="199"/>
      <c r="S2792" s="199"/>
      <c r="AE2792" s="20"/>
      <c r="AF2792" s="20"/>
      <c r="AG2792" s="20"/>
      <c r="AH2792" s="20"/>
      <c r="AI2792" s="20"/>
      <c r="AJ2792" s="20"/>
      <c r="AK2792" s="20"/>
      <c r="AL2792" s="219"/>
      <c r="AM2792" s="216"/>
      <c r="AN2792" s="20"/>
    </row>
    <row r="2793" spans="3:40">
      <c r="C2793" s="136"/>
      <c r="D2793" s="136"/>
      <c r="F2793" s="19"/>
      <c r="G2793" s="138"/>
      <c r="H2793" s="138"/>
      <c r="I2793" s="126"/>
      <c r="J2793" s="20"/>
      <c r="K2793" s="20"/>
      <c r="L2793" s="20"/>
      <c r="M2793" s="20"/>
      <c r="N2793" s="126"/>
      <c r="O2793" s="126"/>
      <c r="P2793" s="126"/>
      <c r="Q2793" s="198"/>
      <c r="R2793" s="199"/>
      <c r="S2793" s="199"/>
      <c r="AE2793" s="20"/>
      <c r="AF2793" s="20"/>
      <c r="AG2793" s="20"/>
      <c r="AH2793" s="20"/>
      <c r="AI2793" s="20"/>
      <c r="AJ2793" s="20"/>
      <c r="AK2793" s="20"/>
      <c r="AL2793" s="219"/>
      <c r="AM2793" s="216"/>
      <c r="AN2793" s="20"/>
    </row>
    <row r="2794" spans="3:40">
      <c r="C2794" s="136"/>
      <c r="D2794" s="136"/>
      <c r="F2794" s="19"/>
      <c r="G2794" s="138"/>
      <c r="H2794" s="138"/>
      <c r="I2794" s="126"/>
      <c r="J2794" s="20"/>
      <c r="K2794" s="20"/>
      <c r="L2794" s="20"/>
      <c r="M2794" s="20"/>
      <c r="N2794" s="126"/>
      <c r="O2794" s="126"/>
      <c r="P2794" s="126"/>
      <c r="Q2794" s="198"/>
      <c r="R2794" s="199"/>
      <c r="S2794" s="199"/>
      <c r="AE2794" s="20"/>
      <c r="AF2794" s="20"/>
      <c r="AG2794" s="20"/>
      <c r="AH2794" s="20"/>
      <c r="AI2794" s="20"/>
      <c r="AJ2794" s="20"/>
      <c r="AK2794" s="20"/>
      <c r="AL2794" s="219"/>
      <c r="AM2794" s="216"/>
      <c r="AN2794" s="20"/>
    </row>
    <row r="2795" spans="3:40">
      <c r="C2795" s="136"/>
      <c r="D2795" s="136"/>
      <c r="F2795" s="19"/>
      <c r="G2795" s="138"/>
      <c r="H2795" s="138"/>
      <c r="I2795" s="126"/>
      <c r="J2795" s="20"/>
      <c r="K2795" s="20"/>
      <c r="L2795" s="20"/>
      <c r="M2795" s="20"/>
      <c r="N2795" s="126"/>
      <c r="O2795" s="126"/>
      <c r="P2795" s="126"/>
      <c r="Q2795" s="198"/>
      <c r="R2795" s="199"/>
      <c r="S2795" s="199"/>
      <c r="AE2795" s="20"/>
      <c r="AF2795" s="20"/>
      <c r="AG2795" s="20"/>
      <c r="AH2795" s="20"/>
      <c r="AI2795" s="20"/>
      <c r="AJ2795" s="20"/>
      <c r="AK2795" s="20"/>
      <c r="AL2795" s="20"/>
      <c r="AM2795" s="20"/>
      <c r="AN2795" s="20"/>
    </row>
    <row r="2796" spans="3:40">
      <c r="C2796" s="136"/>
      <c r="D2796" s="136"/>
      <c r="F2796" s="19"/>
      <c r="G2796" s="138"/>
      <c r="H2796" s="138"/>
      <c r="I2796" s="126"/>
      <c r="J2796" s="20"/>
      <c r="K2796" s="20"/>
      <c r="L2796" s="20"/>
      <c r="M2796" s="20"/>
      <c r="N2796" s="126"/>
      <c r="O2796" s="126"/>
      <c r="P2796" s="126"/>
      <c r="Q2796" s="198"/>
      <c r="R2796" s="199"/>
      <c r="S2796" s="199"/>
      <c r="AE2796" s="20"/>
      <c r="AF2796" s="20"/>
      <c r="AG2796" s="20"/>
      <c r="AH2796" s="20"/>
      <c r="AI2796" s="20"/>
      <c r="AJ2796" s="20"/>
      <c r="AK2796" s="20"/>
      <c r="AL2796" s="219"/>
      <c r="AM2796" s="216"/>
      <c r="AN2796" s="20"/>
    </row>
    <row r="2797" spans="3:40">
      <c r="C2797" s="136"/>
      <c r="D2797" s="136"/>
      <c r="F2797" s="19"/>
      <c r="G2797" s="138"/>
      <c r="H2797" s="138"/>
      <c r="I2797" s="126"/>
      <c r="J2797" s="20"/>
      <c r="K2797" s="20"/>
      <c r="L2797" s="20"/>
      <c r="M2797" s="20"/>
      <c r="N2797" s="126"/>
      <c r="O2797" s="126"/>
      <c r="P2797" s="126"/>
      <c r="Q2797" s="198"/>
      <c r="R2797" s="199"/>
      <c r="S2797" s="199"/>
      <c r="AE2797" s="20"/>
      <c r="AF2797" s="20"/>
      <c r="AG2797" s="20"/>
      <c r="AH2797" s="20"/>
      <c r="AI2797" s="20"/>
      <c r="AJ2797" s="20"/>
      <c r="AK2797" s="20"/>
      <c r="AL2797" s="20"/>
      <c r="AM2797" s="20"/>
      <c r="AN2797" s="20"/>
    </row>
    <row r="2798" spans="3:40">
      <c r="C2798" s="136"/>
      <c r="D2798" s="136"/>
      <c r="F2798" s="19"/>
      <c r="G2798" s="138"/>
      <c r="H2798" s="138"/>
      <c r="I2798" s="126"/>
      <c r="J2798" s="20"/>
      <c r="K2798" s="20"/>
      <c r="L2798" s="20"/>
      <c r="M2798" s="20"/>
      <c r="N2798" s="126"/>
      <c r="O2798" s="126"/>
      <c r="P2798" s="126"/>
      <c r="Q2798" s="198"/>
      <c r="R2798" s="199"/>
      <c r="S2798" s="199"/>
      <c r="AE2798" s="20"/>
      <c r="AF2798" s="20"/>
      <c r="AG2798" s="20"/>
      <c r="AH2798" s="20"/>
      <c r="AI2798" s="20"/>
      <c r="AJ2798" s="20"/>
      <c r="AK2798" s="20"/>
      <c r="AL2798" s="219"/>
      <c r="AM2798" s="216"/>
      <c r="AN2798" s="20"/>
    </row>
    <row r="2799" spans="3:40">
      <c r="C2799" s="136"/>
      <c r="D2799" s="136"/>
      <c r="F2799" s="19"/>
      <c r="G2799" s="138"/>
      <c r="H2799" s="138"/>
      <c r="I2799" s="126"/>
      <c r="J2799" s="20"/>
      <c r="K2799" s="20"/>
      <c r="L2799" s="20"/>
      <c r="M2799" s="20"/>
      <c r="N2799" s="126"/>
      <c r="O2799" s="126"/>
      <c r="P2799" s="126"/>
      <c r="Q2799" s="198"/>
      <c r="R2799" s="199"/>
      <c r="S2799" s="199"/>
      <c r="AE2799" s="20"/>
      <c r="AF2799" s="20"/>
      <c r="AG2799" s="20"/>
      <c r="AH2799" s="20"/>
      <c r="AI2799" s="20"/>
      <c r="AJ2799" s="20"/>
      <c r="AK2799" s="20"/>
      <c r="AL2799" s="219"/>
      <c r="AM2799" s="216"/>
      <c r="AN2799" s="20"/>
    </row>
    <row r="2800" spans="3:40">
      <c r="C2800" s="136"/>
      <c r="D2800" s="136"/>
      <c r="F2800" s="19"/>
      <c r="G2800" s="138"/>
      <c r="H2800" s="138"/>
      <c r="I2800" s="126"/>
      <c r="J2800" s="20"/>
      <c r="K2800" s="20"/>
      <c r="L2800" s="20"/>
      <c r="M2800" s="20"/>
      <c r="N2800" s="126"/>
      <c r="O2800" s="126"/>
      <c r="P2800" s="126"/>
      <c r="Q2800" s="198"/>
      <c r="R2800" s="199"/>
      <c r="S2800" s="199"/>
      <c r="AE2800" s="20"/>
      <c r="AF2800" s="20"/>
      <c r="AG2800" s="20"/>
      <c r="AH2800" s="20"/>
      <c r="AI2800" s="20"/>
      <c r="AJ2800" s="20"/>
      <c r="AK2800" s="20"/>
      <c r="AL2800" s="219"/>
      <c r="AM2800" s="216"/>
      <c r="AN2800" s="20"/>
    </row>
    <row r="2801" spans="3:40">
      <c r="C2801" s="136"/>
      <c r="D2801" s="136"/>
      <c r="F2801" s="19"/>
      <c r="G2801" s="138"/>
      <c r="H2801" s="138"/>
      <c r="I2801" s="126"/>
      <c r="J2801" s="20"/>
      <c r="K2801" s="20"/>
      <c r="L2801" s="20"/>
      <c r="M2801" s="20"/>
      <c r="N2801" s="126"/>
      <c r="O2801" s="126"/>
      <c r="P2801" s="126"/>
      <c r="Q2801" s="198"/>
      <c r="R2801" s="199"/>
      <c r="S2801" s="199"/>
      <c r="AE2801" s="20"/>
      <c r="AF2801" s="20"/>
      <c r="AG2801" s="20"/>
      <c r="AH2801" s="20"/>
      <c r="AI2801" s="20"/>
      <c r="AJ2801" s="20"/>
      <c r="AK2801" s="20"/>
      <c r="AL2801" s="219"/>
      <c r="AM2801" s="216"/>
      <c r="AN2801" s="20"/>
    </row>
    <row r="2802" spans="3:40">
      <c r="C2802" s="136"/>
      <c r="D2802" s="136"/>
      <c r="F2802" s="19"/>
      <c r="G2802" s="138"/>
      <c r="H2802" s="138"/>
      <c r="I2802" s="126"/>
      <c r="J2802" s="20"/>
      <c r="K2802" s="20"/>
      <c r="L2802" s="20"/>
      <c r="M2802" s="20"/>
      <c r="N2802" s="126"/>
      <c r="O2802" s="126"/>
      <c r="P2802" s="126"/>
      <c r="Q2802" s="198"/>
      <c r="R2802" s="199"/>
      <c r="S2802" s="199"/>
      <c r="AE2802" s="20"/>
      <c r="AF2802" s="20"/>
      <c r="AG2802" s="20"/>
      <c r="AH2802" s="20"/>
      <c r="AI2802" s="20"/>
      <c r="AJ2802" s="20"/>
      <c r="AK2802" s="20"/>
      <c r="AL2802" s="219"/>
      <c r="AM2802" s="216"/>
      <c r="AN2802" s="20"/>
    </row>
    <row r="2803" spans="3:40">
      <c r="C2803" s="136"/>
      <c r="D2803" s="136"/>
      <c r="F2803" s="19"/>
      <c r="G2803" s="138"/>
      <c r="H2803" s="138"/>
      <c r="I2803" s="126"/>
      <c r="J2803" s="20"/>
      <c r="K2803" s="20"/>
      <c r="L2803" s="20"/>
      <c r="M2803" s="20"/>
      <c r="N2803" s="126"/>
      <c r="O2803" s="126"/>
      <c r="P2803" s="126"/>
      <c r="Q2803" s="198"/>
      <c r="R2803" s="199"/>
      <c r="S2803" s="199"/>
      <c r="AE2803" s="20"/>
      <c r="AF2803" s="20"/>
      <c r="AG2803" s="20"/>
      <c r="AH2803" s="20"/>
      <c r="AI2803" s="20"/>
      <c r="AJ2803" s="20"/>
      <c r="AK2803" s="20"/>
      <c r="AL2803" s="219"/>
      <c r="AM2803" s="216"/>
      <c r="AN2803" s="20"/>
    </row>
    <row r="2804" spans="3:40">
      <c r="C2804" s="136"/>
      <c r="D2804" s="136"/>
      <c r="F2804" s="19"/>
      <c r="G2804" s="138"/>
      <c r="H2804" s="138"/>
      <c r="I2804" s="126"/>
      <c r="J2804" s="20"/>
      <c r="K2804" s="20"/>
      <c r="L2804" s="20"/>
      <c r="M2804" s="20"/>
      <c r="N2804" s="126"/>
      <c r="O2804" s="126"/>
      <c r="P2804" s="126"/>
      <c r="Q2804" s="198"/>
      <c r="R2804" s="199"/>
      <c r="S2804" s="199"/>
      <c r="AE2804" s="20"/>
      <c r="AF2804" s="20"/>
      <c r="AG2804" s="20"/>
      <c r="AH2804" s="20"/>
      <c r="AI2804" s="20"/>
      <c r="AJ2804" s="20"/>
      <c r="AK2804" s="20"/>
      <c r="AL2804" s="219"/>
      <c r="AM2804" s="216"/>
      <c r="AN2804" s="20"/>
    </row>
    <row r="2805" spans="3:40">
      <c r="C2805" s="136"/>
      <c r="D2805" s="136"/>
      <c r="F2805" s="19"/>
      <c r="G2805" s="138"/>
      <c r="H2805" s="138"/>
      <c r="I2805" s="126"/>
      <c r="J2805" s="20"/>
      <c r="K2805" s="20"/>
      <c r="L2805" s="20"/>
      <c r="M2805" s="20"/>
      <c r="N2805" s="126"/>
      <c r="O2805" s="126"/>
      <c r="P2805" s="126"/>
      <c r="Q2805" s="198"/>
      <c r="R2805" s="199"/>
      <c r="S2805" s="199"/>
      <c r="AE2805" s="20"/>
      <c r="AF2805" s="20"/>
      <c r="AG2805" s="20"/>
      <c r="AH2805" s="20"/>
      <c r="AI2805" s="20"/>
      <c r="AJ2805" s="20"/>
      <c r="AK2805" s="20"/>
      <c r="AL2805" s="219"/>
      <c r="AM2805" s="216"/>
      <c r="AN2805" s="20"/>
    </row>
    <row r="2806" spans="3:40">
      <c r="C2806" s="136"/>
      <c r="D2806" s="136"/>
      <c r="F2806" s="19"/>
      <c r="G2806" s="138"/>
      <c r="H2806" s="138"/>
      <c r="I2806" s="126"/>
      <c r="J2806" s="20"/>
      <c r="K2806" s="20"/>
      <c r="L2806" s="20"/>
      <c r="M2806" s="20"/>
      <c r="N2806" s="126"/>
      <c r="O2806" s="126"/>
      <c r="P2806" s="126"/>
      <c r="Q2806" s="198"/>
      <c r="R2806" s="199"/>
      <c r="S2806" s="199"/>
      <c r="AE2806" s="20"/>
      <c r="AF2806" s="20"/>
      <c r="AG2806" s="20"/>
      <c r="AH2806" s="20"/>
      <c r="AI2806" s="20"/>
      <c r="AJ2806" s="20"/>
      <c r="AK2806" s="20"/>
      <c r="AL2806" s="219"/>
      <c r="AM2806" s="216"/>
      <c r="AN2806" s="20"/>
    </row>
    <row r="2807" spans="3:40">
      <c r="C2807" s="136"/>
      <c r="D2807" s="136"/>
      <c r="F2807" s="19"/>
      <c r="G2807" s="138"/>
      <c r="H2807" s="138"/>
      <c r="I2807" s="126"/>
      <c r="J2807" s="20"/>
      <c r="K2807" s="20"/>
      <c r="L2807" s="20"/>
      <c r="M2807" s="20"/>
      <c r="N2807" s="126"/>
      <c r="O2807" s="126"/>
      <c r="P2807" s="126"/>
      <c r="Q2807" s="198"/>
      <c r="R2807" s="199"/>
      <c r="S2807" s="199"/>
      <c r="AE2807" s="20"/>
      <c r="AF2807" s="20"/>
      <c r="AG2807" s="20"/>
      <c r="AH2807" s="20"/>
      <c r="AI2807" s="20"/>
      <c r="AJ2807" s="20"/>
      <c r="AK2807" s="20"/>
      <c r="AL2807" s="219"/>
      <c r="AM2807" s="216"/>
      <c r="AN2807" s="20"/>
    </row>
    <row r="2808" spans="3:40">
      <c r="C2808" s="136"/>
      <c r="D2808" s="136"/>
      <c r="F2808" s="19"/>
      <c r="G2808" s="138"/>
      <c r="H2808" s="138"/>
      <c r="I2808" s="126"/>
      <c r="J2808" s="20"/>
      <c r="K2808" s="20"/>
      <c r="L2808" s="20"/>
      <c r="M2808" s="20"/>
      <c r="N2808" s="126"/>
      <c r="O2808" s="126"/>
      <c r="P2808" s="126"/>
      <c r="Q2808" s="198"/>
      <c r="R2808" s="199"/>
      <c r="S2808" s="199"/>
      <c r="AE2808" s="20"/>
      <c r="AF2808" s="20"/>
      <c r="AG2808" s="20"/>
      <c r="AH2808" s="20"/>
      <c r="AI2808" s="20"/>
      <c r="AJ2808" s="20"/>
      <c r="AK2808" s="20"/>
      <c r="AL2808" s="219"/>
      <c r="AM2808" s="216"/>
      <c r="AN2808" s="20"/>
    </row>
    <row r="2809" spans="3:40">
      <c r="C2809" s="136"/>
      <c r="D2809" s="136"/>
      <c r="F2809" s="19"/>
      <c r="G2809" s="138"/>
      <c r="H2809" s="138"/>
      <c r="I2809" s="126"/>
      <c r="J2809" s="20"/>
      <c r="K2809" s="20"/>
      <c r="L2809" s="20"/>
      <c r="M2809" s="20"/>
      <c r="N2809" s="126"/>
      <c r="O2809" s="126"/>
      <c r="P2809" s="126"/>
      <c r="Q2809" s="198"/>
      <c r="R2809" s="199"/>
      <c r="S2809" s="199"/>
      <c r="AE2809" s="20"/>
      <c r="AF2809" s="20"/>
      <c r="AG2809" s="20"/>
      <c r="AH2809" s="20"/>
      <c r="AI2809" s="20"/>
      <c r="AJ2809" s="20"/>
      <c r="AK2809" s="20"/>
      <c r="AL2809" s="219"/>
      <c r="AM2809" s="216"/>
      <c r="AN2809" s="20"/>
    </row>
    <row r="2810" spans="3:40">
      <c r="C2810" s="136"/>
      <c r="D2810" s="136"/>
      <c r="F2810" s="19"/>
      <c r="G2810" s="138"/>
      <c r="H2810" s="138"/>
      <c r="I2810" s="126"/>
      <c r="J2810" s="20"/>
      <c r="K2810" s="20"/>
      <c r="L2810" s="20"/>
      <c r="M2810" s="20"/>
      <c r="N2810" s="126"/>
      <c r="O2810" s="126"/>
      <c r="P2810" s="126"/>
      <c r="Q2810" s="198"/>
      <c r="R2810" s="199"/>
      <c r="S2810" s="199"/>
      <c r="AE2810" s="20"/>
      <c r="AF2810" s="20"/>
      <c r="AG2810" s="20"/>
      <c r="AH2810" s="20"/>
      <c r="AI2810" s="20"/>
      <c r="AJ2810" s="20"/>
      <c r="AK2810" s="20"/>
      <c r="AL2810" s="219"/>
      <c r="AM2810" s="216"/>
      <c r="AN2810" s="20"/>
    </row>
    <row r="2811" spans="3:40">
      <c r="C2811" s="136"/>
      <c r="D2811" s="136"/>
      <c r="F2811" s="19"/>
      <c r="G2811" s="138"/>
      <c r="H2811" s="138"/>
      <c r="I2811" s="126"/>
      <c r="J2811" s="20"/>
      <c r="K2811" s="20"/>
      <c r="L2811" s="20"/>
      <c r="M2811" s="20"/>
      <c r="N2811" s="126"/>
      <c r="O2811" s="126"/>
      <c r="P2811" s="126"/>
      <c r="Q2811" s="198"/>
      <c r="R2811" s="199"/>
      <c r="S2811" s="199"/>
      <c r="AE2811" s="20"/>
      <c r="AF2811" s="20"/>
      <c r="AG2811" s="20"/>
      <c r="AH2811" s="20"/>
      <c r="AI2811" s="20"/>
      <c r="AJ2811" s="20"/>
      <c r="AK2811" s="20"/>
      <c r="AL2811" s="219"/>
      <c r="AM2811" s="216"/>
      <c r="AN2811" s="20"/>
    </row>
    <row r="2812" spans="3:40">
      <c r="C2812" s="136"/>
      <c r="D2812" s="136"/>
      <c r="F2812" s="19"/>
      <c r="G2812" s="138"/>
      <c r="H2812" s="138"/>
      <c r="I2812" s="126"/>
      <c r="J2812" s="20"/>
      <c r="K2812" s="20"/>
      <c r="L2812" s="20"/>
      <c r="M2812" s="20"/>
      <c r="N2812" s="126"/>
      <c r="O2812" s="126"/>
      <c r="P2812" s="126"/>
      <c r="Q2812" s="198"/>
      <c r="R2812" s="199"/>
      <c r="S2812" s="199"/>
      <c r="AE2812" s="20"/>
      <c r="AF2812" s="20"/>
      <c r="AG2812" s="20"/>
      <c r="AH2812" s="20"/>
      <c r="AI2812" s="20"/>
      <c r="AJ2812" s="20"/>
      <c r="AK2812" s="20"/>
      <c r="AL2812" s="219"/>
      <c r="AM2812" s="216"/>
      <c r="AN2812" s="20"/>
    </row>
    <row r="2813" spans="3:40">
      <c r="C2813" s="136"/>
      <c r="D2813" s="136"/>
      <c r="F2813" s="19"/>
      <c r="G2813" s="138"/>
      <c r="H2813" s="138"/>
      <c r="I2813" s="126"/>
      <c r="J2813" s="20"/>
      <c r="K2813" s="20"/>
      <c r="L2813" s="20"/>
      <c r="M2813" s="20"/>
      <c r="N2813" s="126"/>
      <c r="O2813" s="126"/>
      <c r="P2813" s="126"/>
      <c r="Q2813" s="198"/>
      <c r="R2813" s="199"/>
      <c r="S2813" s="199"/>
      <c r="AE2813" s="20"/>
      <c r="AF2813" s="20"/>
      <c r="AG2813" s="20"/>
      <c r="AH2813" s="20"/>
      <c r="AI2813" s="20"/>
      <c r="AJ2813" s="20"/>
      <c r="AK2813" s="20"/>
      <c r="AL2813" s="219"/>
      <c r="AM2813" s="216"/>
      <c r="AN2813" s="20"/>
    </row>
    <row r="2814" spans="3:40">
      <c r="C2814" s="136"/>
      <c r="D2814" s="136"/>
      <c r="F2814" s="19"/>
      <c r="G2814" s="138"/>
      <c r="H2814" s="138"/>
      <c r="I2814" s="126"/>
      <c r="J2814" s="20"/>
      <c r="K2814" s="20"/>
      <c r="L2814" s="20"/>
      <c r="M2814" s="20"/>
      <c r="N2814" s="126"/>
      <c r="O2814" s="126"/>
      <c r="P2814" s="126"/>
      <c r="Q2814" s="198"/>
      <c r="R2814" s="199"/>
      <c r="S2814" s="199"/>
      <c r="AE2814" s="20"/>
      <c r="AF2814" s="20"/>
      <c r="AG2814" s="20"/>
      <c r="AH2814" s="20"/>
      <c r="AI2814" s="20"/>
      <c r="AJ2814" s="20"/>
      <c r="AK2814" s="20"/>
      <c r="AL2814" s="219"/>
      <c r="AM2814" s="216"/>
      <c r="AN2814" s="20"/>
    </row>
  </sheetData>
  <autoFilter xmlns:etc="http://www.wps.cn/officeDocument/2017/etCustomData" ref="C5:AL2814" etc:filterBottomFollowUsedRange="0">
    <extLst/>
  </autoFilter>
  <dataValidations count="6">
    <dataValidation showInputMessage="1" showErrorMessage="1" error=" " promptTitle="Lookup (required)" prompt="This Product record must already exist in Microsoft Dynamics 365 or in this source file." sqref="J47 J49:J59"/>
    <dataValidation type="date" operator="greaterThanOrEqual" showInputMessage="1" showErrorMessage="1" errorTitle="Invalid Date" error="Transaction Date must be in the correct date format." promptTitle="Date (required)" prompt=" " sqref="Q39:Q59">
      <formula1>1</formula1>
    </dataValidation>
    <dataValidation allowBlank="1" showInputMessage="1" showErrorMessage="1" error=" " promptTitle="Lookup" prompt="This Potential Customer record must already exist in Microsoft Dynamics 365 or in this source file." sqref="AE39:AE59"/>
    <dataValidation showInputMessage="1" showErrorMessage="1" error=" " promptTitle="Lookup (required)" prompt="This Sales Person record must already exist in Microsoft Dynamics 365 or in this source file." sqref="AF39:AF59"/>
    <dataValidation type="textLength" operator="lessThanOrEqual" showInputMessage="1" showErrorMessage="1" errorTitle="Length Exceeded" error="This value must be less than or equal to 100 characters long." promptTitle="Text (required)" prompt="Maximum Length: 100 characters." sqref="AH39:AH59">
      <formula1>100</formula1>
    </dataValidation>
    <dataValidation allowBlank="1" showInputMessage="1" showErrorMessage="1" error=" " promptTitle="Lookup" prompt="This Financing Company record must already exist in Microsoft Dynamics 365 or in this source file." sqref="AJ39:AJ59"/>
  </dataValidations>
  <pageMargins left="0.7" right="0.7" top="0.75" bottom="0.75" header="0.3" footer="0.3"/>
  <pageSetup paperSize="1" orientation="portrait" horizontalDpi="120" verticalDpi="72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/>
  </sheetPr>
  <dimension ref="A1:BQ22"/>
  <sheetViews>
    <sheetView zoomScale="80" zoomScaleNormal="80" workbookViewId="0">
      <selection activeCell="BP24" sqref="BP24"/>
    </sheetView>
  </sheetViews>
  <sheetFormatPr defaultColWidth="9" defaultRowHeight="15"/>
  <cols>
    <col min="1" max="1" width="14.4571428571429" customWidth="1"/>
    <col min="2" max="2" width="18.7142857142857"/>
    <col min="3" max="3" width="19.8571428571429"/>
    <col min="4" max="4" width="2.26666666666667" customWidth="1"/>
    <col min="5" max="5" width="17.2666666666667" customWidth="1"/>
    <col min="6" max="6" width="22.8571428571429"/>
    <col min="7" max="7" width="19.8571428571429"/>
    <col min="8" max="8" width="2.26666666666667" customWidth="1"/>
    <col min="9" max="9" width="14.4571428571429" customWidth="1"/>
    <col min="10" max="10" width="10.2857142857143"/>
    <col min="11" max="11" width="19.8571428571429"/>
    <col min="12" max="12" width="2.26666666666667" customWidth="1"/>
    <col min="13" max="13" width="14.4571428571429" customWidth="1"/>
    <col min="14" max="14" width="18.7142857142857"/>
    <col min="15" max="15" width="19.8571428571429"/>
    <col min="16" max="16" width="2.26666666666667" customWidth="1"/>
    <col min="17" max="17" width="21.4571428571429" customWidth="1"/>
    <col min="18" max="18" width="18.7142857142857"/>
    <col min="19" max="19" width="19.8571428571429"/>
    <col min="20" max="20" width="2.26666666666667" customWidth="1"/>
    <col min="21" max="21" width="21.4571428571429" customWidth="1"/>
    <col min="22" max="22" width="18.7142857142857"/>
    <col min="23" max="23" width="19.8571428571429"/>
    <col min="24" max="24" width="2.26666666666667" customWidth="1"/>
    <col min="25" max="25" width="14.4571428571429" customWidth="1"/>
    <col min="26" max="26" width="22.8571428571429"/>
    <col min="27" max="27" width="19.8571428571429"/>
    <col min="28" max="28" width="2.26666666666667" customWidth="1"/>
    <col min="29" max="29" width="14.4571428571429" customWidth="1"/>
    <col min="30" max="30" width="18.7142857142857"/>
    <col min="31" max="31" width="19.8571428571429"/>
    <col min="32" max="32" width="2.26666666666667" customWidth="1"/>
    <col min="33" max="33" width="14.4571428571429" customWidth="1"/>
    <col min="34" max="34" width="23.4285714285714"/>
    <col min="35" max="35" width="19.8571428571429"/>
    <col min="36" max="36" width="2.26666666666667" customWidth="1"/>
    <col min="37" max="37" width="14.4571428571429" customWidth="1"/>
    <col min="38" max="38" width="18.7142857142857"/>
    <col min="39" max="39" width="19.8571428571429"/>
    <col min="40" max="40" width="2.26666666666667" customWidth="1"/>
    <col min="41" max="41" width="14.4571428571429" customWidth="1"/>
    <col min="42" max="42" width="18.7142857142857"/>
    <col min="43" max="43" width="19.8571428571429"/>
    <col min="44" max="44" width="2.26666666666667" customWidth="1"/>
    <col min="45" max="45" width="17.2666666666667" customWidth="1"/>
    <col min="46" max="46" width="22.8571428571429"/>
    <col min="47" max="47" width="19.8571428571429"/>
    <col min="48" max="48" width="2.26666666666667" customWidth="1"/>
    <col min="49" max="49" width="17.2666666666667" customWidth="1"/>
    <col min="50" max="50" width="18.7142857142857"/>
    <col min="51" max="51" width="19.8571428571429"/>
    <col min="52" max="52" width="2.26666666666667" customWidth="1"/>
    <col min="53" max="53" width="17.2666666666667" customWidth="1"/>
    <col min="54" max="54" width="12.8571428571429"/>
    <col min="55" max="55" width="19.8571428571429"/>
    <col min="56" max="56" width="2.26666666666667" customWidth="1"/>
    <col min="57" max="57" width="17.2666666666667" customWidth="1"/>
    <col min="58" max="58" width="18.7142857142857"/>
    <col min="59" max="59" width="19.8571428571429"/>
    <col min="60" max="60" width="2.26666666666667" customWidth="1"/>
    <col min="61" max="61" width="17.2666666666667" customWidth="1"/>
    <col min="62" max="62" width="23.4285714285714"/>
    <col min="63" max="63" width="19.8571428571429"/>
    <col min="64" max="64" width="2.26666666666667" customWidth="1"/>
    <col min="65" max="65" width="32.4285714285714"/>
    <col min="66" max="66" width="19.8571428571429"/>
    <col min="67" max="67" width="2.26666666666667" customWidth="1"/>
    <col min="68" max="68" width="32.4285714285714"/>
    <col min="69" max="69" width="19.8571428571429"/>
  </cols>
  <sheetData>
    <row r="1" ht="21" spans="1:69">
      <c r="A1" s="94" t="s">
        <v>359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O1" s="96" t="s">
        <v>360</v>
      </c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M1" s="98" t="s">
        <v>361</v>
      </c>
      <c r="BN1" s="99"/>
      <c r="BO1" s="99"/>
      <c r="BP1" s="99"/>
      <c r="BQ1" s="99"/>
    </row>
    <row r="2" spans="1:69">
      <c r="A2" t="s">
        <v>362</v>
      </c>
      <c r="E2" t="s">
        <v>363</v>
      </c>
      <c r="I2" t="s">
        <v>364</v>
      </c>
      <c r="M2" t="s">
        <v>365</v>
      </c>
      <c r="Q2" t="s">
        <v>366</v>
      </c>
      <c r="U2" t="s">
        <v>367</v>
      </c>
      <c r="Y2" t="s">
        <v>368</v>
      </c>
      <c r="AC2" t="s">
        <v>369</v>
      </c>
      <c r="AG2" t="s">
        <v>370</v>
      </c>
      <c r="AK2" t="s">
        <v>371</v>
      </c>
      <c r="AO2" t="s">
        <v>372</v>
      </c>
      <c r="AS2" t="s">
        <v>373</v>
      </c>
      <c r="AW2" t="s">
        <v>374</v>
      </c>
      <c r="BA2" t="s">
        <v>375</v>
      </c>
      <c r="BE2" t="s">
        <v>376</v>
      </c>
      <c r="BI2" t="s">
        <v>377</v>
      </c>
      <c r="BM2" t="s">
        <v>378</v>
      </c>
      <c r="BP2" t="s">
        <v>379</v>
      </c>
    </row>
    <row r="3" spans="1:69">
      <c r="A3" t="s">
        <v>234</v>
      </c>
      <c r="B3" t="s">
        <v>380</v>
      </c>
      <c r="E3" t="s">
        <v>234</v>
      </c>
      <c r="F3" t="s">
        <v>380</v>
      </c>
      <c r="I3" t="s">
        <v>234</v>
      </c>
      <c r="J3" t="s">
        <v>380</v>
      </c>
      <c r="M3" t="s">
        <v>234</v>
      </c>
      <c r="N3" t="s">
        <v>380</v>
      </c>
      <c r="Q3" t="s">
        <v>234</v>
      </c>
      <c r="R3" t="s">
        <v>380</v>
      </c>
      <c r="U3" t="s">
        <v>234</v>
      </c>
      <c r="V3" t="s">
        <v>380</v>
      </c>
      <c r="Y3" t="s">
        <v>234</v>
      </c>
      <c r="Z3" t="s">
        <v>380</v>
      </c>
      <c r="AC3" t="s">
        <v>234</v>
      </c>
      <c r="AD3" t="s">
        <v>380</v>
      </c>
      <c r="AG3" t="s">
        <v>234</v>
      </c>
      <c r="AH3" t="s">
        <v>380</v>
      </c>
      <c r="AK3" t="s">
        <v>234</v>
      </c>
      <c r="AL3" t="s">
        <v>380</v>
      </c>
      <c r="AO3" t="s">
        <v>234</v>
      </c>
      <c r="AP3" t="s">
        <v>380</v>
      </c>
      <c r="AS3" t="s">
        <v>234</v>
      </c>
      <c r="AT3" t="s">
        <v>380</v>
      </c>
      <c r="AW3" t="s">
        <v>234</v>
      </c>
      <c r="AX3" t="s">
        <v>380</v>
      </c>
      <c r="BA3" t="s">
        <v>234</v>
      </c>
      <c r="BB3" t="s">
        <v>380</v>
      </c>
      <c r="BE3" t="s">
        <v>234</v>
      </c>
      <c r="BF3" t="s">
        <v>380</v>
      </c>
      <c r="BI3" t="s">
        <v>234</v>
      </c>
      <c r="BJ3" t="s">
        <v>380</v>
      </c>
    </row>
    <row r="4" spans="1:69">
      <c r="A4" t="s">
        <v>233</v>
      </c>
      <c r="B4" t="s">
        <v>105</v>
      </c>
      <c r="E4" t="s">
        <v>233</v>
      </c>
      <c r="F4" t="s">
        <v>105</v>
      </c>
      <c r="I4" t="s">
        <v>233</v>
      </c>
      <c r="J4" t="s">
        <v>381</v>
      </c>
      <c r="M4" t="s">
        <v>233</v>
      </c>
      <c r="N4" t="s">
        <v>381</v>
      </c>
      <c r="Q4" t="s">
        <v>233</v>
      </c>
      <c r="R4" t="s">
        <v>382</v>
      </c>
      <c r="U4" t="s">
        <v>233</v>
      </c>
      <c r="V4" t="s">
        <v>383</v>
      </c>
      <c r="Y4" t="s">
        <v>233</v>
      </c>
      <c r="Z4" t="s">
        <v>384</v>
      </c>
      <c r="AC4" t="s">
        <v>233</v>
      </c>
      <c r="AD4" t="s">
        <v>384</v>
      </c>
      <c r="AG4" t="s">
        <v>233</v>
      </c>
      <c r="AH4" t="s">
        <v>383</v>
      </c>
      <c r="AK4" t="s">
        <v>233</v>
      </c>
      <c r="AL4" t="s">
        <v>383</v>
      </c>
      <c r="AO4" t="s">
        <v>233</v>
      </c>
      <c r="AP4" t="s">
        <v>105</v>
      </c>
      <c r="AS4" t="s">
        <v>233</v>
      </c>
      <c r="AT4" t="s">
        <v>105</v>
      </c>
      <c r="AW4" t="s">
        <v>233</v>
      </c>
      <c r="AX4" t="s">
        <v>105</v>
      </c>
      <c r="BA4" t="s">
        <v>233</v>
      </c>
      <c r="BB4" t="s">
        <v>105</v>
      </c>
      <c r="BE4" t="s">
        <v>233</v>
      </c>
      <c r="BF4" t="s">
        <v>382</v>
      </c>
      <c r="BI4" t="s">
        <v>233</v>
      </c>
      <c r="BJ4" t="s">
        <v>382</v>
      </c>
      <c r="BM4" t="s">
        <v>234</v>
      </c>
      <c r="BN4" t="s">
        <v>380</v>
      </c>
      <c r="BP4" t="s">
        <v>234</v>
      </c>
      <c r="BQ4" t="s">
        <v>380</v>
      </c>
    </row>
    <row r="5" spans="1:69">
      <c r="A5" t="s">
        <v>8</v>
      </c>
      <c r="B5" t="s">
        <v>382</v>
      </c>
      <c r="E5" t="s">
        <v>8</v>
      </c>
      <c r="F5" t="s">
        <v>11</v>
      </c>
      <c r="I5" t="s">
        <v>8</v>
      </c>
      <c r="J5" t="s">
        <v>11</v>
      </c>
      <c r="M5" t="s">
        <v>8</v>
      </c>
      <c r="N5" t="s">
        <v>11</v>
      </c>
      <c r="Q5" t="s">
        <v>8</v>
      </c>
      <c r="R5" t="s">
        <v>11</v>
      </c>
      <c r="U5" t="s">
        <v>8</v>
      </c>
      <c r="V5" t="s">
        <v>11</v>
      </c>
      <c r="Y5" t="s">
        <v>8</v>
      </c>
      <c r="Z5" t="s">
        <v>382</v>
      </c>
      <c r="AC5" t="s">
        <v>8</v>
      </c>
      <c r="AD5" t="s">
        <v>382</v>
      </c>
      <c r="AG5" t="s">
        <v>8</v>
      </c>
      <c r="AH5" t="s">
        <v>382</v>
      </c>
      <c r="AK5" t="s">
        <v>8</v>
      </c>
      <c r="AL5" t="s">
        <v>382</v>
      </c>
      <c r="AO5" t="s">
        <v>8</v>
      </c>
      <c r="AP5" t="s">
        <v>382</v>
      </c>
      <c r="AS5" t="s">
        <v>8</v>
      </c>
      <c r="AT5" t="s">
        <v>11</v>
      </c>
      <c r="AW5" t="s">
        <v>8</v>
      </c>
      <c r="AX5" t="s">
        <v>382</v>
      </c>
      <c r="BA5" t="s">
        <v>8</v>
      </c>
      <c r="BB5" t="s">
        <v>11</v>
      </c>
      <c r="BE5" t="s">
        <v>8</v>
      </c>
      <c r="BF5" t="s">
        <v>11</v>
      </c>
      <c r="BI5" t="s">
        <v>8</v>
      </c>
      <c r="BJ5" t="s">
        <v>382</v>
      </c>
      <c r="BM5" t="s">
        <v>233</v>
      </c>
      <c r="BN5" t="s">
        <v>380</v>
      </c>
      <c r="BP5" t="s">
        <v>233</v>
      </c>
      <c r="BQ5" t="s">
        <v>105</v>
      </c>
    </row>
    <row r="6" spans="1:69">
      <c r="A6" t="s">
        <v>9</v>
      </c>
      <c r="B6" t="s">
        <v>380</v>
      </c>
      <c r="E6" t="s">
        <v>9</v>
      </c>
      <c r="F6" t="s">
        <v>380</v>
      </c>
      <c r="I6" t="s">
        <v>9</v>
      </c>
      <c r="J6" t="s">
        <v>380</v>
      </c>
      <c r="M6" t="s">
        <v>9</v>
      </c>
      <c r="N6" t="s">
        <v>382</v>
      </c>
      <c r="Q6" t="s">
        <v>9</v>
      </c>
      <c r="R6" t="s">
        <v>380</v>
      </c>
      <c r="U6" t="s">
        <v>9</v>
      </c>
      <c r="V6" t="s">
        <v>382</v>
      </c>
      <c r="Y6" t="s">
        <v>9</v>
      </c>
      <c r="Z6" t="s">
        <v>380</v>
      </c>
      <c r="AC6" t="s">
        <v>9</v>
      </c>
      <c r="AD6" t="s">
        <v>382</v>
      </c>
      <c r="AG6" t="s">
        <v>9</v>
      </c>
      <c r="AH6" t="s">
        <v>380</v>
      </c>
      <c r="AK6" t="s">
        <v>9</v>
      </c>
      <c r="AL6" t="s">
        <v>382</v>
      </c>
      <c r="AO6" t="s">
        <v>9</v>
      </c>
      <c r="AP6" t="s">
        <v>382</v>
      </c>
      <c r="AS6" t="s">
        <v>9</v>
      </c>
      <c r="AT6" t="s">
        <v>382</v>
      </c>
      <c r="AW6" t="s">
        <v>9</v>
      </c>
      <c r="AX6" t="s">
        <v>16</v>
      </c>
      <c r="BA6" t="s">
        <v>9</v>
      </c>
      <c r="BB6" t="s">
        <v>16</v>
      </c>
      <c r="BE6" t="s">
        <v>9</v>
      </c>
      <c r="BF6" t="s">
        <v>16</v>
      </c>
      <c r="BI6" t="s">
        <v>9</v>
      </c>
      <c r="BJ6" t="s">
        <v>16</v>
      </c>
      <c r="BM6" t="s">
        <v>8</v>
      </c>
      <c r="BN6" t="s">
        <v>11</v>
      </c>
      <c r="BP6" t="s">
        <v>8</v>
      </c>
      <c r="BQ6" t="s">
        <v>382</v>
      </c>
    </row>
    <row r="8" customHeight="1" spans="1:69">
      <c r="A8" s="79" t="s">
        <v>2</v>
      </c>
      <c r="B8" t="s">
        <v>141</v>
      </c>
      <c r="C8" t="s">
        <v>385</v>
      </c>
      <c r="E8" t="s">
        <v>2</v>
      </c>
      <c r="F8" t="s">
        <v>141</v>
      </c>
      <c r="G8" t="s">
        <v>385</v>
      </c>
      <c r="I8" t="s">
        <v>2</v>
      </c>
      <c r="J8" t="s">
        <v>141</v>
      </c>
      <c r="K8" t="s">
        <v>385</v>
      </c>
      <c r="M8" t="s">
        <v>2</v>
      </c>
      <c r="N8" t="s">
        <v>141</v>
      </c>
      <c r="O8" t="s">
        <v>385</v>
      </c>
      <c r="Q8" t="s">
        <v>2</v>
      </c>
      <c r="R8" t="s">
        <v>141</v>
      </c>
      <c r="S8" t="s">
        <v>385</v>
      </c>
      <c r="U8" t="s">
        <v>2</v>
      </c>
      <c r="V8" t="s">
        <v>141</v>
      </c>
      <c r="W8" t="s">
        <v>385</v>
      </c>
      <c r="Y8" t="s">
        <v>2</v>
      </c>
      <c r="Z8" t="s">
        <v>141</v>
      </c>
      <c r="AA8" t="s">
        <v>385</v>
      </c>
      <c r="AC8" t="s">
        <v>2</v>
      </c>
      <c r="AD8" t="s">
        <v>141</v>
      </c>
      <c r="AE8" t="s">
        <v>385</v>
      </c>
      <c r="AG8" t="s">
        <v>2</v>
      </c>
      <c r="AH8" t="s">
        <v>141</v>
      </c>
      <c r="AI8" t="s">
        <v>385</v>
      </c>
      <c r="AK8" t="s">
        <v>2</v>
      </c>
      <c r="AL8" t="s">
        <v>141</v>
      </c>
      <c r="AM8" t="s">
        <v>385</v>
      </c>
      <c r="AO8" t="s">
        <v>2</v>
      </c>
      <c r="AP8" t="s">
        <v>141</v>
      </c>
      <c r="AQ8" t="s">
        <v>385</v>
      </c>
      <c r="AS8" t="s">
        <v>2</v>
      </c>
      <c r="AT8" t="s">
        <v>141</v>
      </c>
      <c r="AU8" t="s">
        <v>385</v>
      </c>
      <c r="AW8" t="s">
        <v>2</v>
      </c>
      <c r="AX8" t="s">
        <v>141</v>
      </c>
      <c r="AY8" t="s">
        <v>385</v>
      </c>
      <c r="BA8" t="s">
        <v>2</v>
      </c>
      <c r="BB8" t="s">
        <v>141</v>
      </c>
      <c r="BC8" t="s">
        <v>385</v>
      </c>
      <c r="BE8" t="s">
        <v>2</v>
      </c>
      <c r="BF8" t="s">
        <v>141</v>
      </c>
      <c r="BG8" t="s">
        <v>385</v>
      </c>
      <c r="BI8" t="s">
        <v>2</v>
      </c>
      <c r="BJ8" t="s">
        <v>141</v>
      </c>
      <c r="BK8" t="s">
        <v>385</v>
      </c>
      <c r="BM8" t="s">
        <v>9</v>
      </c>
      <c r="BN8" t="s">
        <v>385</v>
      </c>
      <c r="BP8" t="s">
        <v>9</v>
      </c>
      <c r="BQ8" t="s">
        <v>385</v>
      </c>
    </row>
    <row r="9" spans="1:69">
      <c r="A9" t="s">
        <v>140</v>
      </c>
      <c r="B9" t="s">
        <v>386</v>
      </c>
      <c r="C9">
        <v>3</v>
      </c>
      <c r="E9" t="s">
        <v>140</v>
      </c>
      <c r="F9" t="s">
        <v>387</v>
      </c>
      <c r="G9">
        <v>1</v>
      </c>
      <c r="I9" t="s">
        <v>139</v>
      </c>
      <c r="J9"/>
      <c r="K9"/>
      <c r="M9" t="s">
        <v>139</v>
      </c>
      <c r="N9"/>
      <c r="O9"/>
      <c r="Q9" t="s">
        <v>139</v>
      </c>
      <c r="R9"/>
      <c r="S9"/>
      <c r="U9" t="s">
        <v>139</v>
      </c>
      <c r="V9"/>
      <c r="W9"/>
      <c r="Y9" t="s">
        <v>140</v>
      </c>
      <c r="Z9" t="s">
        <v>184</v>
      </c>
      <c r="AA9">
        <v>1</v>
      </c>
      <c r="AC9" t="s">
        <v>139</v>
      </c>
      <c r="AG9" t="s">
        <v>140</v>
      </c>
      <c r="AH9" t="s">
        <v>388</v>
      </c>
      <c r="AI9">
        <v>1</v>
      </c>
      <c r="AK9" t="s">
        <v>139</v>
      </c>
      <c r="AO9" t="s">
        <v>140</v>
      </c>
      <c r="AP9" t="s">
        <v>386</v>
      </c>
      <c r="AQ9">
        <v>3</v>
      </c>
      <c r="AS9" t="s">
        <v>140</v>
      </c>
      <c r="AT9" t="s">
        <v>387</v>
      </c>
      <c r="AU9">
        <v>1</v>
      </c>
      <c r="AW9" t="s">
        <v>140</v>
      </c>
      <c r="AX9" t="s">
        <v>387</v>
      </c>
      <c r="AY9">
        <v>1</v>
      </c>
      <c r="BA9" t="s">
        <v>139</v>
      </c>
      <c r="BB9"/>
      <c r="BC9"/>
      <c r="BE9" t="s">
        <v>139</v>
      </c>
      <c r="BF9"/>
      <c r="BG9"/>
      <c r="BI9" t="s">
        <v>140</v>
      </c>
      <c r="BJ9" t="s">
        <v>184</v>
      </c>
      <c r="BK9">
        <v>1</v>
      </c>
      <c r="BM9" t="s">
        <v>14</v>
      </c>
      <c r="BN9">
        <v>3</v>
      </c>
      <c r="BP9" t="s">
        <v>14</v>
      </c>
      <c r="BQ9">
        <v>13</v>
      </c>
    </row>
    <row r="10" spans="1:69">
      <c r="A10" t="s">
        <v>140</v>
      </c>
      <c r="B10" t="s">
        <v>387</v>
      </c>
      <c r="C10">
        <v>8</v>
      </c>
      <c r="E10" t="s">
        <v>140</v>
      </c>
      <c r="F10" t="s">
        <v>389</v>
      </c>
      <c r="G10">
        <v>1</v>
      </c>
      <c r="Y10" t="s">
        <v>140</v>
      </c>
      <c r="Z10" t="s">
        <v>389</v>
      </c>
      <c r="AA10">
        <v>1</v>
      </c>
      <c r="AG10" t="s">
        <v>390</v>
      </c>
      <c r="AI10">
        <v>1</v>
      </c>
      <c r="AO10" t="s">
        <v>140</v>
      </c>
      <c r="AP10" t="s">
        <v>387</v>
      </c>
      <c r="AQ10">
        <v>7</v>
      </c>
      <c r="AS10" t="s">
        <v>140</v>
      </c>
      <c r="AT10" t="s">
        <v>389</v>
      </c>
      <c r="AU10">
        <v>1</v>
      </c>
      <c r="AW10" t="s">
        <v>140</v>
      </c>
      <c r="AX10" t="s">
        <v>391</v>
      </c>
      <c r="AY10">
        <v>1</v>
      </c>
      <c r="BI10" t="s">
        <v>140</v>
      </c>
      <c r="BJ10" t="s">
        <v>389</v>
      </c>
      <c r="BK10">
        <v>1</v>
      </c>
      <c r="BM10" t="s">
        <v>12</v>
      </c>
      <c r="BN10">
        <v>15</v>
      </c>
      <c r="BP10" t="s">
        <v>12</v>
      </c>
      <c r="BQ10">
        <v>11</v>
      </c>
    </row>
    <row r="11" spans="1:69">
      <c r="A11" t="s">
        <v>140</v>
      </c>
      <c r="B11" t="s">
        <v>391</v>
      </c>
      <c r="C11">
        <v>3</v>
      </c>
      <c r="E11" t="s">
        <v>140</v>
      </c>
      <c r="F11" t="s">
        <v>392</v>
      </c>
      <c r="G11">
        <v>1</v>
      </c>
      <c r="Y11" t="s">
        <v>140</v>
      </c>
      <c r="Z11" t="s">
        <v>183</v>
      </c>
      <c r="AA11">
        <v>2</v>
      </c>
      <c r="AG11" t="s">
        <v>139</v>
      </c>
      <c r="AI11">
        <v>1</v>
      </c>
      <c r="AO11" t="s">
        <v>140</v>
      </c>
      <c r="AP11" t="s">
        <v>391</v>
      </c>
      <c r="AQ11">
        <v>2</v>
      </c>
      <c r="AS11" t="s">
        <v>140</v>
      </c>
      <c r="AT11" t="s">
        <v>392</v>
      </c>
      <c r="AU11">
        <v>1</v>
      </c>
      <c r="AW11" t="s">
        <v>140</v>
      </c>
      <c r="AX11" t="s">
        <v>183</v>
      </c>
      <c r="AY11">
        <v>1</v>
      </c>
      <c r="BI11" t="s">
        <v>140</v>
      </c>
      <c r="BJ11" t="s">
        <v>183</v>
      </c>
      <c r="BK11">
        <v>2</v>
      </c>
      <c r="BM11" t="s">
        <v>139</v>
      </c>
      <c r="BN11">
        <v>18</v>
      </c>
      <c r="BP11" t="s">
        <v>139</v>
      </c>
      <c r="BQ11">
        <v>24</v>
      </c>
    </row>
    <row r="12" spans="1:69">
      <c r="A12" t="s">
        <v>140</v>
      </c>
      <c r="B12" t="s">
        <v>393</v>
      </c>
      <c r="C12">
        <v>7</v>
      </c>
      <c r="E12" t="s">
        <v>140</v>
      </c>
      <c r="F12" t="s">
        <v>394</v>
      </c>
      <c r="G12">
        <v>15</v>
      </c>
      <c r="Y12" t="s">
        <v>390</v>
      </c>
      <c r="AA12">
        <v>4</v>
      </c>
      <c r="AO12" t="s">
        <v>140</v>
      </c>
      <c r="AP12" t="s">
        <v>393</v>
      </c>
      <c r="AQ12">
        <v>8</v>
      </c>
      <c r="AS12" t="s">
        <v>140</v>
      </c>
      <c r="AT12" t="s">
        <v>394</v>
      </c>
      <c r="AU12">
        <v>15</v>
      </c>
      <c r="AW12" t="s">
        <v>140</v>
      </c>
      <c r="AX12" t="s">
        <v>392</v>
      </c>
      <c r="AY12">
        <v>1</v>
      </c>
      <c r="BI12" t="s">
        <v>140</v>
      </c>
      <c r="BJ12" t="s">
        <v>388</v>
      </c>
      <c r="BK12">
        <v>1</v>
      </c>
    </row>
    <row r="13" spans="1:69">
      <c r="A13" t="s">
        <v>140</v>
      </c>
      <c r="B13" t="s">
        <v>395</v>
      </c>
      <c r="C13">
        <v>1</v>
      </c>
      <c r="E13" t="s">
        <v>390</v>
      </c>
      <c r="F13"/>
      <c r="G13">
        <v>18</v>
      </c>
      <c r="Y13" t="s">
        <v>139</v>
      </c>
      <c r="AA13">
        <v>4</v>
      </c>
      <c r="AO13" t="s">
        <v>140</v>
      </c>
      <c r="AP13" t="s">
        <v>395</v>
      </c>
      <c r="AQ13">
        <v>1</v>
      </c>
      <c r="AS13" t="s">
        <v>390</v>
      </c>
      <c r="AU13">
        <v>18</v>
      </c>
      <c r="AW13" t="s">
        <v>140</v>
      </c>
      <c r="AX13" t="s">
        <v>190</v>
      </c>
      <c r="AY13">
        <v>1</v>
      </c>
      <c r="BI13" t="s">
        <v>390</v>
      </c>
      <c r="BK13">
        <v>5</v>
      </c>
    </row>
    <row r="14" spans="1:69">
      <c r="A14" t="s">
        <v>140</v>
      </c>
      <c r="B14" t="s">
        <v>183</v>
      </c>
      <c r="C14">
        <v>1</v>
      </c>
      <c r="E14" t="s">
        <v>139</v>
      </c>
      <c r="F14"/>
      <c r="G14">
        <v>18</v>
      </c>
      <c r="AO14" t="s">
        <v>140</v>
      </c>
      <c r="AP14" t="s">
        <v>396</v>
      </c>
      <c r="AQ14">
        <v>1</v>
      </c>
      <c r="AS14" t="s">
        <v>139</v>
      </c>
      <c r="AU14">
        <v>18</v>
      </c>
      <c r="AW14" t="s">
        <v>140</v>
      </c>
      <c r="AX14" t="s">
        <v>397</v>
      </c>
      <c r="AY14">
        <v>1</v>
      </c>
      <c r="BI14" t="s">
        <v>139</v>
      </c>
      <c r="BK14">
        <v>5</v>
      </c>
    </row>
    <row r="15" spans="1:69">
      <c r="A15" t="s">
        <v>140</v>
      </c>
      <c r="B15" t="s">
        <v>392</v>
      </c>
      <c r="C15">
        <v>1</v>
      </c>
      <c r="AO15" t="s">
        <v>140</v>
      </c>
      <c r="AP15" t="s">
        <v>394</v>
      </c>
      <c r="AQ15">
        <v>2</v>
      </c>
      <c r="AW15" t="s">
        <v>140</v>
      </c>
      <c r="AX15" t="s">
        <v>185</v>
      </c>
      <c r="AY15">
        <v>1</v>
      </c>
    </row>
    <row r="16" spans="1:69">
      <c r="A16" t="s">
        <v>140</v>
      </c>
      <c r="B16" t="s">
        <v>190</v>
      </c>
      <c r="C16">
        <v>1</v>
      </c>
      <c r="AO16" t="s">
        <v>390</v>
      </c>
      <c r="AQ16">
        <v>24</v>
      </c>
      <c r="AW16" t="s">
        <v>390</v>
      </c>
      <c r="AX16"/>
      <c r="AY16">
        <v>7</v>
      </c>
    </row>
    <row r="17" spans="1:51">
      <c r="A17" t="s">
        <v>140</v>
      </c>
      <c r="B17" t="s">
        <v>396</v>
      </c>
      <c r="C17">
        <v>1</v>
      </c>
      <c r="AO17" t="s">
        <v>139</v>
      </c>
      <c r="AQ17">
        <v>24</v>
      </c>
      <c r="AW17" t="s">
        <v>139</v>
      </c>
      <c r="AX17"/>
      <c r="AY17">
        <v>7</v>
      </c>
    </row>
    <row r="18" spans="1:51">
      <c r="A18" t="s">
        <v>140</v>
      </c>
      <c r="B18" t="s">
        <v>397</v>
      </c>
      <c r="C18">
        <v>1</v>
      </c>
    </row>
    <row r="19" spans="1:51">
      <c r="A19" t="s">
        <v>140</v>
      </c>
      <c r="B19" t="s">
        <v>185</v>
      </c>
      <c r="C19">
        <v>1</v>
      </c>
    </row>
    <row r="20" spans="1:51">
      <c r="A20" t="s">
        <v>140</v>
      </c>
      <c r="B20" t="s">
        <v>394</v>
      </c>
      <c r="C20">
        <v>2</v>
      </c>
    </row>
    <row r="21" spans="1:51">
      <c r="A21" t="s">
        <v>390</v>
      </c>
      <c r="B21"/>
      <c r="C21">
        <v>30</v>
      </c>
    </row>
    <row r="22" spans="1:51">
      <c r="A22" t="s">
        <v>139</v>
      </c>
      <c r="B22"/>
      <c r="C22">
        <v>30</v>
      </c>
    </row>
  </sheetData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B2:G16"/>
  <sheetViews>
    <sheetView workbookViewId="0">
      <selection activeCell="S17" sqref="S17:S1121"/>
    </sheetView>
  </sheetViews>
  <sheetFormatPr defaultColWidth="8.81904761904762" defaultRowHeight="14.25" outlineLevelCol="6"/>
  <cols>
    <col min="1" max="1" width="8.81904761904762" style="29"/>
    <col min="2" max="2" width="11.8190476190476" style="29" customWidth="1"/>
    <col min="3" max="3" width="6" style="29" customWidth="1"/>
    <col min="4" max="4" width="8.81904761904762" style="29"/>
    <col min="5" max="5" width="20.5714285714286" style="29"/>
    <col min="6" max="6" width="19.8571428571429" style="29"/>
    <col min="7" max="7" width="17.4571428571429" style="29" customWidth="1"/>
    <col min="8" max="16384" width="8.81904761904762" style="29"/>
  </cols>
  <sheetData>
    <row r="2" ht="15" spans="2:7">
      <c r="B2" s="86" t="s">
        <v>99</v>
      </c>
      <c r="C2" s="87">
        <f>IFERROR(GETPIVOTDATA("Area AGM",$E$8,"Umur Outstansing","1 Minggu"),0)</f>
        <v>12</v>
      </c>
      <c r="E2" s="75" t="s">
        <v>372</v>
      </c>
      <c r="F2"/>
      <c r="G2"/>
    </row>
    <row r="3" ht="15" spans="2:7">
      <c r="B3" s="88" t="s">
        <v>100</v>
      </c>
      <c r="C3" s="89">
        <f>IFERROR(GETPIVOTDATA("Area AGM",$E$8,"Umur Outstansing","2 Minggu"),0)</f>
        <v>5</v>
      </c>
      <c r="E3" t="s">
        <v>234</v>
      </c>
      <c r="F3" t="s">
        <v>380</v>
      </c>
      <c r="G3"/>
    </row>
    <row r="4" ht="15" spans="2:7">
      <c r="B4" s="90" t="s">
        <v>101</v>
      </c>
      <c r="C4" s="91">
        <f>IFERROR(GETPIVOTDATA("Area AGM",$E$8,"Umur Outstansing","3 Minggu"),0)</f>
        <v>5</v>
      </c>
      <c r="E4" t="s">
        <v>233</v>
      </c>
      <c r="F4" t="s">
        <v>105</v>
      </c>
      <c r="G4"/>
    </row>
    <row r="5" ht="15" spans="2:7">
      <c r="B5" s="92" t="s">
        <v>102</v>
      </c>
      <c r="C5" s="93">
        <f>IFERROR(GETPIVOTDATA("Area AGM",$E$8,"Umur Outstansing","4 Minggu"),0)</f>
        <v>1</v>
      </c>
      <c r="E5" t="s">
        <v>8</v>
      </c>
      <c r="F5" t="s">
        <v>13</v>
      </c>
      <c r="G5"/>
    </row>
    <row r="6" ht="15" spans="2:7">
      <c r="E6" t="s">
        <v>9</v>
      </c>
      <c r="F6" t="s">
        <v>382</v>
      </c>
      <c r="G6"/>
    </row>
    <row r="7" ht="15" spans="2:7">
      <c r="E7"/>
      <c r="F7"/>
      <c r="G7"/>
    </row>
    <row r="8" ht="15" spans="2:7">
      <c r="E8" t="s">
        <v>232</v>
      </c>
      <c r="F8" t="s">
        <v>385</v>
      </c>
      <c r="G8"/>
    </row>
    <row r="9" ht="15" spans="2:7">
      <c r="E9" t="s">
        <v>101</v>
      </c>
      <c r="F9">
        <v>5</v>
      </c>
      <c r="G9"/>
    </row>
    <row r="10" ht="15" spans="2:7">
      <c r="E10" t="s">
        <v>102</v>
      </c>
      <c r="F10">
        <v>1</v>
      </c>
      <c r="G10"/>
    </row>
    <row r="11" ht="15" spans="2:7">
      <c r="E11" t="s">
        <v>100</v>
      </c>
      <c r="F11">
        <v>5</v>
      </c>
      <c r="G11"/>
    </row>
    <row r="12" ht="15" spans="2:7">
      <c r="E12" t="s">
        <v>99</v>
      </c>
      <c r="F12">
        <v>12</v>
      </c>
      <c r="G12"/>
    </row>
    <row r="13" ht="15" spans="2:7">
      <c r="E13" t="s">
        <v>139</v>
      </c>
      <c r="F13">
        <v>23</v>
      </c>
      <c r="G13"/>
    </row>
    <row r="14" ht="15" spans="2:7">
      <c r="E14"/>
      <c r="F14"/>
      <c r="G14"/>
    </row>
    <row r="15" ht="15" spans="2:7">
      <c r="E15"/>
      <c r="F15"/>
      <c r="G15"/>
    </row>
    <row r="16" ht="15" spans="2:7">
      <c r="E16"/>
      <c r="F16"/>
      <c r="G16"/>
    </row>
  </sheetData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X42"/>
  <sheetViews>
    <sheetView showGridLines="0" zoomScale="70" zoomScaleNormal="70" workbookViewId="0">
      <selection activeCell="O5" sqref="O5"/>
    </sheetView>
  </sheetViews>
  <sheetFormatPr defaultColWidth="8.81904761904762" defaultRowHeight="14.25"/>
  <cols>
    <col min="1" max="1" width="24.1809523809524" style="27" customWidth="1"/>
    <col min="2" max="2" width="7.26666666666667" style="27" customWidth="1"/>
    <col min="3" max="3" width="8.54285714285714" style="27" customWidth="1"/>
    <col min="4" max="5" width="9.26666666666667" style="27" customWidth="1"/>
    <col min="6" max="6" width="8.72380952380952" style="27" customWidth="1"/>
    <col min="7" max="9" width="7.81904761904762" style="27" customWidth="1"/>
    <col min="10" max="10" width="142.457142857143" style="27" customWidth="1"/>
    <col min="11" max="11" width="8.81904761904762" style="27"/>
    <col min="12" max="12" width="19.8571428571429" style="29"/>
    <col min="13" max="13" width="22.2857142857143" style="65"/>
    <col min="14" max="16" width="22.2857142857143" style="64"/>
    <col min="17" max="17" width="11.8571428571429" style="64"/>
    <col min="18" max="18" width="10.7238095238095" style="64" customWidth="1"/>
    <col min="19" max="19" width="10.7238095238095" style="27" customWidth="1"/>
    <col min="20" max="20" width="13.8571428571429" style="29"/>
    <col min="21" max="21" width="19.8571428571429" style="29"/>
    <col min="22" max="22" width="8.81904761904762" style="27"/>
    <col min="23" max="23" width="23.4285714285714" style="29"/>
    <col min="24" max="24" width="19.8571428571429" style="29"/>
    <col min="25" max="16384" width="8.81904761904762" style="27"/>
  </cols>
  <sheetData>
    <row r="1" ht="23.5" customHeight="1" spans="1:24">
      <c r="A1" s="66" t="s">
        <v>107</v>
      </c>
      <c r="B1" s="67" t="s">
        <v>398</v>
      </c>
      <c r="C1" s="67"/>
      <c r="D1" s="67"/>
      <c r="E1" s="67"/>
      <c r="F1" s="67"/>
      <c r="G1" s="68" t="s">
        <v>399</v>
      </c>
      <c r="H1" s="69"/>
      <c r="I1" s="69"/>
      <c r="J1" s="70"/>
    </row>
    <row r="2" s="64" customFormat="1" ht="23.5" customHeight="1" spans="1:24">
      <c r="A2" s="66"/>
      <c r="B2" s="71" t="s">
        <v>400</v>
      </c>
      <c r="C2" s="72" t="s">
        <v>99</v>
      </c>
      <c r="D2" s="72" t="s">
        <v>100</v>
      </c>
      <c r="E2" s="72" t="s">
        <v>101</v>
      </c>
      <c r="F2" s="73" t="s">
        <v>102</v>
      </c>
      <c r="G2" s="74" t="s">
        <v>400</v>
      </c>
      <c r="H2" s="44" t="s">
        <v>115</v>
      </c>
      <c r="I2" s="44" t="s">
        <v>116</v>
      </c>
      <c r="J2" s="44" t="s">
        <v>16</v>
      </c>
      <c r="L2" s="75" t="s">
        <v>372</v>
      </c>
      <c r="M2" s="76"/>
      <c r="T2" s="75" t="s">
        <v>401</v>
      </c>
      <c r="U2"/>
      <c r="W2" s="75" t="s">
        <v>402</v>
      </c>
      <c r="X2"/>
    </row>
    <row r="3" ht="17.5" customHeight="1" spans="1:24">
      <c r="A3" s="38" t="s">
        <v>118</v>
      </c>
      <c r="B3" s="44">
        <f>SUM(C3:F3)</f>
        <v>8</v>
      </c>
      <c r="C3" s="44">
        <f>IF(IFERROR(GETPIVOTDATA("Area AGM",$L$8,"Model",""&amp;$A3&amp;"","Umur Outstansing",""&amp;C$2&amp;""),0)=0,"",IFERROR(GETPIVOTDATA("Area AGM",$L$8,"Model",""&amp;$A3&amp;"","Umur Outstansing",""&amp;C$2&amp;""),0))</f>
        <v>2</v>
      </c>
      <c r="D3" s="44">
        <f t="shared" ref="D3:F21" si="0">IF(IFERROR(GETPIVOTDATA("Area AGM",$L$8,"Model",""&amp;$A3&amp;"","Umur Outstansing",""&amp;D$2&amp;""),0)=0,"",IFERROR(GETPIVOTDATA("Area AGM",$L$8,"Model",""&amp;$A3&amp;"","Umur Outstansing",""&amp;D$2&amp;""),0))</f>
        <v>2</v>
      </c>
      <c r="E3" s="44">
        <f t="shared" si="0"/>
        <v>3</v>
      </c>
      <c r="F3" s="44">
        <f t="shared" si="0"/>
        <v>1</v>
      </c>
      <c r="G3" s="44">
        <f>SUM(H3:I3)</f>
        <v>0</v>
      </c>
      <c r="H3" s="44">
        <f>IFERROR(VLOOKUP(A3,$T$7:$U$77,2,0),0)</f>
        <v>0</v>
      </c>
      <c r="I3" s="44">
        <f>IFERROR(VLOOKUP(A3,$W$7:$X$78,2,0),0)</f>
        <v>0</v>
      </c>
      <c r="J3" s="77"/>
      <c r="L3" t="s">
        <v>234</v>
      </c>
      <c r="M3" t="s">
        <v>380</v>
      </c>
      <c r="T3" t="s">
        <v>234</v>
      </c>
      <c r="U3" t="s">
        <v>380</v>
      </c>
      <c r="W3" t="s">
        <v>234</v>
      </c>
      <c r="X3" t="s">
        <v>380</v>
      </c>
    </row>
    <row r="4" ht="17.5" customHeight="1" spans="1:24">
      <c r="A4" s="38" t="s">
        <v>403</v>
      </c>
      <c r="B4" s="44">
        <f t="shared" ref="B4:B26" si="1">SUM(C4:F4)</f>
        <v>2</v>
      </c>
      <c r="C4" s="44" t="str">
        <f t="shared" ref="C4:F25" si="2">IF(IFERROR(GETPIVOTDATA("Area AGM",$L$8,"Model",""&amp;$A4&amp;"","Umur Outstansing",""&amp;C$2&amp;""),0)=0,"",IFERROR(GETPIVOTDATA("Area AGM",$L$8,"Model",""&amp;$A4&amp;"","Umur Outstansing",""&amp;C$2&amp;""),0))</f>
        <v/>
      </c>
      <c r="D4" s="44">
        <f t="shared" si="0"/>
        <v>2</v>
      </c>
      <c r="E4" s="44" t="str">
        <f t="shared" si="0"/>
        <v/>
      </c>
      <c r="F4" s="44" t="str">
        <f t="shared" si="0"/>
        <v/>
      </c>
      <c r="G4" s="44">
        <f t="shared" ref="G4:G26" si="3">SUM(H4:I4)</f>
        <v>0</v>
      </c>
      <c r="H4" s="44">
        <f t="shared" ref="H4:H25" si="4">IFERROR(VLOOKUP(A4,$T$7:$U$77,2,0),0)</f>
        <v>0</v>
      </c>
      <c r="I4" s="44">
        <f t="shared" ref="I4:I25" si="5">IFERROR(VLOOKUP(A4,$W$7:$X$78,2,0),0)</f>
        <v>0</v>
      </c>
      <c r="J4" s="77"/>
      <c r="L4" t="s">
        <v>233</v>
      </c>
      <c r="M4" t="s">
        <v>382</v>
      </c>
      <c r="T4" t="s">
        <v>233</v>
      </c>
      <c r="U4" t="s">
        <v>380</v>
      </c>
      <c r="W4" t="s">
        <v>233</v>
      </c>
      <c r="X4" t="s">
        <v>380</v>
      </c>
    </row>
    <row r="5" ht="15" spans="1:24">
      <c r="A5" s="38" t="s">
        <v>123</v>
      </c>
      <c r="B5" s="44">
        <f t="shared" si="1"/>
        <v>1</v>
      </c>
      <c r="C5" s="44">
        <f t="shared" si="2"/>
        <v>1</v>
      </c>
      <c r="D5" s="44" t="str">
        <f t="shared" si="0"/>
        <v/>
      </c>
      <c r="E5" s="44" t="str">
        <f t="shared" si="0"/>
        <v/>
      </c>
      <c r="F5" s="44" t="str">
        <f t="shared" si="0"/>
        <v/>
      </c>
      <c r="G5" s="44">
        <f t="shared" si="3"/>
        <v>0</v>
      </c>
      <c r="H5" s="44">
        <f t="shared" si="4"/>
        <v>0</v>
      </c>
      <c r="I5" s="44">
        <f t="shared" si="5"/>
        <v>0</v>
      </c>
      <c r="J5" s="78"/>
      <c r="L5" t="s">
        <v>8</v>
      </c>
      <c r="M5" t="s">
        <v>382</v>
      </c>
      <c r="T5" t="s">
        <v>8</v>
      </c>
      <c r="U5" t="s">
        <v>11</v>
      </c>
      <c r="W5" t="s">
        <v>8</v>
      </c>
      <c r="X5" t="s">
        <v>382</v>
      </c>
    </row>
    <row r="6" ht="17.5" customHeight="1" spans="1:24">
      <c r="A6" s="38" t="s">
        <v>125</v>
      </c>
      <c r="B6" s="44">
        <f t="shared" si="1"/>
        <v>3</v>
      </c>
      <c r="C6" s="44">
        <f t="shared" si="2"/>
        <v>2</v>
      </c>
      <c r="D6" s="44">
        <f t="shared" si="0"/>
        <v>1</v>
      </c>
      <c r="E6" s="44" t="str">
        <f t="shared" si="0"/>
        <v/>
      </c>
      <c r="F6" s="44" t="str">
        <f t="shared" si="0"/>
        <v/>
      </c>
      <c r="G6" s="44">
        <f t="shared" si="3"/>
        <v>0</v>
      </c>
      <c r="H6" s="44">
        <f t="shared" si="4"/>
        <v>0</v>
      </c>
      <c r="I6" s="44">
        <f t="shared" si="5"/>
        <v>0</v>
      </c>
      <c r="J6" s="77"/>
      <c r="L6" t="s">
        <v>9</v>
      </c>
      <c r="M6" t="s">
        <v>382</v>
      </c>
      <c r="T6" t="s">
        <v>9</v>
      </c>
      <c r="U6" t="s">
        <v>16</v>
      </c>
      <c r="W6" t="s">
        <v>9</v>
      </c>
      <c r="X6" t="s">
        <v>16</v>
      </c>
    </row>
    <row r="7" ht="17.5" customHeight="1" spans="1:24">
      <c r="A7" s="38" t="s">
        <v>404</v>
      </c>
      <c r="B7" s="44">
        <f t="shared" ref="B7" si="6">SUM(C7:F7)</f>
        <v>0</v>
      </c>
      <c r="C7" s="44" t="str">
        <f t="shared" si="2"/>
        <v/>
      </c>
      <c r="D7" s="44" t="str">
        <f t="shared" si="0"/>
        <v/>
      </c>
      <c r="E7" s="44" t="str">
        <f t="shared" si="0"/>
        <v/>
      </c>
      <c r="F7" s="44" t="str">
        <f t="shared" si="0"/>
        <v/>
      </c>
      <c r="G7" s="44">
        <f t="shared" ref="G7" si="7">SUM(H7:I7)</f>
        <v>1</v>
      </c>
      <c r="H7" s="44">
        <f t="shared" ref="H7" si="8">IFERROR(VLOOKUP(A7,$T$7:$U$77,2,0),0)</f>
        <v>0</v>
      </c>
      <c r="I7" s="44">
        <f t="shared" ref="I7" si="9">IFERROR(VLOOKUP(A7,$W$7:$X$78,2,0),0)</f>
        <v>1</v>
      </c>
      <c r="J7" s="77"/>
      <c r="L7"/>
      <c r="M7" s="76"/>
      <c r="T7"/>
      <c r="U7"/>
      <c r="W7"/>
      <c r="X7"/>
    </row>
    <row r="8" ht="17.5" customHeight="1" spans="1:24">
      <c r="A8" s="38" t="s">
        <v>127</v>
      </c>
      <c r="B8" s="44">
        <f t="shared" si="1"/>
        <v>7</v>
      </c>
      <c r="C8" s="44">
        <f t="shared" si="2"/>
        <v>5</v>
      </c>
      <c r="D8" s="44" t="str">
        <f t="shared" si="0"/>
        <v/>
      </c>
      <c r="E8" s="44">
        <f t="shared" si="0"/>
        <v>2</v>
      </c>
      <c r="F8" s="44" t="str">
        <f t="shared" si="0"/>
        <v/>
      </c>
      <c r="G8" s="44">
        <f t="shared" si="3"/>
        <v>1</v>
      </c>
      <c r="H8" s="44">
        <f t="shared" si="4"/>
        <v>0</v>
      </c>
      <c r="I8" s="44">
        <f t="shared" si="5"/>
        <v>1</v>
      </c>
      <c r="J8" s="77"/>
      <c r="L8" t="s">
        <v>385</v>
      </c>
      <c r="M8" s="79" t="s">
        <v>232</v>
      </c>
      <c r="N8" s="79"/>
      <c r="O8" s="79"/>
      <c r="P8" s="79"/>
      <c r="Q8" s="79"/>
      <c r="R8"/>
      <c r="S8"/>
      <c r="T8" t="s">
        <v>141</v>
      </c>
      <c r="U8" t="s">
        <v>385</v>
      </c>
      <c r="W8" t="s">
        <v>141</v>
      </c>
      <c r="X8" t="s">
        <v>385</v>
      </c>
    </row>
    <row r="9" ht="17.5" customHeight="1" spans="1:24">
      <c r="A9" s="38" t="s">
        <v>129</v>
      </c>
      <c r="B9" s="44">
        <f t="shared" si="1"/>
        <v>0</v>
      </c>
      <c r="C9" s="44" t="str">
        <f t="shared" si="2"/>
        <v/>
      </c>
      <c r="D9" s="44" t="str">
        <f t="shared" si="0"/>
        <v/>
      </c>
      <c r="E9" s="44" t="str">
        <f t="shared" si="0"/>
        <v/>
      </c>
      <c r="F9" s="44" t="str">
        <f t="shared" si="0"/>
        <v/>
      </c>
      <c r="G9" s="44">
        <f t="shared" si="3"/>
        <v>0</v>
      </c>
      <c r="H9" s="44">
        <f t="shared" si="4"/>
        <v>0</v>
      </c>
      <c r="I9" s="44">
        <f t="shared" si="5"/>
        <v>0</v>
      </c>
      <c r="J9" s="77"/>
      <c r="L9" t="s">
        <v>141</v>
      </c>
      <c r="M9" s="79" t="s">
        <v>101</v>
      </c>
      <c r="N9" s="79" t="s">
        <v>102</v>
      </c>
      <c r="O9" s="79" t="s">
        <v>100</v>
      </c>
      <c r="P9" s="79" t="s">
        <v>99</v>
      </c>
      <c r="Q9" s="79" t="s">
        <v>139</v>
      </c>
      <c r="R9"/>
      <c r="S9"/>
      <c r="T9" t="s">
        <v>139</v>
      </c>
      <c r="U9"/>
      <c r="W9" t="s">
        <v>387</v>
      </c>
      <c r="X9">
        <v>1</v>
      </c>
    </row>
    <row r="10" ht="17.5" customHeight="1" spans="1:24">
      <c r="A10" s="38" t="s">
        <v>405</v>
      </c>
      <c r="B10" s="44">
        <f t="shared" ref="B10" si="10">SUM(C10:F10)</f>
        <v>0</v>
      </c>
      <c r="C10" s="44" t="str">
        <f t="shared" si="2"/>
        <v/>
      </c>
      <c r="D10" s="44" t="str">
        <f t="shared" si="0"/>
        <v/>
      </c>
      <c r="E10" s="44" t="str">
        <f t="shared" si="0"/>
        <v/>
      </c>
      <c r="F10" s="44" t="str">
        <f t="shared" si="0"/>
        <v/>
      </c>
      <c r="G10" s="44">
        <f t="shared" ref="G10" si="11">SUM(H10:I10)</f>
        <v>1</v>
      </c>
      <c r="H10" s="44">
        <f t="shared" ref="H10" si="12">IFERROR(VLOOKUP(A10,$T$7:$U$77,2,0),0)</f>
        <v>0</v>
      </c>
      <c r="I10" s="44">
        <f t="shared" ref="I10" si="13">IFERROR(VLOOKUP(A10,$W$7:$X$78,2,0),0)</f>
        <v>1</v>
      </c>
      <c r="J10" s="77"/>
      <c r="L10" t="s">
        <v>386</v>
      </c>
      <c r="M10" s="80"/>
      <c r="N10" s="80"/>
      <c r="O10" s="80">
        <v>1</v>
      </c>
      <c r="P10" s="80">
        <v>2</v>
      </c>
      <c r="Q10" s="80">
        <v>3</v>
      </c>
      <c r="R10"/>
      <c r="S10"/>
      <c r="T10"/>
      <c r="U10"/>
      <c r="W10" t="s">
        <v>392</v>
      </c>
      <c r="X10">
        <v>1</v>
      </c>
    </row>
    <row r="11" ht="17.5" customHeight="1" spans="1:24">
      <c r="A11" s="38" t="s">
        <v>406</v>
      </c>
      <c r="B11" s="44">
        <f t="shared" ref="B11" si="14">SUM(C11:F11)</f>
        <v>0</v>
      </c>
      <c r="C11" s="44" t="str">
        <f t="shared" si="2"/>
        <v/>
      </c>
      <c r="D11" s="44" t="str">
        <f t="shared" si="0"/>
        <v/>
      </c>
      <c r="E11" s="44" t="str">
        <f t="shared" si="0"/>
        <v/>
      </c>
      <c r="F11" s="44" t="str">
        <f t="shared" si="0"/>
        <v/>
      </c>
      <c r="G11" s="44">
        <f t="shared" ref="G11" si="15">SUM(H11:I11)</f>
        <v>0</v>
      </c>
      <c r="H11" s="44">
        <f t="shared" ref="H11" si="16">IFERROR(VLOOKUP(A11,$T$7:$U$77,2,0),0)</f>
        <v>0</v>
      </c>
      <c r="I11" s="44">
        <f t="shared" ref="I11" si="17">IFERROR(VLOOKUP(A11,$W$7:$X$78,2,0),0)</f>
        <v>0</v>
      </c>
      <c r="J11" s="77"/>
      <c r="L11" t="s">
        <v>387</v>
      </c>
      <c r="M11" s="80">
        <v>2</v>
      </c>
      <c r="N11" s="80"/>
      <c r="O11" s="80"/>
      <c r="P11" s="80">
        <v>5</v>
      </c>
      <c r="Q11" s="80">
        <v>7</v>
      </c>
      <c r="R11"/>
      <c r="S11"/>
      <c r="T11"/>
      <c r="U11"/>
      <c r="W11" t="s">
        <v>183</v>
      </c>
      <c r="X11">
        <v>3</v>
      </c>
    </row>
    <row r="12" ht="17.5" customHeight="1" spans="1:24">
      <c r="A12" s="38" t="s">
        <v>131</v>
      </c>
      <c r="B12" s="44">
        <f t="shared" si="1"/>
        <v>2</v>
      </c>
      <c r="C12" s="44">
        <f t="shared" si="2"/>
        <v>2</v>
      </c>
      <c r="D12" s="44" t="str">
        <f t="shared" si="0"/>
        <v/>
      </c>
      <c r="E12" s="44" t="str">
        <f t="shared" si="0"/>
        <v/>
      </c>
      <c r="F12" s="44" t="str">
        <f t="shared" si="0"/>
        <v/>
      </c>
      <c r="G12" s="44">
        <f t="shared" si="3"/>
        <v>1</v>
      </c>
      <c r="H12" s="44">
        <f t="shared" si="4"/>
        <v>0</v>
      </c>
      <c r="I12" s="44">
        <f t="shared" si="5"/>
        <v>1</v>
      </c>
      <c r="J12" s="77"/>
      <c r="L12" t="s">
        <v>391</v>
      </c>
      <c r="M12" s="80"/>
      <c r="N12" s="80"/>
      <c r="O12" s="80"/>
      <c r="P12" s="80">
        <v>2</v>
      </c>
      <c r="Q12" s="80">
        <v>2</v>
      </c>
      <c r="R12"/>
      <c r="S12"/>
      <c r="T12"/>
      <c r="U12"/>
      <c r="W12" t="s">
        <v>184</v>
      </c>
      <c r="X12">
        <v>1</v>
      </c>
    </row>
    <row r="13" ht="17.5" customHeight="1" spans="1:24">
      <c r="A13" s="49" t="s">
        <v>407</v>
      </c>
      <c r="B13" s="44">
        <f t="shared" si="1"/>
        <v>0</v>
      </c>
      <c r="C13" s="44" t="str">
        <f t="shared" si="2"/>
        <v/>
      </c>
      <c r="D13" s="44" t="str">
        <f t="shared" si="0"/>
        <v/>
      </c>
      <c r="E13" s="44" t="str">
        <f t="shared" si="0"/>
        <v/>
      </c>
      <c r="F13" s="44" t="str">
        <f t="shared" si="0"/>
        <v/>
      </c>
      <c r="G13" s="44">
        <f t="shared" si="3"/>
        <v>1</v>
      </c>
      <c r="H13" s="44">
        <f t="shared" si="4"/>
        <v>0</v>
      </c>
      <c r="I13" s="44">
        <f t="shared" si="5"/>
        <v>1</v>
      </c>
      <c r="J13" s="77"/>
      <c r="L13" t="s">
        <v>393</v>
      </c>
      <c r="M13" s="80">
        <v>3</v>
      </c>
      <c r="N13" s="80">
        <v>1</v>
      </c>
      <c r="O13" s="80">
        <v>2</v>
      </c>
      <c r="P13" s="80">
        <v>2</v>
      </c>
      <c r="Q13" s="80">
        <v>8</v>
      </c>
      <c r="R13"/>
      <c r="S13"/>
      <c r="T13"/>
      <c r="U13"/>
      <c r="W13" t="s">
        <v>391</v>
      </c>
      <c r="X13">
        <v>1</v>
      </c>
    </row>
    <row r="14" ht="17.5" customHeight="1" spans="1:24">
      <c r="A14" s="49" t="s">
        <v>408</v>
      </c>
      <c r="B14" s="44">
        <f t="shared" si="1"/>
        <v>1</v>
      </c>
      <c r="C14" s="44" t="str">
        <f t="shared" si="2"/>
        <v/>
      </c>
      <c r="D14" s="44" t="str">
        <f t="shared" si="0"/>
        <v/>
      </c>
      <c r="E14" s="44">
        <f t="shared" si="0"/>
        <v>1</v>
      </c>
      <c r="F14" s="44" t="str">
        <f t="shared" si="0"/>
        <v/>
      </c>
      <c r="G14" s="44">
        <f t="shared" si="3"/>
        <v>0</v>
      </c>
      <c r="H14" s="44">
        <f t="shared" si="4"/>
        <v>0</v>
      </c>
      <c r="I14" s="44">
        <f t="shared" si="5"/>
        <v>0</v>
      </c>
      <c r="J14" s="38"/>
      <c r="L14" t="s">
        <v>395</v>
      </c>
      <c r="M14" s="80"/>
      <c r="N14" s="80"/>
      <c r="O14" s="80"/>
      <c r="P14" s="80">
        <v>1</v>
      </c>
      <c r="Q14" s="80">
        <v>1</v>
      </c>
      <c r="R14"/>
      <c r="S14"/>
      <c r="T14"/>
      <c r="U14"/>
      <c r="W14" t="s">
        <v>190</v>
      </c>
      <c r="X14">
        <v>1</v>
      </c>
    </row>
    <row r="15" ht="17.5" customHeight="1" spans="1:24">
      <c r="A15" s="38" t="s">
        <v>133</v>
      </c>
      <c r="B15" s="44">
        <f t="shared" si="1"/>
        <v>0</v>
      </c>
      <c r="C15" s="44" t="str">
        <f t="shared" si="2"/>
        <v/>
      </c>
      <c r="D15" s="44" t="str">
        <f t="shared" si="0"/>
        <v/>
      </c>
      <c r="E15" s="44" t="str">
        <f t="shared" si="0"/>
        <v/>
      </c>
      <c r="F15" s="44" t="str">
        <f t="shared" si="0"/>
        <v/>
      </c>
      <c r="G15" s="44">
        <f t="shared" si="3"/>
        <v>1</v>
      </c>
      <c r="H15" s="44">
        <f t="shared" si="4"/>
        <v>0</v>
      </c>
      <c r="I15" s="44">
        <f t="shared" si="5"/>
        <v>1</v>
      </c>
      <c r="J15" s="77"/>
      <c r="L15" t="s">
        <v>396</v>
      </c>
      <c r="M15" s="80">
        <v>1</v>
      </c>
      <c r="N15" s="80"/>
      <c r="O15" s="80"/>
      <c r="P15" s="80"/>
      <c r="Q15" s="80">
        <v>1</v>
      </c>
      <c r="R15"/>
      <c r="S15"/>
      <c r="T15"/>
      <c r="U15"/>
      <c r="W15" t="s">
        <v>389</v>
      </c>
      <c r="X15">
        <v>1</v>
      </c>
    </row>
    <row r="16" ht="17.5" customHeight="1" spans="1:24">
      <c r="A16" s="38" t="s">
        <v>135</v>
      </c>
      <c r="B16" s="44">
        <f t="shared" si="1"/>
        <v>0</v>
      </c>
      <c r="C16" s="44" t="str">
        <f t="shared" si="2"/>
        <v/>
      </c>
      <c r="D16" s="44" t="str">
        <f t="shared" si="0"/>
        <v/>
      </c>
      <c r="E16" s="44" t="str">
        <f t="shared" si="0"/>
        <v/>
      </c>
      <c r="F16" s="44" t="str">
        <f t="shared" si="0"/>
        <v/>
      </c>
      <c r="G16" s="44">
        <f t="shared" si="3"/>
        <v>0</v>
      </c>
      <c r="H16" s="44">
        <f t="shared" si="4"/>
        <v>0</v>
      </c>
      <c r="I16" s="44">
        <f t="shared" si="5"/>
        <v>0</v>
      </c>
      <c r="J16" s="77"/>
      <c r="L16" t="s">
        <v>394</v>
      </c>
      <c r="M16" s="80"/>
      <c r="N16" s="80"/>
      <c r="O16" s="80">
        <v>2</v>
      </c>
      <c r="P16" s="80"/>
      <c r="Q16" s="80">
        <v>2</v>
      </c>
      <c r="R16"/>
      <c r="S16"/>
      <c r="T16"/>
      <c r="U16"/>
      <c r="W16" t="s">
        <v>388</v>
      </c>
      <c r="X16">
        <v>1</v>
      </c>
    </row>
    <row r="17" ht="17.5" customHeight="1" spans="1:24">
      <c r="A17" s="38" t="s">
        <v>409</v>
      </c>
      <c r="B17" s="44">
        <f t="shared" si="1"/>
        <v>0</v>
      </c>
      <c r="C17" s="44" t="str">
        <f t="shared" si="2"/>
        <v/>
      </c>
      <c r="D17" s="44" t="str">
        <f t="shared" si="0"/>
        <v/>
      </c>
      <c r="E17" s="44" t="str">
        <f t="shared" si="0"/>
        <v/>
      </c>
      <c r="F17" s="44" t="str">
        <f t="shared" si="0"/>
        <v/>
      </c>
      <c r="G17" s="44">
        <f t="shared" si="3"/>
        <v>0</v>
      </c>
      <c r="H17" s="44">
        <f t="shared" si="4"/>
        <v>0</v>
      </c>
      <c r="I17" s="44">
        <f t="shared" si="5"/>
        <v>0</v>
      </c>
      <c r="J17" s="77"/>
      <c r="L17" s="81" t="s">
        <v>139</v>
      </c>
      <c r="M17" s="80">
        <v>6</v>
      </c>
      <c r="N17" s="80">
        <v>1</v>
      </c>
      <c r="O17" s="80">
        <v>5</v>
      </c>
      <c r="P17" s="80">
        <v>12</v>
      </c>
      <c r="Q17" s="80">
        <v>24</v>
      </c>
      <c r="R17"/>
      <c r="S17"/>
      <c r="T17"/>
      <c r="U17"/>
      <c r="W17" t="s">
        <v>397</v>
      </c>
      <c r="X17">
        <v>1</v>
      </c>
    </row>
    <row r="18" ht="17.5" customHeight="1" spans="1:24">
      <c r="A18" s="38" t="s">
        <v>410</v>
      </c>
      <c r="B18" s="44">
        <f t="shared" ref="B18" si="18">SUM(C18:F18)</f>
        <v>0</v>
      </c>
      <c r="C18" s="44" t="str">
        <f t="shared" si="2"/>
        <v/>
      </c>
      <c r="D18" s="44" t="str">
        <f t="shared" si="0"/>
        <v/>
      </c>
      <c r="E18" s="44" t="str">
        <f t="shared" si="0"/>
        <v/>
      </c>
      <c r="F18" s="44" t="str">
        <f t="shared" si="0"/>
        <v/>
      </c>
      <c r="G18" s="44">
        <f t="shared" ref="G18" si="19">SUM(H18:I18)</f>
        <v>0</v>
      </c>
      <c r="H18" s="44">
        <f t="shared" ref="H18" si="20">IFERROR(VLOOKUP(A18,$T$7:$U$77,2,0),0)</f>
        <v>0</v>
      </c>
      <c r="I18" s="44">
        <f t="shared" ref="I18" si="21">IFERROR(VLOOKUP(A18,$W$7:$X$78,2,0),0)</f>
        <v>0</v>
      </c>
      <c r="J18" s="77"/>
      <c r="L18"/>
      <c r="M18"/>
      <c r="N18"/>
      <c r="O18"/>
      <c r="P18"/>
      <c r="Q18"/>
      <c r="R18"/>
      <c r="S18"/>
      <c r="T18"/>
      <c r="U18"/>
      <c r="W18" t="s">
        <v>185</v>
      </c>
      <c r="X18">
        <v>1</v>
      </c>
    </row>
    <row r="19" ht="17.5" customHeight="1" spans="1:24">
      <c r="A19" s="38" t="s">
        <v>411</v>
      </c>
      <c r="B19" s="44">
        <f t="shared" si="1"/>
        <v>0</v>
      </c>
      <c r="C19" s="44" t="str">
        <f t="shared" si="2"/>
        <v/>
      </c>
      <c r="D19" s="44" t="str">
        <f t="shared" si="0"/>
        <v/>
      </c>
      <c r="E19" s="44" t="str">
        <f t="shared" si="0"/>
        <v/>
      </c>
      <c r="F19" s="44" t="str">
        <f t="shared" si="0"/>
        <v/>
      </c>
      <c r="G19" s="44">
        <f t="shared" si="3"/>
        <v>0</v>
      </c>
      <c r="H19" s="44">
        <f t="shared" si="4"/>
        <v>0</v>
      </c>
      <c r="I19" s="44">
        <f t="shared" si="5"/>
        <v>0</v>
      </c>
      <c r="J19" s="77"/>
      <c r="L19"/>
      <c r="M19"/>
      <c r="N19"/>
      <c r="O19"/>
      <c r="P19"/>
      <c r="Q19"/>
      <c r="R19"/>
      <c r="S19"/>
      <c r="T19"/>
      <c r="U19"/>
      <c r="W19" t="s">
        <v>139</v>
      </c>
      <c r="X19">
        <v>12</v>
      </c>
    </row>
    <row r="20" ht="17.5" customHeight="1" spans="1:24">
      <c r="A20" s="38" t="s">
        <v>412</v>
      </c>
      <c r="B20" s="44">
        <f t="shared" si="1"/>
        <v>0</v>
      </c>
      <c r="C20" s="44" t="str">
        <f t="shared" si="2"/>
        <v/>
      </c>
      <c r="D20" s="44" t="str">
        <f t="shared" si="0"/>
        <v/>
      </c>
      <c r="E20" s="44" t="str">
        <f t="shared" si="0"/>
        <v/>
      </c>
      <c r="F20" s="44" t="str">
        <f t="shared" si="0"/>
        <v/>
      </c>
      <c r="G20" s="44">
        <f t="shared" si="3"/>
        <v>1</v>
      </c>
      <c r="H20" s="44">
        <f t="shared" si="4"/>
        <v>0</v>
      </c>
      <c r="I20" s="44">
        <f t="shared" si="5"/>
        <v>1</v>
      </c>
      <c r="J20" s="77"/>
      <c r="L20"/>
      <c r="M20"/>
      <c r="N20"/>
      <c r="O20"/>
      <c r="P20"/>
      <c r="Q20"/>
      <c r="R20"/>
      <c r="S20"/>
      <c r="T20"/>
      <c r="U20"/>
      <c r="W20"/>
      <c r="X20"/>
    </row>
    <row r="21" ht="17.5" customHeight="1" spans="1:24">
      <c r="A21" s="38" t="s">
        <v>413</v>
      </c>
      <c r="B21" s="44">
        <f t="shared" si="1"/>
        <v>0</v>
      </c>
      <c r="C21" s="44" t="str">
        <f t="shared" si="2"/>
        <v/>
      </c>
      <c r="D21" s="44" t="str">
        <f t="shared" si="0"/>
        <v/>
      </c>
      <c r="E21" s="44" t="str">
        <f t="shared" si="0"/>
        <v/>
      </c>
      <c r="F21" s="44" t="str">
        <f t="shared" si="0"/>
        <v/>
      </c>
      <c r="G21" s="44">
        <f t="shared" si="3"/>
        <v>1</v>
      </c>
      <c r="H21" s="44">
        <f t="shared" si="4"/>
        <v>0</v>
      </c>
      <c r="I21" s="44">
        <f t="shared" si="5"/>
        <v>1</v>
      </c>
      <c r="J21" s="77"/>
      <c r="L21"/>
      <c r="M21"/>
      <c r="N21"/>
      <c r="O21"/>
      <c r="P21"/>
      <c r="Q21"/>
      <c r="R21"/>
      <c r="S21"/>
      <c r="T21"/>
      <c r="U21"/>
      <c r="W21"/>
      <c r="X21"/>
    </row>
    <row r="22" ht="17.5" customHeight="1" spans="1:24">
      <c r="A22" s="38" t="s">
        <v>414</v>
      </c>
      <c r="B22" s="44">
        <f t="shared" si="1"/>
        <v>0</v>
      </c>
      <c r="C22" s="44" t="str">
        <f t="shared" si="2"/>
        <v/>
      </c>
      <c r="D22" s="44" t="str">
        <f t="shared" si="2"/>
        <v/>
      </c>
      <c r="E22" s="44" t="str">
        <f t="shared" si="2"/>
        <v/>
      </c>
      <c r="F22" s="44" t="str">
        <f t="shared" si="2"/>
        <v/>
      </c>
      <c r="G22" s="44">
        <f t="shared" si="3"/>
        <v>0</v>
      </c>
      <c r="H22" s="44">
        <f t="shared" si="4"/>
        <v>0</v>
      </c>
      <c r="I22" s="44">
        <f t="shared" si="5"/>
        <v>0</v>
      </c>
      <c r="J22" s="77"/>
      <c r="L22"/>
      <c r="M22"/>
      <c r="N22"/>
      <c r="O22"/>
      <c r="P22"/>
      <c r="Q22"/>
      <c r="R22"/>
      <c r="S22"/>
      <c r="T22"/>
      <c r="U22"/>
      <c r="W22"/>
      <c r="X22"/>
    </row>
    <row r="23" ht="17.5" customHeight="1" spans="1:24">
      <c r="A23" s="38" t="s">
        <v>415</v>
      </c>
      <c r="B23" s="44">
        <f t="shared" si="1"/>
        <v>0</v>
      </c>
      <c r="C23" s="44" t="str">
        <f t="shared" si="2"/>
        <v/>
      </c>
      <c r="D23" s="44" t="str">
        <f t="shared" si="2"/>
        <v/>
      </c>
      <c r="E23" s="44" t="str">
        <f t="shared" si="2"/>
        <v/>
      </c>
      <c r="F23" s="44" t="str">
        <f t="shared" si="2"/>
        <v/>
      </c>
      <c r="G23" s="44">
        <f t="shared" si="3"/>
        <v>0</v>
      </c>
      <c r="H23" s="44">
        <f t="shared" si="4"/>
        <v>0</v>
      </c>
      <c r="I23" s="44">
        <f t="shared" si="5"/>
        <v>0</v>
      </c>
      <c r="J23" s="77"/>
      <c r="L23"/>
      <c r="M23"/>
      <c r="N23"/>
      <c r="O23"/>
      <c r="P23"/>
      <c r="Q23"/>
      <c r="R23"/>
      <c r="T23"/>
      <c r="U23"/>
      <c r="W23"/>
      <c r="X23"/>
    </row>
    <row r="24" s="26" customFormat="1" ht="17.5" customHeight="1" spans="1:24">
      <c r="A24" s="38" t="s">
        <v>416</v>
      </c>
      <c r="B24" s="44">
        <f t="shared" si="1"/>
        <v>0</v>
      </c>
      <c r="C24" s="44" t="str">
        <f t="shared" si="2"/>
        <v/>
      </c>
      <c r="D24" s="44" t="str">
        <f t="shared" si="2"/>
        <v/>
      </c>
      <c r="E24" s="44" t="str">
        <f t="shared" si="2"/>
        <v/>
      </c>
      <c r="F24" s="44" t="str">
        <f t="shared" si="2"/>
        <v/>
      </c>
      <c r="G24" s="44">
        <f t="shared" si="3"/>
        <v>3</v>
      </c>
      <c r="H24" s="44">
        <f t="shared" si="4"/>
        <v>0</v>
      </c>
      <c r="I24" s="44">
        <f t="shared" si="5"/>
        <v>3</v>
      </c>
      <c r="J24" s="77"/>
      <c r="L24"/>
      <c r="M24"/>
      <c r="N24"/>
      <c r="O24"/>
      <c r="P24"/>
      <c r="Q24"/>
      <c r="R24"/>
      <c r="T24"/>
      <c r="U24"/>
      <c r="W24"/>
      <c r="X24"/>
    </row>
    <row r="25" ht="19.9" customHeight="1" spans="1:24">
      <c r="A25" s="38" t="s">
        <v>417</v>
      </c>
      <c r="B25" s="44">
        <f t="shared" si="1"/>
        <v>0</v>
      </c>
      <c r="C25" s="44" t="str">
        <f t="shared" si="2"/>
        <v/>
      </c>
      <c r="D25" s="44" t="str">
        <f t="shared" si="2"/>
        <v/>
      </c>
      <c r="E25" s="44" t="str">
        <f t="shared" si="2"/>
        <v/>
      </c>
      <c r="F25" s="44" t="str">
        <f t="shared" si="2"/>
        <v/>
      </c>
      <c r="G25" s="44">
        <f t="shared" si="3"/>
        <v>1</v>
      </c>
      <c r="H25" s="44">
        <f t="shared" si="4"/>
        <v>0</v>
      </c>
      <c r="I25" s="44">
        <f t="shared" si="5"/>
        <v>1</v>
      </c>
      <c r="J25" s="77"/>
      <c r="L25"/>
      <c r="M25"/>
      <c r="N25"/>
      <c r="O25"/>
      <c r="P25"/>
      <c r="Q25"/>
      <c r="R25"/>
      <c r="T25"/>
      <c r="U25"/>
      <c r="W25"/>
      <c r="X25"/>
    </row>
    <row r="26" ht="15" spans="1:24">
      <c r="A26" s="38" t="s">
        <v>137</v>
      </c>
      <c r="B26" s="44">
        <f t="shared" si="1"/>
        <v>0</v>
      </c>
      <c r="C26" s="44">
        <f>IFERROR(C27-SUM(C3:C25),0)</f>
        <v>0</v>
      </c>
      <c r="D26" s="44">
        <f>IFERROR(D27-SUM(D3:D25),0)</f>
        <v>0</v>
      </c>
      <c r="E26" s="44">
        <f>IFERROR(E27-SUM(E3:E25),0)</f>
        <v>0</v>
      </c>
      <c r="F26" s="44">
        <f>IFERROR(F27-SUM(F3:F25),0)</f>
        <v>0</v>
      </c>
      <c r="G26" s="44">
        <f t="shared" si="3"/>
        <v>0</v>
      </c>
      <c r="H26" s="44">
        <f>IFERROR(H29-SUM(H3:H25),0)</f>
        <v>0</v>
      </c>
      <c r="I26" s="44">
        <f>IFERROR(I29-SUM(I3:I25),0)</f>
        <v>0</v>
      </c>
      <c r="J26" s="82"/>
      <c r="L26"/>
      <c r="M26"/>
      <c r="N26"/>
      <c r="O26"/>
      <c r="P26"/>
      <c r="Q26"/>
      <c r="R26"/>
      <c r="T26"/>
      <c r="U26"/>
      <c r="W26"/>
      <c r="X26"/>
    </row>
    <row r="27" ht="15" spans="1:24">
      <c r="A27" s="83" t="s">
        <v>139</v>
      </c>
      <c r="B27" s="84">
        <f>SUM(B3:B26)</f>
        <v>24</v>
      </c>
      <c r="C27" s="84">
        <f>IF(IFERROR(GETPIVOTDATA("Area AGM",$L$8,"Umur Outstansing",""&amp;C$2&amp;""),0)=0,"",IFERROR(GETPIVOTDATA("Area AGM",$L$8,"Umur Outstansing",""&amp;C$2&amp;""),0))</f>
        <v>12</v>
      </c>
      <c r="D27" s="84">
        <f t="shared" ref="D27:F27" si="22">IF(IFERROR(GETPIVOTDATA("Area AGM",$L$8,"Umur Outstansing",""&amp;D$2&amp;""),0)=0,"",IFERROR(GETPIVOTDATA("Area AGM",$L$8,"Umur Outstansing",""&amp;D$2&amp;""),0))</f>
        <v>5</v>
      </c>
      <c r="E27" s="84">
        <f t="shared" si="22"/>
        <v>6</v>
      </c>
      <c r="F27" s="84">
        <f t="shared" si="22"/>
        <v>1</v>
      </c>
      <c r="G27" s="84">
        <f>SUM(G3:G26)</f>
        <v>12</v>
      </c>
      <c r="H27" s="84">
        <f>SUM(H3:H26)</f>
        <v>0</v>
      </c>
      <c r="I27" s="84">
        <f>SUM(I3:I26)</f>
        <v>12</v>
      </c>
      <c r="J27" s="85"/>
      <c r="L27"/>
      <c r="M27"/>
      <c r="N27"/>
      <c r="O27"/>
      <c r="P27"/>
      <c r="Q27"/>
      <c r="R27"/>
      <c r="T27"/>
      <c r="U27"/>
      <c r="W27"/>
      <c r="X27"/>
    </row>
    <row r="28" ht="15" spans="1:24">
      <c r="L28"/>
      <c r="M28"/>
      <c r="N28"/>
      <c r="O28"/>
      <c r="P28"/>
      <c r="Q28"/>
      <c r="R28"/>
      <c r="T28"/>
      <c r="U28"/>
      <c r="W28"/>
      <c r="X28"/>
    </row>
    <row r="29" ht="15" spans="1:24">
      <c r="H29" s="27">
        <f>VLOOKUP("Grand Total",T:U,2,0)</f>
        <v>0</v>
      </c>
      <c r="I29" s="27">
        <f>VLOOKUP("Grand Total",W:X,2,0)</f>
        <v>12</v>
      </c>
      <c r="L29"/>
      <c r="M29"/>
      <c r="N29"/>
      <c r="O29"/>
      <c r="P29"/>
      <c r="Q29"/>
      <c r="R29"/>
      <c r="T29"/>
      <c r="U29"/>
      <c r="W29"/>
      <c r="X29"/>
    </row>
    <row r="30" ht="15" spans="1:24">
      <c r="L30"/>
      <c r="M30"/>
      <c r="N30"/>
      <c r="O30"/>
      <c r="P30"/>
      <c r="Q30"/>
      <c r="R30"/>
      <c r="T30"/>
      <c r="U30"/>
      <c r="W30"/>
      <c r="X30"/>
    </row>
    <row r="31" ht="15" spans="1:24">
      <c r="L31"/>
      <c r="M31"/>
      <c r="N31"/>
      <c r="O31"/>
      <c r="P31"/>
      <c r="Q31"/>
      <c r="R31"/>
      <c r="T31"/>
      <c r="U31"/>
      <c r="W31"/>
      <c r="X31"/>
    </row>
    <row r="32" ht="15" spans="1:24">
      <c r="L32"/>
      <c r="M32"/>
      <c r="N32"/>
      <c r="O32"/>
      <c r="P32"/>
      <c r="Q32"/>
      <c r="R32"/>
      <c r="T32"/>
      <c r="U32"/>
      <c r="W32"/>
      <c r="X32"/>
    </row>
    <row r="33" ht="15" spans="12:24">
      <c r="L33"/>
      <c r="M33"/>
      <c r="N33"/>
      <c r="O33"/>
      <c r="P33"/>
      <c r="Q33"/>
      <c r="R33"/>
      <c r="T33"/>
      <c r="U33"/>
      <c r="W33"/>
      <c r="X33"/>
    </row>
    <row r="34" ht="15" spans="12:24">
      <c r="L34"/>
      <c r="M34"/>
      <c r="N34"/>
      <c r="O34"/>
      <c r="P34"/>
      <c r="Q34"/>
      <c r="R34"/>
      <c r="T34"/>
      <c r="U34"/>
      <c r="W34"/>
      <c r="X34"/>
    </row>
    <row r="35" ht="15" spans="12:24">
      <c r="L35"/>
      <c r="M35"/>
      <c r="N35"/>
      <c r="O35"/>
      <c r="P35"/>
      <c r="Q35"/>
      <c r="R35"/>
      <c r="T35"/>
      <c r="U35"/>
      <c r="W35"/>
      <c r="X35"/>
    </row>
    <row r="36" ht="15" spans="12:24">
      <c r="L36"/>
      <c r="M36"/>
      <c r="N36"/>
      <c r="O36"/>
      <c r="P36"/>
      <c r="Q36"/>
      <c r="R36"/>
      <c r="T36"/>
      <c r="U36"/>
      <c r="W36"/>
      <c r="X36"/>
    </row>
    <row r="37" ht="15" spans="12:24">
      <c r="T37"/>
      <c r="U37"/>
      <c r="W37"/>
      <c r="X37"/>
    </row>
    <row r="38" ht="15" spans="12:24">
      <c r="T38"/>
      <c r="U38"/>
      <c r="W38"/>
      <c r="X38"/>
    </row>
    <row r="39" ht="15" spans="12:24">
      <c r="T39"/>
      <c r="U39"/>
      <c r="W39"/>
      <c r="X39"/>
    </row>
    <row r="40" ht="15" spans="12:24">
      <c r="T40"/>
      <c r="U40"/>
    </row>
    <row r="41" ht="15" spans="12:24">
      <c r="T41"/>
      <c r="U41"/>
    </row>
    <row r="42" ht="15" spans="12:24">
      <c r="T42"/>
      <c r="U42"/>
    </row>
  </sheetData>
  <mergeCells count="3">
    <mergeCell ref="B1:F1"/>
    <mergeCell ref="G1:J1"/>
    <mergeCell ref="A1:A2"/>
  </mergeCells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Z39"/>
  <sheetViews>
    <sheetView showGridLines="0" zoomScale="70" zoomScaleNormal="70" workbookViewId="0">
      <pane xSplit="1" ySplit="2" topLeftCell="C3" activePane="bottomRight" state="frozen"/>
      <selection/>
      <selection pane="topRight"/>
      <selection pane="bottomLeft"/>
      <selection pane="bottomRight" activeCell="H31" sqref="H31"/>
    </sheetView>
  </sheetViews>
  <sheetFormatPr defaultColWidth="8.81904761904762" defaultRowHeight="15"/>
  <cols>
    <col min="1" max="1" width="27" style="27" customWidth="1"/>
    <col min="2" max="2" width="8.81904761904762" style="27" customWidth="1" outlineLevel="1"/>
    <col min="3" max="3" width="11.8190476190476" style="27" customWidth="1" outlineLevel="1"/>
    <col min="4" max="5" width="8.81904761904762" style="27" customWidth="1" outlineLevel="1"/>
    <col min="6" max="6" width="10.4571428571429" style="27" customWidth="1"/>
    <col min="7" max="7" width="12" style="27" customWidth="1"/>
    <col min="8" max="8" width="12.7238095238095" style="27" customWidth="1"/>
    <col min="9" max="9" width="10.4571428571429" style="27" customWidth="1"/>
    <col min="10" max="12" width="10.4571428571429" style="27" hidden="1" customWidth="1"/>
    <col min="13" max="13" width="2.18095238095238" customWidth="1"/>
    <col min="14" max="16" width="10.4571428571429" style="27" hidden="1" customWidth="1"/>
    <col min="17" max="19" width="10.4571428571429" style="27" customWidth="1"/>
    <col min="20" max="20" width="88.4571428571429" style="27" hidden="1" customWidth="1"/>
    <col min="21" max="21" width="8.81904761904762" style="28"/>
    <col min="22" max="22" width="22.8571428571429" style="29"/>
    <col min="23" max="23" width="19.8571428571429" style="29"/>
    <col min="24" max="24" width="8.81904761904762" style="27"/>
    <col min="25" max="25" width="15.1428571428571" style="29"/>
    <col min="26" max="26" width="19.8571428571429" style="29"/>
    <col min="27" max="27" width="8.81904761904762" style="27"/>
    <col min="28" max="28" width="8.81904761904762" style="27" customWidth="1"/>
    <col min="29" max="16384" width="8.81904761904762" style="27"/>
  </cols>
  <sheetData>
    <row r="1" ht="22.5" customHeight="1" spans="1:26">
      <c r="A1" s="30"/>
    </row>
    <row r="2" s="25" customFormat="1" ht="39" customHeight="1" spans="1:26">
      <c r="A2" s="31" t="s">
        <v>141</v>
      </c>
      <c r="B2" s="32" t="s">
        <v>418</v>
      </c>
      <c r="C2" s="32" t="s">
        <v>419</v>
      </c>
      <c r="D2" s="32" t="s">
        <v>153</v>
      </c>
      <c r="E2" s="32" t="s">
        <v>94</v>
      </c>
      <c r="F2" s="33" t="s">
        <v>420</v>
      </c>
      <c r="G2" s="34" t="s">
        <v>421</v>
      </c>
      <c r="H2" s="34" t="s">
        <v>55</v>
      </c>
      <c r="I2" s="35" t="s">
        <v>86</v>
      </c>
      <c r="J2" s="34" t="s">
        <v>422</v>
      </c>
      <c r="K2" s="34" t="s">
        <v>423</v>
      </c>
      <c r="L2" s="34" t="s">
        <v>44</v>
      </c>
      <c r="M2"/>
      <c r="N2" s="34" t="s">
        <v>424</v>
      </c>
      <c r="O2" s="34" t="s">
        <v>425</v>
      </c>
      <c r="P2" s="34" t="s">
        <v>171</v>
      </c>
      <c r="Q2" s="34" t="s">
        <v>172</v>
      </c>
      <c r="R2" s="34" t="s">
        <v>173</v>
      </c>
      <c r="S2" s="31" t="s">
        <v>426</v>
      </c>
      <c r="T2" s="31" t="s">
        <v>164</v>
      </c>
      <c r="U2" s="36"/>
      <c r="V2" s="37" t="s">
        <v>427</v>
      </c>
      <c r="W2"/>
      <c r="Y2" s="37" t="s">
        <v>428</v>
      </c>
      <c r="Z2"/>
    </row>
    <row r="3" ht="17.5" customHeight="1" spans="1:26">
      <c r="A3" s="38" t="s">
        <v>118</v>
      </c>
      <c r="B3" s="39">
        <v>5</v>
      </c>
      <c r="C3" s="39">
        <v>15</v>
      </c>
      <c r="D3" s="40"/>
      <c r="E3" s="41"/>
      <c r="F3" s="42">
        <f>SUM(B3:E3)</f>
        <v>20</v>
      </c>
      <c r="G3" s="43">
        <v>1</v>
      </c>
      <c r="H3" s="44">
        <f t="shared" ref="H3:H25" si="0">IFERROR(GETPIVOTDATA("Area AGM",$W$8,"Model",""&amp;$A3&amp;""),0)+IFERROR(GETPIVOTDATA("Area AGM",$Z$8,"Model",""&amp;$A3&amp;""),0)</f>
        <v>7</v>
      </c>
      <c r="I3" s="42">
        <f t="shared" ref="I3:I11" si="1">F3-G3-H3</f>
        <v>12</v>
      </c>
      <c r="J3" s="44">
        <v>70</v>
      </c>
      <c r="K3" s="44"/>
      <c r="L3" s="44">
        <f>SUM(G3,H3,K3)-J3</f>
        <v>-62</v>
      </c>
      <c r="N3" s="44">
        <f t="shared" ref="N3:Q26" si="2">IFERROR(ROUND(O3/O$29,0),0)</f>
        <v>77</v>
      </c>
      <c r="O3" s="44">
        <f t="shared" si="2"/>
        <v>23</v>
      </c>
      <c r="P3" s="44">
        <f t="shared" si="2"/>
        <v>9</v>
      </c>
      <c r="Q3" s="44">
        <f t="shared" si="2"/>
        <v>7</v>
      </c>
      <c r="R3" s="44">
        <f>IFERROR(ROUND(U3*$R$30,0),0)-1</f>
        <v>5</v>
      </c>
      <c r="S3" s="45">
        <f>I3-R3</f>
        <v>7</v>
      </c>
      <c r="T3" s="631" t="s">
        <v>429</v>
      </c>
      <c r="U3" s="47">
        <f t="shared" ref="U3:U26" si="3">I3/$I$27</f>
        <v>0.148148148148148</v>
      </c>
      <c r="V3" t="s">
        <v>234</v>
      </c>
      <c r="W3" t="s">
        <v>380</v>
      </c>
      <c r="Y3" t="s">
        <v>234</v>
      </c>
      <c r="Z3" t="s">
        <v>380</v>
      </c>
    </row>
    <row r="4" ht="17.5" customHeight="1" spans="1:26">
      <c r="A4" s="38" t="s">
        <v>403</v>
      </c>
      <c r="B4" s="39">
        <v>7</v>
      </c>
      <c r="C4" s="39">
        <v>6</v>
      </c>
      <c r="D4" s="40">
        <v>17</v>
      </c>
      <c r="E4" s="41"/>
      <c r="F4" s="42">
        <f t="shared" ref="F4:F26" si="4">SUM(B4:E4)</f>
        <v>30</v>
      </c>
      <c r="G4" s="43"/>
      <c r="H4" s="44">
        <f t="shared" si="0"/>
        <v>17</v>
      </c>
      <c r="I4" s="42">
        <f t="shared" si="1"/>
        <v>13</v>
      </c>
      <c r="J4" s="44">
        <v>50</v>
      </c>
      <c r="K4" s="44"/>
      <c r="L4" s="44">
        <f t="shared" ref="L4:L20" si="5">SUM(G4,H4,K4)-J4</f>
        <v>-33</v>
      </c>
      <c r="N4" s="44">
        <f t="shared" si="2"/>
        <v>83</v>
      </c>
      <c r="O4" s="44">
        <f t="shared" si="2"/>
        <v>25</v>
      </c>
      <c r="P4" s="44">
        <f t="shared" si="2"/>
        <v>10</v>
      </c>
      <c r="Q4" s="44">
        <f t="shared" si="2"/>
        <v>8</v>
      </c>
      <c r="R4" s="44">
        <f>IFERROR(ROUND(U4*$R$30,0),0)</f>
        <v>6</v>
      </c>
      <c r="S4" s="45">
        <f t="shared" ref="S4:S27" si="6">I4-R4</f>
        <v>7</v>
      </c>
      <c r="T4" s="46"/>
      <c r="U4" s="47">
        <f t="shared" si="3"/>
        <v>0.160493827160494</v>
      </c>
      <c r="V4" t="s">
        <v>233</v>
      </c>
      <c r="W4" t="s">
        <v>380</v>
      </c>
      <c r="Y4" t="s">
        <v>233</v>
      </c>
      <c r="Z4" t="s">
        <v>105</v>
      </c>
    </row>
    <row r="5" ht="17.5" customHeight="1" spans="1:26">
      <c r="A5" s="38" t="s">
        <v>123</v>
      </c>
      <c r="B5" s="39"/>
      <c r="C5" s="39">
        <v>3</v>
      </c>
      <c r="D5" s="40"/>
      <c r="E5" s="41"/>
      <c r="F5" s="42">
        <f t="shared" si="4"/>
        <v>3</v>
      </c>
      <c r="G5" s="43">
        <v>1</v>
      </c>
      <c r="H5" s="44">
        <f t="shared" si="0"/>
        <v>1</v>
      </c>
      <c r="I5" s="42">
        <f t="shared" si="1"/>
        <v>1</v>
      </c>
      <c r="J5" s="44">
        <v>34</v>
      </c>
      <c r="K5" s="44"/>
      <c r="L5" s="44">
        <f t="shared" si="5"/>
        <v>-32</v>
      </c>
      <c r="N5" s="44">
        <f t="shared" si="2"/>
        <v>0</v>
      </c>
      <c r="O5" s="44">
        <f t="shared" si="2"/>
        <v>0</v>
      </c>
      <c r="P5" s="44">
        <f t="shared" si="2"/>
        <v>0</v>
      </c>
      <c r="Q5" s="44">
        <f t="shared" si="2"/>
        <v>0</v>
      </c>
      <c r="R5" s="44">
        <f>IFERROR(ROUND(U5*$R$30,0),0)</f>
        <v>0</v>
      </c>
      <c r="S5" s="45">
        <f t="shared" si="6"/>
        <v>1</v>
      </c>
      <c r="T5" s="46"/>
      <c r="U5" s="47">
        <f t="shared" si="3"/>
        <v>0.0123456790123457</v>
      </c>
      <c r="V5" t="s">
        <v>8</v>
      </c>
      <c r="W5" t="s">
        <v>11</v>
      </c>
      <c r="Y5" t="s">
        <v>8</v>
      </c>
      <c r="Z5" t="s">
        <v>382</v>
      </c>
    </row>
    <row r="6" ht="17.5" customHeight="1" spans="1:26">
      <c r="A6" s="38" t="s">
        <v>135</v>
      </c>
      <c r="B6" s="39">
        <v>5</v>
      </c>
      <c r="C6" s="39">
        <v>5</v>
      </c>
      <c r="D6" s="40"/>
      <c r="E6" s="41"/>
      <c r="F6" s="42">
        <f t="shared" si="4"/>
        <v>10</v>
      </c>
      <c r="G6" s="43"/>
      <c r="H6" s="44">
        <f t="shared" si="0"/>
        <v>0</v>
      </c>
      <c r="I6" s="42">
        <f t="shared" si="1"/>
        <v>10</v>
      </c>
      <c r="J6" s="44">
        <v>30</v>
      </c>
      <c r="K6" s="44"/>
      <c r="L6" s="44">
        <f t="shared" si="5"/>
        <v>-30</v>
      </c>
      <c r="N6" s="44">
        <f t="shared" si="2"/>
        <v>77</v>
      </c>
      <c r="O6" s="44">
        <f t="shared" si="2"/>
        <v>23</v>
      </c>
      <c r="P6" s="44">
        <f t="shared" si="2"/>
        <v>9</v>
      </c>
      <c r="Q6" s="44">
        <f t="shared" si="2"/>
        <v>7</v>
      </c>
      <c r="R6" s="44">
        <f>IFERROR(ROUND(U6*$R$30,0),0)</f>
        <v>5</v>
      </c>
      <c r="S6" s="45">
        <f t="shared" si="6"/>
        <v>5</v>
      </c>
      <c r="T6" s="46"/>
      <c r="U6" s="47">
        <f t="shared" si="3"/>
        <v>0.123456790123457</v>
      </c>
      <c r="V6" t="s">
        <v>9</v>
      </c>
      <c r="W6" t="s">
        <v>382</v>
      </c>
      <c r="Y6" t="s">
        <v>9</v>
      </c>
      <c r="Z6" t="s">
        <v>382</v>
      </c>
    </row>
    <row r="7" ht="17.5" customHeight="1" spans="1:26">
      <c r="A7" s="38" t="s">
        <v>125</v>
      </c>
      <c r="B7" s="39">
        <v>1</v>
      </c>
      <c r="C7" s="39">
        <v>5</v>
      </c>
      <c r="D7" s="40"/>
      <c r="E7" s="41"/>
      <c r="F7" s="42">
        <f t="shared" si="4"/>
        <v>6</v>
      </c>
      <c r="G7" s="43"/>
      <c r="H7" s="44">
        <f t="shared" si="0"/>
        <v>3</v>
      </c>
      <c r="I7" s="42">
        <f t="shared" si="1"/>
        <v>3</v>
      </c>
      <c r="J7" s="44">
        <v>50</v>
      </c>
      <c r="K7" s="44"/>
      <c r="L7" s="44">
        <f t="shared" si="5"/>
        <v>-47</v>
      </c>
      <c r="N7" s="44">
        <f t="shared" si="2"/>
        <v>10</v>
      </c>
      <c r="O7" s="44">
        <f t="shared" si="2"/>
        <v>3</v>
      </c>
      <c r="P7" s="44">
        <f t="shared" si="2"/>
        <v>1</v>
      </c>
      <c r="Q7" s="44">
        <f t="shared" si="2"/>
        <v>1</v>
      </c>
      <c r="R7" s="44">
        <f t="shared" ref="R7:R26" si="7">IFERROR(ROUND(U7*$R$30,0),0)</f>
        <v>1</v>
      </c>
      <c r="S7" s="45">
        <f t="shared" si="6"/>
        <v>2</v>
      </c>
      <c r="T7" s="38"/>
      <c r="U7" s="47">
        <f t="shared" si="3"/>
        <v>0.037037037037037</v>
      </c>
      <c r="V7"/>
      <c r="W7"/>
      <c r="Y7"/>
      <c r="Z7"/>
    </row>
    <row r="8" ht="17.5" customHeight="1" spans="1:26">
      <c r="A8" s="38" t="s">
        <v>404</v>
      </c>
      <c r="B8" s="39">
        <v>1</v>
      </c>
      <c r="C8" s="39"/>
      <c r="D8" s="40"/>
      <c r="E8" s="41"/>
      <c r="F8" s="42">
        <f t="shared" si="4"/>
        <v>1</v>
      </c>
      <c r="G8" s="43"/>
      <c r="H8" s="44">
        <f t="shared" si="0"/>
        <v>0</v>
      </c>
      <c r="I8" s="42">
        <f t="shared" si="1"/>
        <v>1</v>
      </c>
      <c r="J8" s="44">
        <v>0</v>
      </c>
      <c r="K8" s="44"/>
      <c r="L8" s="44">
        <f t="shared" ref="L8" si="8">SUM(G8,H8,K8)-J8</f>
        <v>0</v>
      </c>
      <c r="N8" s="44">
        <f t="shared" si="2"/>
        <v>0</v>
      </c>
      <c r="O8" s="44">
        <f t="shared" si="2"/>
        <v>0</v>
      </c>
      <c r="P8" s="44">
        <f t="shared" si="2"/>
        <v>0</v>
      </c>
      <c r="Q8" s="44">
        <f t="shared" si="2"/>
        <v>0</v>
      </c>
      <c r="R8" s="44">
        <f t="shared" si="7"/>
        <v>0</v>
      </c>
      <c r="S8" s="45">
        <f t="shared" si="6"/>
        <v>1</v>
      </c>
      <c r="T8" s="38"/>
      <c r="U8" s="47">
        <f t="shared" si="3"/>
        <v>0.0123456790123457</v>
      </c>
      <c r="V8" t="s">
        <v>141</v>
      </c>
      <c r="W8" t="s">
        <v>385</v>
      </c>
      <c r="Y8" t="s">
        <v>141</v>
      </c>
      <c r="Z8" t="s">
        <v>385</v>
      </c>
    </row>
    <row r="9" ht="17.5" customHeight="1" spans="1:26">
      <c r="A9" s="38" t="s">
        <v>127</v>
      </c>
      <c r="B9" s="39">
        <v>4</v>
      </c>
      <c r="C9" s="39">
        <v>13</v>
      </c>
      <c r="D9" s="40"/>
      <c r="E9" s="41"/>
      <c r="F9" s="42">
        <f t="shared" si="4"/>
        <v>17</v>
      </c>
      <c r="G9" s="43">
        <v>2</v>
      </c>
      <c r="H9" s="44">
        <f t="shared" si="0"/>
        <v>8</v>
      </c>
      <c r="I9" s="42">
        <f t="shared" si="1"/>
        <v>7</v>
      </c>
      <c r="J9" s="44">
        <v>60</v>
      </c>
      <c r="K9" s="44"/>
      <c r="L9" s="44">
        <f t="shared" si="5"/>
        <v>-50</v>
      </c>
      <c r="N9" s="44">
        <f t="shared" si="2"/>
        <v>43</v>
      </c>
      <c r="O9" s="44">
        <f t="shared" si="2"/>
        <v>13</v>
      </c>
      <c r="P9" s="44">
        <f t="shared" si="2"/>
        <v>5</v>
      </c>
      <c r="Q9" s="44">
        <f t="shared" si="2"/>
        <v>4</v>
      </c>
      <c r="R9" s="44">
        <f t="shared" si="7"/>
        <v>3</v>
      </c>
      <c r="S9" s="45">
        <f t="shared" si="6"/>
        <v>4</v>
      </c>
      <c r="T9" s="38"/>
      <c r="U9" s="47">
        <f t="shared" si="3"/>
        <v>0.0864197530864197</v>
      </c>
      <c r="V9" t="s">
        <v>387</v>
      </c>
      <c r="W9">
        <v>1</v>
      </c>
      <c r="Y9" t="s">
        <v>386</v>
      </c>
      <c r="Z9" s="48">
        <v>3</v>
      </c>
    </row>
    <row r="10" ht="17.5" customHeight="1" spans="1:26">
      <c r="A10" s="38" t="s">
        <v>129</v>
      </c>
      <c r="B10" s="39"/>
      <c r="C10" s="39"/>
      <c r="D10" s="40"/>
      <c r="E10" s="41"/>
      <c r="F10" s="42">
        <f t="shared" si="4"/>
        <v>0</v>
      </c>
      <c r="G10" s="43"/>
      <c r="H10" s="44">
        <f t="shared" si="0"/>
        <v>0</v>
      </c>
      <c r="I10" s="42">
        <f t="shared" si="1"/>
        <v>0</v>
      </c>
      <c r="J10" s="44">
        <v>0</v>
      </c>
      <c r="K10" s="44"/>
      <c r="L10" s="44">
        <f t="shared" ref="L10" si="9">SUM(G10,H10,K10)-J10</f>
        <v>0</v>
      </c>
      <c r="N10" s="44">
        <f t="shared" si="2"/>
        <v>0</v>
      </c>
      <c r="O10" s="44">
        <f t="shared" si="2"/>
        <v>0</v>
      </c>
      <c r="P10" s="44">
        <f t="shared" si="2"/>
        <v>0</v>
      </c>
      <c r="Q10" s="44">
        <f t="shared" si="2"/>
        <v>0</v>
      </c>
      <c r="R10" s="44">
        <f t="shared" si="7"/>
        <v>0</v>
      </c>
      <c r="S10" s="45">
        <f t="shared" si="6"/>
        <v>0</v>
      </c>
      <c r="T10" s="38"/>
      <c r="U10" s="47">
        <f t="shared" si="3"/>
        <v>0</v>
      </c>
      <c r="V10" t="s">
        <v>389</v>
      </c>
      <c r="W10">
        <v>1</v>
      </c>
      <c r="Y10" t="s">
        <v>387</v>
      </c>
      <c r="Z10" s="48">
        <v>7</v>
      </c>
    </row>
    <row r="11" ht="17.5" customHeight="1" spans="1:26">
      <c r="A11" s="38" t="s">
        <v>405</v>
      </c>
      <c r="B11" s="39"/>
      <c r="C11" s="39"/>
      <c r="D11" s="40"/>
      <c r="E11" s="41"/>
      <c r="F11" s="42">
        <f t="shared" si="4"/>
        <v>0</v>
      </c>
      <c r="G11" s="43"/>
      <c r="H11" s="44">
        <f t="shared" si="0"/>
        <v>0</v>
      </c>
      <c r="I11" s="42">
        <f t="shared" si="1"/>
        <v>0</v>
      </c>
      <c r="J11" s="44">
        <v>0</v>
      </c>
      <c r="K11" s="44"/>
      <c r="L11" s="44">
        <f t="shared" ref="L11" si="10">SUM(G11,H11,K11)-J11</f>
        <v>0</v>
      </c>
      <c r="N11" s="44">
        <f t="shared" si="2"/>
        <v>0</v>
      </c>
      <c r="O11" s="44">
        <f t="shared" si="2"/>
        <v>0</v>
      </c>
      <c r="P11" s="44">
        <f t="shared" si="2"/>
        <v>0</v>
      </c>
      <c r="Q11" s="44">
        <f t="shared" si="2"/>
        <v>0</v>
      </c>
      <c r="R11" s="44">
        <f t="shared" si="7"/>
        <v>0</v>
      </c>
      <c r="S11" s="45">
        <f t="shared" ref="S11" si="11">I11-R11</f>
        <v>0</v>
      </c>
      <c r="T11" s="38"/>
      <c r="U11" s="47">
        <f t="shared" si="3"/>
        <v>0</v>
      </c>
      <c r="V11" t="s">
        <v>392</v>
      </c>
      <c r="W11">
        <v>1</v>
      </c>
      <c r="Y11" t="s">
        <v>391</v>
      </c>
      <c r="Z11" s="48">
        <v>2</v>
      </c>
    </row>
    <row r="12" ht="17.5" customHeight="1" spans="1:26">
      <c r="A12" s="38" t="s">
        <v>406</v>
      </c>
      <c r="B12" s="39"/>
      <c r="C12" s="39">
        <v>2</v>
      </c>
      <c r="D12" s="40"/>
      <c r="E12" s="41"/>
      <c r="F12" s="42">
        <f t="shared" si="4"/>
        <v>2</v>
      </c>
      <c r="G12" s="43"/>
      <c r="H12" s="44">
        <f t="shared" si="0"/>
        <v>0</v>
      </c>
      <c r="I12" s="42">
        <f t="shared" ref="I12:I26" si="12">F12-G12-H12</f>
        <v>2</v>
      </c>
      <c r="J12" s="44">
        <v>7</v>
      </c>
      <c r="K12" s="44"/>
      <c r="L12" s="44">
        <f t="shared" si="5"/>
        <v>-7</v>
      </c>
      <c r="N12" s="44">
        <f t="shared" si="2"/>
        <v>10</v>
      </c>
      <c r="O12" s="44">
        <f t="shared" si="2"/>
        <v>3</v>
      </c>
      <c r="P12" s="44">
        <f t="shared" si="2"/>
        <v>1</v>
      </c>
      <c r="Q12" s="44">
        <f t="shared" si="2"/>
        <v>1</v>
      </c>
      <c r="R12" s="44">
        <f t="shared" si="7"/>
        <v>1</v>
      </c>
      <c r="S12" s="45">
        <f t="shared" si="6"/>
        <v>1</v>
      </c>
      <c r="T12" s="38"/>
      <c r="U12" s="47">
        <f t="shared" si="3"/>
        <v>0.0246913580246914</v>
      </c>
      <c r="V12" t="s">
        <v>394</v>
      </c>
      <c r="W12">
        <v>15</v>
      </c>
      <c r="Y12" t="s">
        <v>393</v>
      </c>
      <c r="Z12" s="48">
        <v>7</v>
      </c>
    </row>
    <row r="13" ht="17.5" customHeight="1" spans="1:26">
      <c r="A13" s="38" t="s">
        <v>131</v>
      </c>
      <c r="B13" s="39">
        <v>3</v>
      </c>
      <c r="C13" s="39">
        <v>11</v>
      </c>
      <c r="D13" s="40"/>
      <c r="E13" s="41"/>
      <c r="F13" s="42">
        <f t="shared" si="4"/>
        <v>14</v>
      </c>
      <c r="G13" s="43">
        <v>2</v>
      </c>
      <c r="H13" s="44">
        <f t="shared" si="0"/>
        <v>2</v>
      </c>
      <c r="I13" s="42">
        <f t="shared" si="12"/>
        <v>10</v>
      </c>
      <c r="J13" s="44">
        <v>25</v>
      </c>
      <c r="K13" s="44"/>
      <c r="L13" s="44">
        <f t="shared" si="5"/>
        <v>-21</v>
      </c>
      <c r="N13" s="44">
        <f t="shared" si="2"/>
        <v>77</v>
      </c>
      <c r="O13" s="44">
        <f t="shared" si="2"/>
        <v>23</v>
      </c>
      <c r="P13" s="44">
        <f t="shared" si="2"/>
        <v>9</v>
      </c>
      <c r="Q13" s="44">
        <f t="shared" si="2"/>
        <v>7</v>
      </c>
      <c r="R13" s="44">
        <f t="shared" si="7"/>
        <v>5</v>
      </c>
      <c r="S13" s="45">
        <f t="shared" si="6"/>
        <v>5</v>
      </c>
      <c r="T13" s="38"/>
      <c r="U13" s="47">
        <f t="shared" si="3"/>
        <v>0.123456790123457</v>
      </c>
      <c r="V13" t="s">
        <v>139</v>
      </c>
      <c r="W13">
        <v>18</v>
      </c>
      <c r="Y13" t="s">
        <v>395</v>
      </c>
      <c r="Z13" s="48">
        <v>1</v>
      </c>
    </row>
    <row r="14" ht="17.5" customHeight="1" spans="1:26">
      <c r="A14" s="49" t="s">
        <v>407</v>
      </c>
      <c r="B14" s="39">
        <v>6</v>
      </c>
      <c r="C14" s="39">
        <v>12</v>
      </c>
      <c r="D14" s="40"/>
      <c r="E14" s="41"/>
      <c r="F14" s="42">
        <f t="shared" si="4"/>
        <v>18</v>
      </c>
      <c r="G14" s="43">
        <v>2</v>
      </c>
      <c r="H14" s="44">
        <f t="shared" si="0"/>
        <v>1</v>
      </c>
      <c r="I14" s="42">
        <f t="shared" si="12"/>
        <v>15</v>
      </c>
      <c r="J14" s="44">
        <v>65</v>
      </c>
      <c r="K14" s="38"/>
      <c r="L14" s="38">
        <f t="shared" si="5"/>
        <v>-62</v>
      </c>
      <c r="N14" s="44">
        <f t="shared" si="2"/>
        <v>93</v>
      </c>
      <c r="O14" s="44">
        <f t="shared" si="2"/>
        <v>28</v>
      </c>
      <c r="P14" s="44">
        <f t="shared" si="2"/>
        <v>11</v>
      </c>
      <c r="Q14" s="44">
        <f t="shared" si="2"/>
        <v>9</v>
      </c>
      <c r="R14" s="44">
        <f t="shared" si="7"/>
        <v>7</v>
      </c>
      <c r="S14" s="45">
        <f t="shared" si="6"/>
        <v>8</v>
      </c>
      <c r="U14" s="47">
        <f t="shared" si="3"/>
        <v>0.185185185185185</v>
      </c>
      <c r="V14"/>
      <c r="W14"/>
      <c r="Y14" t="s">
        <v>396</v>
      </c>
      <c r="Z14" s="48">
        <v>1</v>
      </c>
    </row>
    <row r="15" ht="17.5" customHeight="1" spans="1:26">
      <c r="A15" s="49" t="s">
        <v>408</v>
      </c>
      <c r="B15" s="39">
        <v>4</v>
      </c>
      <c r="C15" s="39">
        <v>1</v>
      </c>
      <c r="D15" s="40"/>
      <c r="E15" s="41"/>
      <c r="F15" s="42">
        <f t="shared" si="4"/>
        <v>5</v>
      </c>
      <c r="G15" s="43"/>
      <c r="H15" s="44">
        <f t="shared" si="0"/>
        <v>1</v>
      </c>
      <c r="I15" s="42">
        <f t="shared" si="12"/>
        <v>4</v>
      </c>
      <c r="J15" s="44">
        <v>60</v>
      </c>
      <c r="K15" s="38"/>
      <c r="L15" s="38">
        <f t="shared" si="5"/>
        <v>-59</v>
      </c>
      <c r="N15" s="44">
        <f t="shared" si="2"/>
        <v>33</v>
      </c>
      <c r="O15" s="44">
        <f t="shared" si="2"/>
        <v>10</v>
      </c>
      <c r="P15" s="44">
        <f t="shared" si="2"/>
        <v>4</v>
      </c>
      <c r="Q15" s="44">
        <f t="shared" si="2"/>
        <v>3</v>
      </c>
      <c r="R15" s="44">
        <f t="shared" si="7"/>
        <v>2</v>
      </c>
      <c r="S15" s="45">
        <f t="shared" si="6"/>
        <v>2</v>
      </c>
      <c r="U15" s="47">
        <f t="shared" si="3"/>
        <v>0.0493827160493827</v>
      </c>
      <c r="V15"/>
      <c r="W15"/>
      <c r="Y15" t="s">
        <v>394</v>
      </c>
      <c r="Z15" s="48">
        <v>2</v>
      </c>
    </row>
    <row r="16" ht="17.5" customHeight="1" spans="1:26">
      <c r="A16" s="38" t="s">
        <v>133</v>
      </c>
      <c r="B16" s="39">
        <v>2</v>
      </c>
      <c r="C16" s="39">
        <v>3</v>
      </c>
      <c r="D16" s="40"/>
      <c r="E16" s="41"/>
      <c r="F16" s="42">
        <f t="shared" si="4"/>
        <v>5</v>
      </c>
      <c r="G16" s="43"/>
      <c r="H16" s="44">
        <f t="shared" si="0"/>
        <v>1</v>
      </c>
      <c r="I16" s="42">
        <f t="shared" si="12"/>
        <v>4</v>
      </c>
      <c r="J16" s="44">
        <v>50</v>
      </c>
      <c r="K16" s="44"/>
      <c r="L16" s="44">
        <f t="shared" si="5"/>
        <v>-49</v>
      </c>
      <c r="N16" s="44">
        <f t="shared" si="2"/>
        <v>33</v>
      </c>
      <c r="O16" s="44">
        <f t="shared" si="2"/>
        <v>10</v>
      </c>
      <c r="P16" s="44">
        <f t="shared" si="2"/>
        <v>4</v>
      </c>
      <c r="Q16" s="44">
        <f t="shared" si="2"/>
        <v>3</v>
      </c>
      <c r="R16" s="44">
        <f t="shared" si="7"/>
        <v>2</v>
      </c>
      <c r="S16" s="45">
        <f t="shared" si="6"/>
        <v>2</v>
      </c>
      <c r="U16" s="47">
        <f t="shared" si="3"/>
        <v>0.0493827160493827</v>
      </c>
      <c r="V16"/>
      <c r="W16"/>
      <c r="Y16" s="48" t="s">
        <v>139</v>
      </c>
      <c r="Z16" s="48">
        <v>23</v>
      </c>
    </row>
    <row r="17" ht="17.5" customHeight="1" spans="1:26">
      <c r="A17" s="38" t="s">
        <v>409</v>
      </c>
      <c r="B17" s="39"/>
      <c r="C17" s="40"/>
      <c r="D17" s="40"/>
      <c r="E17" s="41"/>
      <c r="F17" s="42">
        <f t="shared" si="4"/>
        <v>0</v>
      </c>
      <c r="G17" s="43"/>
      <c r="H17" s="44">
        <f t="shared" si="0"/>
        <v>0</v>
      </c>
      <c r="I17" s="42">
        <f t="shared" si="12"/>
        <v>0</v>
      </c>
      <c r="J17" s="44">
        <v>30</v>
      </c>
      <c r="K17" s="38"/>
      <c r="L17" s="38">
        <f t="shared" si="5"/>
        <v>-30</v>
      </c>
      <c r="N17" s="44">
        <f t="shared" si="2"/>
        <v>0</v>
      </c>
      <c r="O17" s="44">
        <f t="shared" si="2"/>
        <v>0</v>
      </c>
      <c r="P17" s="44">
        <f t="shared" si="2"/>
        <v>0</v>
      </c>
      <c r="Q17" s="44">
        <f t="shared" si="2"/>
        <v>0</v>
      </c>
      <c r="R17" s="44">
        <f t="shared" si="7"/>
        <v>0</v>
      </c>
      <c r="S17" s="45">
        <f t="shared" si="6"/>
        <v>0</v>
      </c>
      <c r="U17" s="47">
        <f t="shared" si="3"/>
        <v>0</v>
      </c>
      <c r="V17"/>
      <c r="W17"/>
      <c r="Y17"/>
      <c r="Z17"/>
    </row>
    <row r="18" ht="17.5" customHeight="1" spans="1:26">
      <c r="A18" s="38" t="s">
        <v>410</v>
      </c>
      <c r="B18" s="39"/>
      <c r="C18" s="40"/>
      <c r="D18" s="40"/>
      <c r="E18" s="41"/>
      <c r="F18" s="42">
        <f t="shared" ref="F18" si="13">SUM(B18:E18)</f>
        <v>0</v>
      </c>
      <c r="G18" s="43"/>
      <c r="H18" s="44">
        <f t="shared" si="0"/>
        <v>0</v>
      </c>
      <c r="I18" s="42">
        <f t="shared" ref="I18" si="14">F18-G18-H18</f>
        <v>0</v>
      </c>
      <c r="J18" s="44">
        <v>30</v>
      </c>
      <c r="K18" s="38"/>
      <c r="L18" s="38">
        <f t="shared" si="5"/>
        <v>-30</v>
      </c>
      <c r="N18" s="44">
        <f t="shared" si="2"/>
        <v>0</v>
      </c>
      <c r="O18" s="44">
        <f t="shared" si="2"/>
        <v>0</v>
      </c>
      <c r="P18" s="44">
        <f t="shared" si="2"/>
        <v>0</v>
      </c>
      <c r="Q18" s="44">
        <f t="shared" si="2"/>
        <v>0</v>
      </c>
      <c r="R18" s="44">
        <f t="shared" si="7"/>
        <v>0</v>
      </c>
      <c r="S18" s="45">
        <f t="shared" ref="S18" si="15">I18-R18</f>
        <v>0</v>
      </c>
      <c r="U18" s="47">
        <f t="shared" si="3"/>
        <v>0</v>
      </c>
      <c r="V18"/>
      <c r="W18"/>
      <c r="Y18"/>
      <c r="Z18"/>
    </row>
    <row r="19" ht="17.5" customHeight="1" spans="1:26">
      <c r="A19" s="38" t="s">
        <v>411</v>
      </c>
      <c r="B19" s="39"/>
      <c r="C19" s="40"/>
      <c r="D19" s="40"/>
      <c r="E19" s="41"/>
      <c r="F19" s="42">
        <f t="shared" si="4"/>
        <v>0</v>
      </c>
      <c r="G19" s="43"/>
      <c r="H19" s="44">
        <f t="shared" si="0"/>
        <v>0</v>
      </c>
      <c r="I19" s="42">
        <f t="shared" si="12"/>
        <v>0</v>
      </c>
      <c r="J19" s="44">
        <v>1</v>
      </c>
      <c r="K19" s="38"/>
      <c r="L19" s="38">
        <f t="shared" si="5"/>
        <v>-1</v>
      </c>
      <c r="N19" s="44">
        <f t="shared" si="2"/>
        <v>0</v>
      </c>
      <c r="O19" s="44">
        <f t="shared" si="2"/>
        <v>0</v>
      </c>
      <c r="P19" s="44">
        <f t="shared" si="2"/>
        <v>0</v>
      </c>
      <c r="Q19" s="44">
        <f t="shared" si="2"/>
        <v>0</v>
      </c>
      <c r="R19" s="44">
        <f t="shared" si="7"/>
        <v>0</v>
      </c>
      <c r="S19" s="45">
        <f t="shared" si="6"/>
        <v>0</v>
      </c>
      <c r="U19" s="47">
        <f t="shared" si="3"/>
        <v>0</v>
      </c>
      <c r="V19"/>
      <c r="W19"/>
      <c r="Y19"/>
      <c r="Z19"/>
    </row>
    <row r="20" ht="17.5" customHeight="1" spans="1:26">
      <c r="A20" s="38" t="s">
        <v>412</v>
      </c>
      <c r="B20" s="39"/>
      <c r="C20" s="40"/>
      <c r="D20" s="40">
        <v>1</v>
      </c>
      <c r="E20" s="41"/>
      <c r="F20" s="42">
        <f t="shared" si="4"/>
        <v>1</v>
      </c>
      <c r="G20" s="43">
        <v>1</v>
      </c>
      <c r="H20" s="44">
        <f t="shared" si="0"/>
        <v>0</v>
      </c>
      <c r="I20" s="42">
        <f t="shared" si="12"/>
        <v>0</v>
      </c>
      <c r="J20" s="44">
        <v>10</v>
      </c>
      <c r="K20" s="38"/>
      <c r="L20" s="38">
        <f t="shared" si="5"/>
        <v>-9</v>
      </c>
      <c r="N20" s="44">
        <f t="shared" si="2"/>
        <v>0</v>
      </c>
      <c r="O20" s="44">
        <f t="shared" si="2"/>
        <v>0</v>
      </c>
      <c r="P20" s="44">
        <f t="shared" si="2"/>
        <v>0</v>
      </c>
      <c r="Q20" s="44">
        <f t="shared" si="2"/>
        <v>0</v>
      </c>
      <c r="R20" s="44">
        <f t="shared" si="7"/>
        <v>0</v>
      </c>
      <c r="S20" s="45">
        <f t="shared" si="6"/>
        <v>0</v>
      </c>
      <c r="U20" s="47">
        <f t="shared" si="3"/>
        <v>0</v>
      </c>
      <c r="V20"/>
      <c r="W20"/>
      <c r="Y20"/>
      <c r="Z20"/>
    </row>
    <row r="21" ht="17.5" customHeight="1" spans="1:26">
      <c r="A21" s="38" t="s">
        <v>413</v>
      </c>
      <c r="B21" s="39"/>
      <c r="C21" s="40"/>
      <c r="D21" s="40"/>
      <c r="E21" s="41"/>
      <c r="F21" s="42">
        <f t="shared" si="4"/>
        <v>0</v>
      </c>
      <c r="G21" s="41"/>
      <c r="H21" s="44">
        <f t="shared" si="0"/>
        <v>0</v>
      </c>
      <c r="I21" s="42">
        <f t="shared" si="12"/>
        <v>0</v>
      </c>
      <c r="J21" s="44"/>
      <c r="K21" s="38"/>
      <c r="L21" s="38"/>
      <c r="N21" s="44">
        <f t="shared" si="2"/>
        <v>0</v>
      </c>
      <c r="O21" s="44">
        <f t="shared" si="2"/>
        <v>0</v>
      </c>
      <c r="P21" s="44">
        <f t="shared" si="2"/>
        <v>0</v>
      </c>
      <c r="Q21" s="44">
        <f t="shared" si="2"/>
        <v>0</v>
      </c>
      <c r="R21" s="44">
        <f t="shared" si="7"/>
        <v>0</v>
      </c>
      <c r="S21" s="45">
        <f t="shared" si="6"/>
        <v>0</v>
      </c>
      <c r="T21" s="38"/>
      <c r="U21" s="47">
        <f t="shared" si="3"/>
        <v>0</v>
      </c>
      <c r="V21"/>
      <c r="W21"/>
      <c r="Y21"/>
      <c r="Z21"/>
    </row>
    <row r="22" ht="17.5" customHeight="1" spans="1:26">
      <c r="A22" s="38" t="s">
        <v>414</v>
      </c>
      <c r="B22" s="39"/>
      <c r="C22" s="40"/>
      <c r="D22" s="40"/>
      <c r="E22" s="41"/>
      <c r="F22" s="42">
        <f t="shared" si="4"/>
        <v>0</v>
      </c>
      <c r="G22" s="41"/>
      <c r="H22" s="44">
        <f t="shared" si="0"/>
        <v>0</v>
      </c>
      <c r="I22" s="42">
        <f t="shared" si="12"/>
        <v>0</v>
      </c>
      <c r="J22" s="44"/>
      <c r="K22" s="38"/>
      <c r="L22" s="38"/>
      <c r="N22" s="44">
        <f t="shared" si="2"/>
        <v>0</v>
      </c>
      <c r="O22" s="44">
        <f t="shared" si="2"/>
        <v>0</v>
      </c>
      <c r="P22" s="44">
        <f t="shared" si="2"/>
        <v>0</v>
      </c>
      <c r="Q22" s="44">
        <f t="shared" si="2"/>
        <v>0</v>
      </c>
      <c r="R22" s="44">
        <f t="shared" si="7"/>
        <v>0</v>
      </c>
      <c r="S22" s="45">
        <f t="shared" si="6"/>
        <v>0</v>
      </c>
      <c r="T22" s="50"/>
      <c r="U22" s="47">
        <f t="shared" si="3"/>
        <v>0</v>
      </c>
      <c r="V22"/>
      <c r="W22"/>
      <c r="Y22"/>
      <c r="Z22"/>
    </row>
    <row r="23" ht="17.5" customHeight="1" spans="1:26">
      <c r="A23" s="38" t="s">
        <v>415</v>
      </c>
      <c r="B23" s="39"/>
      <c r="C23" s="40"/>
      <c r="D23" s="40"/>
      <c r="E23" s="41"/>
      <c r="F23" s="42">
        <f t="shared" ref="F23" si="16">SUM(B23:E23)</f>
        <v>0</v>
      </c>
      <c r="G23" s="41"/>
      <c r="H23" s="44">
        <f t="shared" si="0"/>
        <v>0</v>
      </c>
      <c r="I23" s="42">
        <f t="shared" ref="I23" si="17">F23-G23-H23</f>
        <v>0</v>
      </c>
      <c r="J23" s="44"/>
      <c r="K23" s="38"/>
      <c r="L23" s="38"/>
      <c r="N23" s="44">
        <f t="shared" si="2"/>
        <v>0</v>
      </c>
      <c r="O23" s="44">
        <f t="shared" si="2"/>
        <v>0</v>
      </c>
      <c r="P23" s="44">
        <f t="shared" si="2"/>
        <v>0</v>
      </c>
      <c r="Q23" s="44">
        <f t="shared" si="2"/>
        <v>0</v>
      </c>
      <c r="R23" s="44">
        <f t="shared" si="7"/>
        <v>0</v>
      </c>
      <c r="S23" s="45">
        <f t="shared" ref="S23" si="18">I23-R23</f>
        <v>0</v>
      </c>
      <c r="U23" s="47">
        <f t="shared" si="3"/>
        <v>0</v>
      </c>
      <c r="V23"/>
      <c r="W23"/>
      <c r="Y23"/>
      <c r="Z23"/>
    </row>
    <row r="24" ht="17.5" customHeight="1" spans="1:26">
      <c r="A24" s="38" t="s">
        <v>416</v>
      </c>
      <c r="B24" s="39"/>
      <c r="C24" s="39"/>
      <c r="D24" s="43"/>
      <c r="E24" s="41"/>
      <c r="F24" s="42">
        <f t="shared" si="4"/>
        <v>0</v>
      </c>
      <c r="G24" s="41"/>
      <c r="H24" s="44">
        <f t="shared" si="0"/>
        <v>0</v>
      </c>
      <c r="I24" s="42">
        <f t="shared" si="12"/>
        <v>0</v>
      </c>
      <c r="J24" s="44"/>
      <c r="K24" s="38"/>
      <c r="L24" s="38"/>
      <c r="N24" s="44">
        <f t="shared" si="2"/>
        <v>0</v>
      </c>
      <c r="O24" s="44">
        <f t="shared" si="2"/>
        <v>0</v>
      </c>
      <c r="P24" s="44">
        <f t="shared" si="2"/>
        <v>0</v>
      </c>
      <c r="Q24" s="44">
        <f t="shared" si="2"/>
        <v>0</v>
      </c>
      <c r="R24" s="44">
        <f t="shared" si="7"/>
        <v>0</v>
      </c>
      <c r="S24" s="45">
        <f t="shared" si="6"/>
        <v>0</v>
      </c>
      <c r="U24" s="47">
        <f t="shared" si="3"/>
        <v>0</v>
      </c>
      <c r="V24"/>
      <c r="W24"/>
      <c r="Y24"/>
      <c r="Z24"/>
    </row>
    <row r="25" s="26" customFormat="1" ht="30.65" customHeight="1" spans="1:26">
      <c r="A25" s="38" t="s">
        <v>417</v>
      </c>
      <c r="B25" s="39"/>
      <c r="C25" s="39"/>
      <c r="D25" s="43"/>
      <c r="E25" s="41"/>
      <c r="F25" s="42">
        <f t="shared" si="4"/>
        <v>0</v>
      </c>
      <c r="G25" s="41"/>
      <c r="H25" s="44">
        <f t="shared" si="0"/>
        <v>0</v>
      </c>
      <c r="I25" s="42">
        <f t="shared" si="12"/>
        <v>0</v>
      </c>
      <c r="J25" s="44"/>
      <c r="K25" s="38"/>
      <c r="L25" s="38"/>
      <c r="M25"/>
      <c r="N25" s="44">
        <f t="shared" si="2"/>
        <v>0</v>
      </c>
      <c r="O25" s="44">
        <f t="shared" si="2"/>
        <v>0</v>
      </c>
      <c r="P25" s="44">
        <f t="shared" si="2"/>
        <v>0</v>
      </c>
      <c r="Q25" s="44">
        <f t="shared" si="2"/>
        <v>0</v>
      </c>
      <c r="R25" s="44">
        <f t="shared" si="7"/>
        <v>0</v>
      </c>
      <c r="S25" s="45">
        <f t="shared" si="6"/>
        <v>0</v>
      </c>
      <c r="U25" s="47">
        <f t="shared" si="3"/>
        <v>0</v>
      </c>
      <c r="V25"/>
      <c r="W25"/>
      <c r="Y25"/>
      <c r="Z25"/>
    </row>
    <row r="26" spans="1:26">
      <c r="A26" s="38" t="s">
        <v>137</v>
      </c>
      <c r="B26" s="44">
        <f>B29-SUM(B3:B25)</f>
        <v>0</v>
      </c>
      <c r="C26" s="44">
        <f>C29-SUM(C3:C25)</f>
        <v>0</v>
      </c>
      <c r="D26" s="41">
        <v>1</v>
      </c>
      <c r="E26" s="41"/>
      <c r="F26" s="42">
        <f t="shared" si="4"/>
        <v>1</v>
      </c>
      <c r="G26" s="41">
        <f>G29-SUM(G3:G25)</f>
        <v>1</v>
      </c>
      <c r="H26" s="44">
        <f>H29-SUM(H3:H25)</f>
        <v>1</v>
      </c>
      <c r="I26" s="42">
        <f t="shared" si="12"/>
        <v>-1</v>
      </c>
      <c r="J26" s="44">
        <v>10</v>
      </c>
      <c r="K26" s="44"/>
      <c r="L26" s="44">
        <f>SUM(G26,H26,K26)-J26</f>
        <v>-8</v>
      </c>
      <c r="N26" s="44">
        <f t="shared" si="2"/>
        <v>0</v>
      </c>
      <c r="O26" s="44">
        <f t="shared" si="2"/>
        <v>0</v>
      </c>
      <c r="P26" s="44">
        <f t="shared" si="2"/>
        <v>0</v>
      </c>
      <c r="Q26" s="44">
        <f t="shared" si="2"/>
        <v>0</v>
      </c>
      <c r="R26" s="44">
        <f t="shared" si="7"/>
        <v>0</v>
      </c>
      <c r="S26" s="45">
        <f t="shared" si="6"/>
        <v>-1</v>
      </c>
      <c r="U26" s="47">
        <f t="shared" si="3"/>
        <v>-0.0123456790123457</v>
      </c>
      <c r="V26"/>
      <c r="W26"/>
      <c r="Y26"/>
      <c r="Z26"/>
    </row>
    <row r="27" spans="1:26">
      <c r="A27" s="51" t="s">
        <v>139</v>
      </c>
      <c r="B27" s="52">
        <f t="shared" ref="B27:L27" si="19">SUM(B3:B26)</f>
        <v>38</v>
      </c>
      <c r="C27" s="52">
        <f t="shared" si="19"/>
        <v>76</v>
      </c>
      <c r="D27" s="53">
        <f t="shared" si="19"/>
        <v>19</v>
      </c>
      <c r="E27" s="53">
        <f t="shared" si="19"/>
        <v>0</v>
      </c>
      <c r="F27" s="52">
        <f t="shared" si="19"/>
        <v>133</v>
      </c>
      <c r="G27" s="54">
        <f t="shared" si="19"/>
        <v>10</v>
      </c>
      <c r="H27" s="54">
        <f t="shared" si="19"/>
        <v>42</v>
      </c>
      <c r="I27" s="54">
        <f t="shared" si="19"/>
        <v>81</v>
      </c>
      <c r="J27" s="54">
        <f t="shared" si="19"/>
        <v>582</v>
      </c>
      <c r="K27" s="54">
        <f t="shared" si="19"/>
        <v>0</v>
      </c>
      <c r="L27" s="54">
        <f t="shared" si="19"/>
        <v>-530</v>
      </c>
      <c r="N27" s="54">
        <f>ROUND(O27/O29,0)</f>
        <v>510</v>
      </c>
      <c r="O27" s="54">
        <f>ROUND(P27/P29,0)</f>
        <v>153</v>
      </c>
      <c r="P27" s="54">
        <f>ROUND(Q27/Q29,0)</f>
        <v>61</v>
      </c>
      <c r="Q27" s="54">
        <f>ROUND(R27/R29,0)</f>
        <v>49</v>
      </c>
      <c r="R27" s="54">
        <f>SUM(R3:R26)</f>
        <v>37</v>
      </c>
      <c r="S27" s="54">
        <f t="shared" si="6"/>
        <v>44</v>
      </c>
      <c r="V27"/>
      <c r="W27"/>
      <c r="Y27"/>
      <c r="Z27"/>
    </row>
    <row r="28" spans="1:26">
      <c r="V28"/>
      <c r="W28"/>
      <c r="Y28"/>
      <c r="Z28"/>
    </row>
    <row r="29" ht="28.5" spans="1:26">
      <c r="B29" s="55">
        <v>38</v>
      </c>
      <c r="C29" s="55">
        <v>76</v>
      </c>
      <c r="D29" s="56">
        <v>19</v>
      </c>
      <c r="E29" s="56"/>
      <c r="G29" s="45">
        <v>10</v>
      </c>
      <c r="H29" s="57">
        <f>'AO Report(0)'!$O$14</f>
        <v>42</v>
      </c>
      <c r="J29" s="58">
        <f>'AO Report(0)'!AE8</f>
        <v>39</v>
      </c>
      <c r="L29" s="59" t="s">
        <v>430</v>
      </c>
      <c r="N29" s="60"/>
      <c r="O29" s="61">
        <v>0.3</v>
      </c>
      <c r="P29" s="61">
        <v>0.4</v>
      </c>
      <c r="Q29" s="61">
        <v>0.8</v>
      </c>
      <c r="R29" s="61">
        <v>0.75</v>
      </c>
      <c r="S29" s="62"/>
      <c r="V29"/>
      <c r="W29"/>
      <c r="Y29"/>
      <c r="Z29"/>
    </row>
    <row r="30" spans="1:26">
      <c r="J30" s="58">
        <f>J29-J27</f>
        <v>-543</v>
      </c>
      <c r="R30" s="58">
        <f>'AO Report(0)'!$X$58</f>
        <v>39</v>
      </c>
      <c r="V30"/>
      <c r="W30"/>
      <c r="Y30"/>
      <c r="Z30"/>
    </row>
    <row r="31" spans="1:26">
      <c r="H31" s="27">
        <v>131</v>
      </c>
      <c r="O31" s="63" t="s">
        <v>431</v>
      </c>
      <c r="P31" s="63"/>
      <c r="Q31" s="63"/>
      <c r="R31" s="63"/>
      <c r="S31" s="63"/>
      <c r="V31"/>
      <c r="W31"/>
      <c r="Y31"/>
      <c r="Z31"/>
    </row>
    <row r="32" spans="1:26">
      <c r="O32" s="63"/>
      <c r="P32" s="63"/>
      <c r="Q32" s="63"/>
      <c r="R32" s="63"/>
      <c r="S32" s="63"/>
      <c r="V32"/>
      <c r="W32"/>
      <c r="Y32"/>
      <c r="Z32"/>
    </row>
    <row r="33" spans="3:26">
      <c r="V33"/>
      <c r="W33"/>
      <c r="Y33"/>
      <c r="Z33"/>
    </row>
    <row r="34" spans="3:26">
      <c r="C34" s="27">
        <f>173+1721</f>
        <v>1894</v>
      </c>
      <c r="R34" s="58"/>
      <c r="V34"/>
      <c r="W34"/>
      <c r="Y34"/>
      <c r="Z34"/>
    </row>
    <row r="35" spans="3:26">
      <c r="R35" s="58"/>
      <c r="V35"/>
      <c r="W35"/>
    </row>
    <row r="36" spans="3:26">
      <c r="V36"/>
      <c r="W36"/>
    </row>
    <row r="37" spans="3:26">
      <c r="V37"/>
      <c r="W37"/>
    </row>
    <row r="38" spans="3:26">
      <c r="R38" s="58"/>
      <c r="V38"/>
      <c r="W38"/>
    </row>
    <row r="39" spans="3:26">
      <c r="V39"/>
      <c r="W39"/>
    </row>
  </sheetData>
  <mergeCells count="2">
    <mergeCell ref="T3:T6"/>
    <mergeCell ref="O31:R32"/>
  </mergeCells>
  <pageMargins left="0.7" right="0.7" top="0.75" bottom="0.75" header="0.3" footer="0.3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N32"/>
  <sheetViews>
    <sheetView topLeftCell="A7" workbookViewId="0">
      <selection activeCell="E33" sqref="E33"/>
    </sheetView>
  </sheetViews>
  <sheetFormatPr defaultColWidth="9" defaultRowHeight="15"/>
  <cols>
    <col min="3" max="3" width="20.1809523809524" customWidth="1"/>
    <col min="4" max="4" width="32.2666666666667" customWidth="1"/>
    <col min="8" max="8" width="22.4571428571429" customWidth="1"/>
    <col min="10" max="10" width="27.4571428571429" customWidth="1"/>
  </cols>
  <sheetData>
    <row r="5" spans="3:14">
      <c r="C5" t="s">
        <v>130</v>
      </c>
      <c r="D5" t="s">
        <v>432</v>
      </c>
      <c r="E5" t="s">
        <v>433</v>
      </c>
      <c r="F5" t="s">
        <v>434</v>
      </c>
      <c r="G5" t="s">
        <v>435</v>
      </c>
      <c r="H5" t="s">
        <v>115</v>
      </c>
      <c r="J5" t="s">
        <v>436</v>
      </c>
      <c r="L5" t="s">
        <v>437</v>
      </c>
      <c r="N5" t="s">
        <v>276</v>
      </c>
    </row>
    <row r="6" spans="3:14">
      <c r="C6" t="s">
        <v>438</v>
      </c>
      <c r="D6" t="s">
        <v>439</v>
      </c>
      <c r="E6" t="s">
        <v>440</v>
      </c>
      <c r="F6" t="s">
        <v>441</v>
      </c>
      <c r="G6" t="s">
        <v>442</v>
      </c>
      <c r="H6" t="s">
        <v>443</v>
      </c>
      <c r="J6" t="s">
        <v>444</v>
      </c>
      <c r="L6" t="s">
        <v>445</v>
      </c>
      <c r="N6" t="s">
        <v>446</v>
      </c>
    </row>
    <row r="7" spans="3:14">
      <c r="C7" t="s">
        <v>120</v>
      </c>
      <c r="D7" t="s">
        <v>447</v>
      </c>
      <c r="E7" t="s">
        <v>448</v>
      </c>
      <c r="F7" t="s">
        <v>434</v>
      </c>
      <c r="G7" t="s">
        <v>449</v>
      </c>
      <c r="H7" t="s">
        <v>450</v>
      </c>
      <c r="J7" t="s">
        <v>16</v>
      </c>
      <c r="L7" t="s">
        <v>451</v>
      </c>
      <c r="N7" t="s">
        <v>452</v>
      </c>
    </row>
    <row r="8" spans="3:14">
      <c r="C8" t="s">
        <v>122</v>
      </c>
      <c r="D8" t="s">
        <v>453</v>
      </c>
      <c r="E8" t="s">
        <v>454</v>
      </c>
      <c r="F8" t="s">
        <v>434</v>
      </c>
      <c r="G8" t="s">
        <v>455</v>
      </c>
      <c r="H8" t="s">
        <v>456</v>
      </c>
      <c r="N8" t="s">
        <v>457</v>
      </c>
    </row>
    <row r="9" spans="3:14">
      <c r="C9" t="s">
        <v>134</v>
      </c>
      <c r="D9" t="s">
        <v>458</v>
      </c>
      <c r="E9" t="s">
        <v>459</v>
      </c>
      <c r="F9" t="s">
        <v>434</v>
      </c>
      <c r="G9" t="s">
        <v>435</v>
      </c>
      <c r="H9" t="s">
        <v>460</v>
      </c>
      <c r="L9" t="s">
        <v>461</v>
      </c>
      <c r="N9" t="s">
        <v>462</v>
      </c>
    </row>
    <row r="10" spans="3:14">
      <c r="C10" t="s">
        <v>136</v>
      </c>
      <c r="D10" t="s">
        <v>463</v>
      </c>
      <c r="E10" t="s">
        <v>464</v>
      </c>
      <c r="F10" t="s">
        <v>434</v>
      </c>
      <c r="G10" t="s">
        <v>465</v>
      </c>
      <c r="L10" t="s">
        <v>466</v>
      </c>
      <c r="N10" t="s">
        <v>258</v>
      </c>
    </row>
    <row r="11" spans="3:14">
      <c r="C11" t="s">
        <v>128</v>
      </c>
      <c r="D11" t="s">
        <v>467</v>
      </c>
      <c r="E11" t="s">
        <v>468</v>
      </c>
      <c r="F11" t="s">
        <v>434</v>
      </c>
      <c r="G11" t="s">
        <v>455</v>
      </c>
      <c r="N11" t="s">
        <v>280</v>
      </c>
    </row>
    <row r="12" spans="3:14">
      <c r="C12" t="s">
        <v>124</v>
      </c>
      <c r="D12" t="s">
        <v>469</v>
      </c>
      <c r="E12" t="s">
        <v>470</v>
      </c>
      <c r="F12" t="s">
        <v>434</v>
      </c>
      <c r="G12" t="s">
        <v>435</v>
      </c>
      <c r="L12" t="s">
        <v>471</v>
      </c>
    </row>
    <row r="13" spans="3:14">
      <c r="C13" t="s">
        <v>126</v>
      </c>
      <c r="D13" t="s">
        <v>472</v>
      </c>
      <c r="E13" t="s">
        <v>473</v>
      </c>
      <c r="F13" t="s">
        <v>434</v>
      </c>
      <c r="G13" t="s">
        <v>435</v>
      </c>
      <c r="L13" t="s">
        <v>474</v>
      </c>
    </row>
    <row r="14" spans="3:14">
      <c r="C14" t="s">
        <v>140</v>
      </c>
      <c r="D14" t="s">
        <v>475</v>
      </c>
      <c r="E14" t="s">
        <v>476</v>
      </c>
      <c r="F14" t="s">
        <v>434</v>
      </c>
      <c r="G14" t="s">
        <v>449</v>
      </c>
      <c r="L14" t="s">
        <v>477</v>
      </c>
    </row>
    <row r="15" spans="3:14">
      <c r="C15" t="s">
        <v>138</v>
      </c>
      <c r="D15" t="s">
        <v>478</v>
      </c>
      <c r="E15" t="s">
        <v>479</v>
      </c>
      <c r="F15" t="s">
        <v>434</v>
      </c>
      <c r="G15" t="s">
        <v>465</v>
      </c>
    </row>
    <row r="16" spans="3:14">
      <c r="D16" t="s">
        <v>480</v>
      </c>
      <c r="E16" t="s">
        <v>481</v>
      </c>
      <c r="F16" t="s">
        <v>434</v>
      </c>
      <c r="G16" t="s">
        <v>455</v>
      </c>
      <c r="L16" t="s">
        <v>482</v>
      </c>
    </row>
    <row r="17" spans="4:12">
      <c r="D17" t="s">
        <v>483</v>
      </c>
      <c r="E17" t="s">
        <v>484</v>
      </c>
      <c r="F17" t="s">
        <v>434</v>
      </c>
      <c r="G17" t="s">
        <v>449</v>
      </c>
      <c r="L17" t="s">
        <v>485</v>
      </c>
    </row>
    <row r="18" spans="4:12">
      <c r="D18" t="s">
        <v>486</v>
      </c>
      <c r="E18" t="s">
        <v>487</v>
      </c>
      <c r="F18" t="s">
        <v>434</v>
      </c>
      <c r="G18" t="s">
        <v>449</v>
      </c>
      <c r="L18" t="s">
        <v>488</v>
      </c>
    </row>
    <row r="19" spans="4:12">
      <c r="D19" t="s">
        <v>489</v>
      </c>
      <c r="E19" t="s">
        <v>490</v>
      </c>
      <c r="F19" t="s">
        <v>434</v>
      </c>
      <c r="G19" t="s">
        <v>455</v>
      </c>
      <c r="L19" t="s">
        <v>491</v>
      </c>
    </row>
    <row r="20" spans="4:12">
      <c r="D20" t="s">
        <v>492</v>
      </c>
      <c r="E20" t="s">
        <v>493</v>
      </c>
      <c r="F20" t="s">
        <v>434</v>
      </c>
      <c r="G20" t="s">
        <v>435</v>
      </c>
      <c r="L20" t="s">
        <v>494</v>
      </c>
    </row>
    <row r="21" spans="4:12">
      <c r="D21" t="s">
        <v>495</v>
      </c>
      <c r="E21" t="s">
        <v>496</v>
      </c>
      <c r="F21" t="s">
        <v>434</v>
      </c>
      <c r="G21" t="s">
        <v>455</v>
      </c>
    </row>
    <row r="22" spans="4:12">
      <c r="D22" t="s">
        <v>497</v>
      </c>
      <c r="E22" t="s">
        <v>498</v>
      </c>
      <c r="F22" t="s">
        <v>434</v>
      </c>
      <c r="G22" t="s">
        <v>455</v>
      </c>
    </row>
    <row r="23" spans="4:12">
      <c r="D23" t="s">
        <v>499</v>
      </c>
      <c r="E23" t="s">
        <v>500</v>
      </c>
      <c r="F23" t="s">
        <v>434</v>
      </c>
      <c r="G23" t="s">
        <v>455</v>
      </c>
    </row>
    <row r="24" spans="4:12">
      <c r="D24" t="s">
        <v>501</v>
      </c>
      <c r="E24" t="s">
        <v>502</v>
      </c>
      <c r="F24" t="s">
        <v>434</v>
      </c>
      <c r="G24" t="s">
        <v>449</v>
      </c>
    </row>
    <row r="25" spans="4:12">
      <c r="D25" t="s">
        <v>503</v>
      </c>
      <c r="E25" t="s">
        <v>504</v>
      </c>
      <c r="F25" t="s">
        <v>434</v>
      </c>
      <c r="G25" t="s">
        <v>435</v>
      </c>
    </row>
    <row r="26" spans="4:12">
      <c r="D26" t="s">
        <v>505</v>
      </c>
      <c r="E26" t="s">
        <v>506</v>
      </c>
      <c r="F26" t="s">
        <v>434</v>
      </c>
      <c r="G26" t="s">
        <v>435</v>
      </c>
    </row>
    <row r="27" spans="4:12">
      <c r="D27" s="19" t="s">
        <v>507</v>
      </c>
      <c r="E27" t="s">
        <v>440</v>
      </c>
      <c r="F27" t="s">
        <v>441</v>
      </c>
      <c r="G27" t="s">
        <v>442</v>
      </c>
    </row>
    <row r="28" spans="4:12">
      <c r="D28" s="19" t="s">
        <v>508</v>
      </c>
      <c r="E28" t="s">
        <v>476</v>
      </c>
      <c r="F28" t="s">
        <v>434</v>
      </c>
      <c r="G28" t="s">
        <v>449</v>
      </c>
    </row>
    <row r="29" spans="4:12">
      <c r="D29" s="19" t="s">
        <v>509</v>
      </c>
      <c r="E29" t="s">
        <v>479</v>
      </c>
      <c r="F29" t="s">
        <v>434</v>
      </c>
      <c r="G29" t="s">
        <v>465</v>
      </c>
    </row>
    <row r="30" spans="4:12">
      <c r="D30" s="19" t="s">
        <v>510</v>
      </c>
      <c r="E30" t="s">
        <v>498</v>
      </c>
      <c r="F30" t="s">
        <v>434</v>
      </c>
      <c r="G30" t="s">
        <v>455</v>
      </c>
    </row>
    <row r="31" spans="4:12">
      <c r="D31" s="19" t="s">
        <v>511</v>
      </c>
      <c r="E31" t="s">
        <v>502</v>
      </c>
      <c r="F31" t="s">
        <v>434</v>
      </c>
      <c r="G31" t="s">
        <v>449</v>
      </c>
    </row>
    <row r="32" spans="4:12">
      <c r="D32" s="19" t="s">
        <v>252</v>
      </c>
      <c r="E32" s="632" t="s">
        <v>512</v>
      </c>
      <c r="F32" t="s">
        <v>434</v>
      </c>
      <c r="G32" t="s">
        <v>465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70"/>
  <sheetViews>
    <sheetView topLeftCell="A2653" workbookViewId="0">
      <selection activeCell="E2662" sqref="E2662"/>
    </sheetView>
  </sheetViews>
  <sheetFormatPr defaultColWidth="9" defaultRowHeight="15" outlineLevelCol="4"/>
  <cols>
    <col min="1" max="1" width="22.5428571428571" customWidth="1"/>
    <col min="2" max="2" width="20.7238095238095" customWidth="1"/>
    <col min="3" max="3" width="11.8190476190476" customWidth="1"/>
    <col min="4" max="4" width="29.2666666666667" customWidth="1"/>
    <col min="5" max="5" width="11.8190476190476" customWidth="1"/>
  </cols>
  <sheetData>
    <row r="1" spans="1:5">
      <c r="A1" s="1" t="s">
        <v>513</v>
      </c>
      <c r="B1" s="1" t="s">
        <v>514</v>
      </c>
      <c r="C1" s="1" t="s">
        <v>515</v>
      </c>
      <c r="D1" s="1" t="s">
        <v>516</v>
      </c>
      <c r="E1" s="1" t="s">
        <v>517</v>
      </c>
    </row>
    <row r="2" spans="1:5">
      <c r="A2" s="2" t="s">
        <v>518</v>
      </c>
      <c r="B2" t="s">
        <v>519</v>
      </c>
      <c r="C2" t="s">
        <v>330</v>
      </c>
      <c r="D2" t="s">
        <v>395</v>
      </c>
      <c r="E2" t="s">
        <v>520</v>
      </c>
    </row>
    <row r="3" spans="1:5">
      <c r="A3" s="2" t="s">
        <v>521</v>
      </c>
      <c r="B3" t="s">
        <v>347</v>
      </c>
      <c r="C3" t="s">
        <v>254</v>
      </c>
      <c r="D3" t="s">
        <v>395</v>
      </c>
      <c r="E3" t="s">
        <v>522</v>
      </c>
    </row>
    <row r="4" spans="1:5">
      <c r="A4" s="2" t="str">
        <f>B4&amp;C4</f>
        <v>A250RA-GBVVJ10</v>
      </c>
      <c r="B4" t="s">
        <v>347</v>
      </c>
      <c r="C4">
        <v>10</v>
      </c>
      <c r="D4" t="s">
        <v>395</v>
      </c>
      <c r="E4" t="s">
        <v>522</v>
      </c>
    </row>
    <row r="5" spans="1:5">
      <c r="A5" s="2" t="s">
        <v>523</v>
      </c>
      <c r="B5" t="s">
        <v>347</v>
      </c>
      <c r="C5" t="s">
        <v>330</v>
      </c>
      <c r="D5" t="s">
        <v>395</v>
      </c>
      <c r="E5" t="s">
        <v>520</v>
      </c>
    </row>
    <row r="6" spans="1:5">
      <c r="A6" s="2" t="str">
        <f>B6&amp;C6</f>
        <v>A250RA-GBVVJ33</v>
      </c>
      <c r="B6" t="s">
        <v>347</v>
      </c>
      <c r="C6">
        <v>33</v>
      </c>
      <c r="D6" t="s">
        <v>395</v>
      </c>
      <c r="E6" t="s">
        <v>520</v>
      </c>
    </row>
    <row r="7" spans="1:5">
      <c r="A7" s="2" t="s">
        <v>524</v>
      </c>
      <c r="B7" t="s">
        <v>347</v>
      </c>
      <c r="C7" t="s">
        <v>298</v>
      </c>
      <c r="D7" t="s">
        <v>395</v>
      </c>
      <c r="E7" t="s">
        <v>525</v>
      </c>
    </row>
    <row r="8" spans="1:5">
      <c r="A8" s="2" t="s">
        <v>526</v>
      </c>
      <c r="B8" t="s">
        <v>347</v>
      </c>
      <c r="C8" t="s">
        <v>527</v>
      </c>
      <c r="D8" t="s">
        <v>395</v>
      </c>
      <c r="E8" t="s">
        <v>528</v>
      </c>
    </row>
    <row r="9" spans="1:5">
      <c r="A9" s="2" t="s">
        <v>529</v>
      </c>
      <c r="B9" t="s">
        <v>347</v>
      </c>
      <c r="C9" t="s">
        <v>530</v>
      </c>
      <c r="D9" t="s">
        <v>395</v>
      </c>
      <c r="E9" t="s">
        <v>522</v>
      </c>
    </row>
    <row r="10" spans="1:5">
      <c r="A10" s="2" t="s">
        <v>531</v>
      </c>
      <c r="B10" t="s">
        <v>347</v>
      </c>
      <c r="C10" t="s">
        <v>532</v>
      </c>
      <c r="D10" t="s">
        <v>395</v>
      </c>
      <c r="E10" t="s">
        <v>520</v>
      </c>
    </row>
    <row r="11" spans="1:5">
      <c r="A11" s="2" t="s">
        <v>533</v>
      </c>
      <c r="B11" t="s">
        <v>347</v>
      </c>
      <c r="C11" t="s">
        <v>534</v>
      </c>
      <c r="D11" t="s">
        <v>395</v>
      </c>
      <c r="E11" t="s">
        <v>525</v>
      </c>
    </row>
    <row r="12" spans="1:5">
      <c r="A12" s="2" t="s">
        <v>535</v>
      </c>
      <c r="B12" t="s">
        <v>347</v>
      </c>
      <c r="C12" t="s">
        <v>536</v>
      </c>
      <c r="D12" t="s">
        <v>395</v>
      </c>
      <c r="E12" t="s">
        <v>528</v>
      </c>
    </row>
    <row r="13" spans="1:5">
      <c r="A13" s="2" t="s">
        <v>537</v>
      </c>
      <c r="B13" t="s">
        <v>347</v>
      </c>
      <c r="C13" t="s">
        <v>538</v>
      </c>
      <c r="D13" t="s">
        <v>395</v>
      </c>
      <c r="E13" t="s">
        <v>539</v>
      </c>
    </row>
    <row r="14" spans="1:5">
      <c r="A14" s="2" t="s">
        <v>540</v>
      </c>
      <c r="B14" t="s">
        <v>347</v>
      </c>
      <c r="C14" t="s">
        <v>541</v>
      </c>
      <c r="D14" t="s">
        <v>395</v>
      </c>
      <c r="E14" t="s">
        <v>542</v>
      </c>
    </row>
    <row r="15" spans="1:5">
      <c r="A15" s="2" t="s">
        <v>543</v>
      </c>
      <c r="B15" t="s">
        <v>347</v>
      </c>
      <c r="C15" t="s">
        <v>544</v>
      </c>
      <c r="D15" t="s">
        <v>395</v>
      </c>
      <c r="E15" t="s">
        <v>542</v>
      </c>
    </row>
    <row r="16" spans="1:5">
      <c r="A16" s="2" t="s">
        <v>545</v>
      </c>
      <c r="B16" t="s">
        <v>347</v>
      </c>
      <c r="C16" t="s">
        <v>546</v>
      </c>
      <c r="D16" t="s">
        <v>395</v>
      </c>
      <c r="E16" t="s">
        <v>539</v>
      </c>
    </row>
    <row r="17" spans="1:5">
      <c r="A17" s="2" t="s">
        <v>547</v>
      </c>
      <c r="B17" t="s">
        <v>347</v>
      </c>
      <c r="C17" t="s">
        <v>548</v>
      </c>
      <c r="D17" t="s">
        <v>395</v>
      </c>
      <c r="E17" t="s">
        <v>539</v>
      </c>
    </row>
    <row r="18" spans="1:5">
      <c r="A18" s="2" t="s">
        <v>549</v>
      </c>
      <c r="B18" t="s">
        <v>347</v>
      </c>
      <c r="C18" t="s">
        <v>550</v>
      </c>
      <c r="D18" t="s">
        <v>395</v>
      </c>
      <c r="E18" t="s">
        <v>542</v>
      </c>
    </row>
    <row r="19" spans="1:5">
      <c r="A19" s="2" t="s">
        <v>551</v>
      </c>
      <c r="B19" t="s">
        <v>347</v>
      </c>
      <c r="C19" t="s">
        <v>552</v>
      </c>
      <c r="D19" t="s">
        <v>395</v>
      </c>
      <c r="E19" t="s">
        <v>539</v>
      </c>
    </row>
    <row r="20" spans="1:5">
      <c r="A20" s="2" t="s">
        <v>553</v>
      </c>
      <c r="B20" t="s">
        <v>347</v>
      </c>
      <c r="C20" t="s">
        <v>554</v>
      </c>
      <c r="D20" t="s">
        <v>395</v>
      </c>
      <c r="E20" t="s">
        <v>542</v>
      </c>
    </row>
    <row r="21" spans="1:5">
      <c r="A21" s="2" t="s">
        <v>555</v>
      </c>
      <c r="B21" t="s">
        <v>347</v>
      </c>
      <c r="C21" s="632" t="s">
        <v>556</v>
      </c>
      <c r="D21" t="s">
        <v>395</v>
      </c>
      <c r="E21" t="s">
        <v>522</v>
      </c>
    </row>
    <row r="22" spans="1:5">
      <c r="A22" s="2" t="s">
        <v>557</v>
      </c>
      <c r="B22" s="3" t="s">
        <v>347</v>
      </c>
      <c r="C22" s="3" t="s">
        <v>558</v>
      </c>
      <c r="D22" s="3" t="s">
        <v>395</v>
      </c>
      <c r="E22" s="3" t="s">
        <v>539</v>
      </c>
    </row>
    <row r="23" spans="1:5">
      <c r="A23" s="2" t="s">
        <v>559</v>
      </c>
      <c r="B23" s="3" t="s">
        <v>347</v>
      </c>
      <c r="C23" s="3" t="s">
        <v>560</v>
      </c>
      <c r="D23" s="3" t="s">
        <v>395</v>
      </c>
      <c r="E23" s="3" t="s">
        <v>539</v>
      </c>
    </row>
    <row r="24" spans="1:5">
      <c r="A24" s="2" t="s">
        <v>561</v>
      </c>
      <c r="B24" s="3" t="s">
        <v>347</v>
      </c>
      <c r="C24" s="3" t="s">
        <v>562</v>
      </c>
      <c r="D24" s="3" t="s">
        <v>395</v>
      </c>
      <c r="E24" s="3" t="s">
        <v>539</v>
      </c>
    </row>
    <row r="25" spans="1:5">
      <c r="A25" s="2" t="s">
        <v>563</v>
      </c>
      <c r="B25" s="3" t="s">
        <v>347</v>
      </c>
      <c r="C25" s="3" t="s">
        <v>564</v>
      </c>
      <c r="D25" s="3" t="s">
        <v>395</v>
      </c>
      <c r="E25" s="3" t="s">
        <v>539</v>
      </c>
    </row>
    <row r="26" spans="1:5">
      <c r="A26" s="2" t="s">
        <v>565</v>
      </c>
      <c r="B26" s="3" t="s">
        <v>347</v>
      </c>
      <c r="C26" s="3" t="s">
        <v>566</v>
      </c>
      <c r="D26" s="3" t="s">
        <v>395</v>
      </c>
      <c r="E26" s="3" t="s">
        <v>539</v>
      </c>
    </row>
    <row r="27" spans="1:5">
      <c r="A27" s="2" t="s">
        <v>567</v>
      </c>
      <c r="B27" s="3" t="s">
        <v>347</v>
      </c>
      <c r="C27" s="3" t="s">
        <v>568</v>
      </c>
      <c r="D27" s="3" t="s">
        <v>395</v>
      </c>
      <c r="E27" s="3" t="s">
        <v>539</v>
      </c>
    </row>
    <row r="28" spans="1:5">
      <c r="A28" s="2" t="s">
        <v>569</v>
      </c>
      <c r="B28" s="3" t="s">
        <v>347</v>
      </c>
      <c r="C28" s="3" t="s">
        <v>570</v>
      </c>
      <c r="D28" s="3" t="s">
        <v>395</v>
      </c>
      <c r="E28" s="3" t="s">
        <v>539</v>
      </c>
    </row>
    <row r="29" spans="1:5">
      <c r="A29" s="2" t="s">
        <v>571</v>
      </c>
      <c r="B29" s="3" t="s">
        <v>347</v>
      </c>
      <c r="C29" s="3" t="s">
        <v>42</v>
      </c>
      <c r="D29" s="3" t="s">
        <v>395</v>
      </c>
      <c r="E29" s="3" t="s">
        <v>539</v>
      </c>
    </row>
    <row r="30" spans="1:5">
      <c r="A30" s="2" t="s">
        <v>572</v>
      </c>
      <c r="B30" s="3" t="s">
        <v>347</v>
      </c>
      <c r="C30" s="3" t="s">
        <v>573</v>
      </c>
      <c r="D30" s="3" t="s">
        <v>395</v>
      </c>
      <c r="E30" s="3" t="s">
        <v>542</v>
      </c>
    </row>
    <row r="31" spans="1:5">
      <c r="A31" s="2" t="s">
        <v>574</v>
      </c>
      <c r="B31" s="3" t="s">
        <v>347</v>
      </c>
      <c r="C31" s="3" t="s">
        <v>575</v>
      </c>
      <c r="D31" s="3" t="s">
        <v>395</v>
      </c>
      <c r="E31" s="3" t="s">
        <v>542</v>
      </c>
    </row>
    <row r="32" spans="1:5">
      <c r="A32" s="2" t="s">
        <v>576</v>
      </c>
      <c r="B32" s="3" t="s">
        <v>347</v>
      </c>
      <c r="C32" s="3" t="s">
        <v>577</v>
      </c>
      <c r="D32" s="3" t="s">
        <v>395</v>
      </c>
      <c r="E32" s="3" t="s">
        <v>542</v>
      </c>
    </row>
    <row r="33" spans="1:5">
      <c r="A33" s="2" t="s">
        <v>578</v>
      </c>
      <c r="B33" s="3" t="s">
        <v>347</v>
      </c>
      <c r="C33" s="3" t="s">
        <v>579</v>
      </c>
      <c r="D33" s="3" t="s">
        <v>395</v>
      </c>
      <c r="E33" s="3" t="s">
        <v>542</v>
      </c>
    </row>
    <row r="34" spans="1:5">
      <c r="A34" s="2" t="s">
        <v>580</v>
      </c>
      <c r="B34" s="3" t="s">
        <v>347</v>
      </c>
      <c r="C34" s="3" t="s">
        <v>581</v>
      </c>
      <c r="D34" s="3" t="s">
        <v>395</v>
      </c>
      <c r="E34" s="3" t="s">
        <v>542</v>
      </c>
    </row>
    <row r="35" spans="1:5">
      <c r="A35" s="2" t="s">
        <v>582</v>
      </c>
      <c r="B35" s="3" t="s">
        <v>347</v>
      </c>
      <c r="C35" s="3" t="s">
        <v>583</v>
      </c>
      <c r="D35" s="3" t="s">
        <v>395</v>
      </c>
      <c r="E35" s="3" t="s">
        <v>542</v>
      </c>
    </row>
    <row r="36" spans="1:5">
      <c r="A36" s="2" t="s">
        <v>584</v>
      </c>
      <c r="B36" s="3" t="s">
        <v>347</v>
      </c>
      <c r="C36" s="3" t="s">
        <v>585</v>
      </c>
      <c r="D36" s="3" t="s">
        <v>395</v>
      </c>
      <c r="E36" s="3" t="s">
        <v>542</v>
      </c>
    </row>
    <row r="37" spans="1:5">
      <c r="A37" s="2" t="s">
        <v>586</v>
      </c>
      <c r="B37" s="3" t="s">
        <v>347</v>
      </c>
      <c r="C37" s="3" t="s">
        <v>587</v>
      </c>
      <c r="D37" s="3" t="s">
        <v>395</v>
      </c>
      <c r="E37" s="3" t="s">
        <v>542</v>
      </c>
    </row>
    <row r="38" spans="1:5">
      <c r="A38" s="2" t="s">
        <v>588</v>
      </c>
      <c r="B38" s="3" t="s">
        <v>347</v>
      </c>
      <c r="C38" s="3" t="s">
        <v>326</v>
      </c>
      <c r="D38" s="3" t="s">
        <v>395</v>
      </c>
      <c r="E38" s="3" t="s">
        <v>520</v>
      </c>
    </row>
    <row r="39" spans="1:5">
      <c r="A39" s="2" t="s">
        <v>589</v>
      </c>
      <c r="B39" s="3" t="s">
        <v>347</v>
      </c>
      <c r="C39" s="3" t="s">
        <v>590</v>
      </c>
      <c r="D39" s="3" t="s">
        <v>395</v>
      </c>
      <c r="E39" s="3" t="s">
        <v>525</v>
      </c>
    </row>
    <row r="40" spans="1:5">
      <c r="A40" s="2" t="s">
        <v>591</v>
      </c>
      <c r="B40" s="3" t="s">
        <v>347</v>
      </c>
      <c r="C40" s="3" t="s">
        <v>592</v>
      </c>
      <c r="D40" s="3" t="s">
        <v>395</v>
      </c>
      <c r="E40" s="3" t="s">
        <v>528</v>
      </c>
    </row>
    <row r="41" spans="1:5">
      <c r="A41" s="2" t="s">
        <v>593</v>
      </c>
      <c r="B41" s="3" t="s">
        <v>347</v>
      </c>
      <c r="C41" s="3" t="s">
        <v>594</v>
      </c>
      <c r="D41" s="3" t="s">
        <v>395</v>
      </c>
      <c r="E41" s="3" t="s">
        <v>539</v>
      </c>
    </row>
    <row r="42" spans="1:5">
      <c r="A42" s="2" t="s">
        <v>595</v>
      </c>
      <c r="B42" s="3" t="s">
        <v>347</v>
      </c>
      <c r="C42" s="3" t="s">
        <v>596</v>
      </c>
      <c r="D42" s="3" t="s">
        <v>395</v>
      </c>
      <c r="E42" s="3" t="s">
        <v>539</v>
      </c>
    </row>
    <row r="43" spans="1:5">
      <c r="A43" s="2" t="s">
        <v>597</v>
      </c>
      <c r="B43" s="3" t="s">
        <v>347</v>
      </c>
      <c r="C43" s="3" t="s">
        <v>598</v>
      </c>
      <c r="D43" s="3" t="s">
        <v>395</v>
      </c>
      <c r="E43" s="3" t="s">
        <v>539</v>
      </c>
    </row>
    <row r="44" spans="1:5">
      <c r="A44" s="2" t="s">
        <v>599</v>
      </c>
      <c r="B44" s="3" t="s">
        <v>347</v>
      </c>
      <c r="C44" s="3" t="s">
        <v>600</v>
      </c>
      <c r="D44" s="3" t="s">
        <v>395</v>
      </c>
      <c r="E44" s="3" t="s">
        <v>539</v>
      </c>
    </row>
    <row r="45" spans="1:5">
      <c r="A45" s="2" t="s">
        <v>601</v>
      </c>
      <c r="B45" s="3" t="s">
        <v>347</v>
      </c>
      <c r="C45" s="3" t="s">
        <v>602</v>
      </c>
      <c r="D45" s="3" t="s">
        <v>395</v>
      </c>
      <c r="E45" s="3" t="s">
        <v>539</v>
      </c>
    </row>
    <row r="46" spans="1:5">
      <c r="A46" s="2" t="s">
        <v>603</v>
      </c>
      <c r="B46" s="3" t="s">
        <v>347</v>
      </c>
      <c r="C46" s="3" t="s">
        <v>604</v>
      </c>
      <c r="D46" s="3" t="s">
        <v>395</v>
      </c>
      <c r="E46" s="3" t="s">
        <v>542</v>
      </c>
    </row>
    <row r="47" spans="1:5">
      <c r="A47" s="2" t="s">
        <v>605</v>
      </c>
      <c r="B47" s="3" t="s">
        <v>347</v>
      </c>
      <c r="C47" s="3" t="s">
        <v>606</v>
      </c>
      <c r="D47" s="3" t="s">
        <v>395</v>
      </c>
      <c r="E47" s="3" t="s">
        <v>542</v>
      </c>
    </row>
    <row r="48" spans="1:5">
      <c r="A48" s="2" t="s">
        <v>607</v>
      </c>
      <c r="B48" s="3" t="s">
        <v>347</v>
      </c>
      <c r="C48" s="3" t="s">
        <v>608</v>
      </c>
      <c r="D48" s="3" t="s">
        <v>395</v>
      </c>
      <c r="E48" s="3" t="s">
        <v>542</v>
      </c>
    </row>
    <row r="49" spans="1:5">
      <c r="A49" s="2" t="s">
        <v>609</v>
      </c>
      <c r="B49" s="3" t="s">
        <v>347</v>
      </c>
      <c r="C49" s="3" t="s">
        <v>610</v>
      </c>
      <c r="D49" s="3" t="s">
        <v>395</v>
      </c>
      <c r="E49" s="3" t="s">
        <v>542</v>
      </c>
    </row>
    <row r="50" spans="1:5">
      <c r="A50" s="2" t="s">
        <v>611</v>
      </c>
      <c r="B50" s="3" t="s">
        <v>347</v>
      </c>
      <c r="C50" s="3" t="s">
        <v>612</v>
      </c>
      <c r="D50" s="3" t="s">
        <v>395</v>
      </c>
      <c r="E50" s="3" t="s">
        <v>542</v>
      </c>
    </row>
    <row r="51" spans="1:5">
      <c r="A51" s="2" t="s">
        <v>613</v>
      </c>
      <c r="B51" s="3" t="s">
        <v>347</v>
      </c>
      <c r="C51" s="3" t="s">
        <v>614</v>
      </c>
      <c r="D51" s="3" t="s">
        <v>395</v>
      </c>
      <c r="E51" s="3" t="s">
        <v>539</v>
      </c>
    </row>
    <row r="52" spans="1:5">
      <c r="A52" s="2" t="s">
        <v>615</v>
      </c>
      <c r="B52" s="3" t="s">
        <v>347</v>
      </c>
      <c r="C52" s="3" t="s">
        <v>616</v>
      </c>
      <c r="D52" s="3" t="s">
        <v>395</v>
      </c>
      <c r="E52" s="3" t="s">
        <v>539</v>
      </c>
    </row>
    <row r="53" spans="1:5">
      <c r="A53" s="2" t="s">
        <v>617</v>
      </c>
      <c r="B53" s="3" t="s">
        <v>347</v>
      </c>
      <c r="C53" s="3" t="s">
        <v>618</v>
      </c>
      <c r="D53" s="3" t="s">
        <v>395</v>
      </c>
      <c r="E53" s="3" t="s">
        <v>539</v>
      </c>
    </row>
    <row r="54" spans="1:5">
      <c r="A54" s="2" t="s">
        <v>619</v>
      </c>
      <c r="B54" s="3" t="s">
        <v>347</v>
      </c>
      <c r="C54" s="3" t="s">
        <v>620</v>
      </c>
      <c r="D54" s="3" t="s">
        <v>395</v>
      </c>
      <c r="E54" s="3" t="s">
        <v>539</v>
      </c>
    </row>
    <row r="55" spans="1:5">
      <c r="A55" s="2" t="s">
        <v>621</v>
      </c>
      <c r="B55" s="3" t="s">
        <v>347</v>
      </c>
      <c r="C55" s="3" t="s">
        <v>622</v>
      </c>
      <c r="D55" s="3" t="s">
        <v>395</v>
      </c>
      <c r="E55" s="3" t="s">
        <v>542</v>
      </c>
    </row>
    <row r="56" spans="1:5">
      <c r="A56" s="2" t="s">
        <v>623</v>
      </c>
      <c r="B56" s="3" t="s">
        <v>347</v>
      </c>
      <c r="C56" s="3" t="s">
        <v>624</v>
      </c>
      <c r="D56" s="3" t="s">
        <v>395</v>
      </c>
      <c r="E56" s="3" t="s">
        <v>542</v>
      </c>
    </row>
    <row r="57" spans="1:5">
      <c r="A57" s="2" t="s">
        <v>625</v>
      </c>
      <c r="B57" s="3" t="s">
        <v>347</v>
      </c>
      <c r="C57" s="3" t="s">
        <v>626</v>
      </c>
      <c r="D57" s="3" t="s">
        <v>395</v>
      </c>
      <c r="E57" s="3" t="s">
        <v>542</v>
      </c>
    </row>
    <row r="58" spans="1:5">
      <c r="A58" s="2" t="s">
        <v>627</v>
      </c>
      <c r="B58" s="3" t="s">
        <v>347</v>
      </c>
      <c r="C58" s="3" t="s">
        <v>628</v>
      </c>
      <c r="D58" s="3" t="s">
        <v>395</v>
      </c>
      <c r="E58" s="3" t="s">
        <v>542</v>
      </c>
    </row>
    <row r="59" spans="1:5">
      <c r="A59" s="2" t="s">
        <v>629</v>
      </c>
      <c r="B59" s="4" t="s">
        <v>347</v>
      </c>
      <c r="C59" s="4" t="s">
        <v>630</v>
      </c>
      <c r="D59" s="4" t="s">
        <v>395</v>
      </c>
      <c r="E59" s="4" t="s">
        <v>539</v>
      </c>
    </row>
    <row r="60" spans="1:5">
      <c r="A60" s="2" t="s">
        <v>631</v>
      </c>
      <c r="B60" s="4" t="s">
        <v>347</v>
      </c>
      <c r="C60" s="4" t="s">
        <v>632</v>
      </c>
      <c r="D60" s="4" t="s">
        <v>395</v>
      </c>
      <c r="E60" s="4" t="s">
        <v>539</v>
      </c>
    </row>
    <row r="61" spans="1:5">
      <c r="A61" s="2" t="s">
        <v>633</v>
      </c>
      <c r="B61" s="4" t="s">
        <v>347</v>
      </c>
      <c r="C61" s="4" t="s">
        <v>634</v>
      </c>
      <c r="D61" s="4" t="s">
        <v>395</v>
      </c>
      <c r="E61" s="4" t="s">
        <v>539</v>
      </c>
    </row>
    <row r="62" spans="1:5">
      <c r="A62" s="2" t="s">
        <v>635</v>
      </c>
      <c r="B62" s="4" t="s">
        <v>347</v>
      </c>
      <c r="C62" s="4" t="s">
        <v>636</v>
      </c>
      <c r="D62" s="4" t="s">
        <v>395</v>
      </c>
      <c r="E62" s="4" t="s">
        <v>539</v>
      </c>
    </row>
    <row r="63" spans="1:5">
      <c r="A63" s="2" t="s">
        <v>637</v>
      </c>
      <c r="B63" s="4" t="s">
        <v>347</v>
      </c>
      <c r="C63" s="4" t="s">
        <v>638</v>
      </c>
      <c r="D63" s="4" t="s">
        <v>395</v>
      </c>
      <c r="E63" s="4" t="s">
        <v>542</v>
      </c>
    </row>
    <row r="64" spans="1:5">
      <c r="A64" s="2" t="s">
        <v>639</v>
      </c>
      <c r="B64" s="4" t="s">
        <v>347</v>
      </c>
      <c r="C64" s="4" t="s">
        <v>640</v>
      </c>
      <c r="D64" s="4" t="s">
        <v>395</v>
      </c>
      <c r="E64" s="4" t="s">
        <v>542</v>
      </c>
    </row>
    <row r="65" spans="1:5">
      <c r="A65" s="2" t="s">
        <v>641</v>
      </c>
      <c r="B65" s="4" t="s">
        <v>347</v>
      </c>
      <c r="C65" s="4" t="s">
        <v>642</v>
      </c>
      <c r="D65" s="4" t="s">
        <v>395</v>
      </c>
      <c r="E65" s="4" t="s">
        <v>542</v>
      </c>
    </row>
    <row r="66" spans="1:5">
      <c r="A66" s="2" t="s">
        <v>643</v>
      </c>
      <c r="B66" s="4" t="s">
        <v>347</v>
      </c>
      <c r="C66" s="4" t="s">
        <v>644</v>
      </c>
      <c r="D66" s="4" t="s">
        <v>395</v>
      </c>
      <c r="E66" s="4" t="s">
        <v>542</v>
      </c>
    </row>
    <row r="67" spans="1:5">
      <c r="A67" s="2" t="s">
        <v>645</v>
      </c>
      <c r="B67" s="4" t="s">
        <v>347</v>
      </c>
      <c r="C67" s="4" t="s">
        <v>646</v>
      </c>
      <c r="D67" s="4" t="s">
        <v>395</v>
      </c>
      <c r="E67" s="4" t="s">
        <v>542</v>
      </c>
    </row>
    <row r="68" spans="1:5">
      <c r="A68" s="2" t="s">
        <v>647</v>
      </c>
      <c r="B68" s="5" t="s">
        <v>347</v>
      </c>
      <c r="C68" s="5" t="s">
        <v>648</v>
      </c>
      <c r="D68" s="5" t="s">
        <v>395</v>
      </c>
      <c r="E68" s="5" t="s">
        <v>539</v>
      </c>
    </row>
    <row r="69" spans="1:5">
      <c r="A69" s="2" t="s">
        <v>649</v>
      </c>
      <c r="B69" s="5" t="s">
        <v>347</v>
      </c>
      <c r="C69" s="5" t="s">
        <v>650</v>
      </c>
      <c r="D69" s="5" t="s">
        <v>395</v>
      </c>
      <c r="E69" s="5" t="s">
        <v>539</v>
      </c>
    </row>
    <row r="70" spans="1:5">
      <c r="A70" s="2" t="s">
        <v>651</v>
      </c>
      <c r="B70" t="s">
        <v>652</v>
      </c>
      <c r="C70" t="s">
        <v>254</v>
      </c>
      <c r="D70" t="s">
        <v>395</v>
      </c>
      <c r="E70" t="s">
        <v>653</v>
      </c>
    </row>
    <row r="71" spans="1:5">
      <c r="A71" s="2" t="s">
        <v>654</v>
      </c>
      <c r="B71" t="s">
        <v>652</v>
      </c>
      <c r="C71" s="632" t="s">
        <v>330</v>
      </c>
      <c r="D71" t="s">
        <v>395</v>
      </c>
      <c r="E71" t="s">
        <v>653</v>
      </c>
    </row>
    <row r="72" spans="1:5">
      <c r="A72" s="2" t="s">
        <v>655</v>
      </c>
      <c r="B72" t="s">
        <v>652</v>
      </c>
      <c r="C72" t="s">
        <v>298</v>
      </c>
      <c r="D72" t="s">
        <v>395</v>
      </c>
      <c r="E72" t="s">
        <v>656</v>
      </c>
    </row>
    <row r="73" spans="1:5">
      <c r="A73" s="2" t="s">
        <v>657</v>
      </c>
      <c r="B73" t="s">
        <v>652</v>
      </c>
      <c r="C73" t="s">
        <v>538</v>
      </c>
      <c r="D73" t="s">
        <v>395</v>
      </c>
      <c r="E73" t="s">
        <v>658</v>
      </c>
    </row>
    <row r="74" spans="1:5">
      <c r="A74" s="2" t="s">
        <v>659</v>
      </c>
      <c r="B74" t="s">
        <v>652</v>
      </c>
      <c r="C74" t="s">
        <v>548</v>
      </c>
      <c r="D74" t="s">
        <v>395</v>
      </c>
      <c r="E74" t="s">
        <v>658</v>
      </c>
    </row>
    <row r="75" spans="1:5">
      <c r="A75" s="2" t="s">
        <v>660</v>
      </c>
      <c r="B75" t="s">
        <v>652</v>
      </c>
      <c r="C75" t="s">
        <v>550</v>
      </c>
      <c r="D75" t="s">
        <v>395</v>
      </c>
      <c r="E75" t="s">
        <v>658</v>
      </c>
    </row>
    <row r="76" spans="1:5">
      <c r="A76" s="2" t="s">
        <v>661</v>
      </c>
      <c r="B76" s="3" t="s">
        <v>652</v>
      </c>
      <c r="C76" s="633" t="s">
        <v>556</v>
      </c>
      <c r="D76" s="3" t="s">
        <v>395</v>
      </c>
      <c r="E76" s="3" t="s">
        <v>653</v>
      </c>
    </row>
    <row r="77" spans="1:5">
      <c r="A77" s="2" t="s">
        <v>662</v>
      </c>
      <c r="B77" s="3" t="s">
        <v>652</v>
      </c>
      <c r="C77" s="3" t="s">
        <v>562</v>
      </c>
      <c r="D77" s="3" t="s">
        <v>395</v>
      </c>
      <c r="E77" s="3" t="s">
        <v>658</v>
      </c>
    </row>
    <row r="78" spans="1:5">
      <c r="A78" s="2" t="s">
        <v>663</v>
      </c>
      <c r="B78" t="s">
        <v>652</v>
      </c>
      <c r="C78" t="s">
        <v>577</v>
      </c>
      <c r="D78" t="s">
        <v>395</v>
      </c>
      <c r="E78" t="s">
        <v>658</v>
      </c>
    </row>
    <row r="79" spans="1:5">
      <c r="A79" s="2" t="s">
        <v>664</v>
      </c>
      <c r="B79" t="s">
        <v>665</v>
      </c>
      <c r="C79" t="s">
        <v>254</v>
      </c>
      <c r="D79" t="s">
        <v>395</v>
      </c>
      <c r="E79" t="s">
        <v>666</v>
      </c>
    </row>
    <row r="80" spans="1:5">
      <c r="A80" s="2" t="s">
        <v>664</v>
      </c>
      <c r="B80" t="s">
        <v>665</v>
      </c>
      <c r="C80" s="632" t="s">
        <v>530</v>
      </c>
      <c r="D80" t="s">
        <v>395</v>
      </c>
      <c r="E80" t="s">
        <v>666</v>
      </c>
    </row>
    <row r="81" spans="1:5">
      <c r="A81" s="2" t="str">
        <f>B81&amp;C81</f>
        <v>A250RA-GMXVJ01</v>
      </c>
      <c r="B81" t="s">
        <v>665</v>
      </c>
      <c r="C81" t="s">
        <v>298</v>
      </c>
      <c r="D81" t="s">
        <v>395</v>
      </c>
      <c r="E81" t="s">
        <v>667</v>
      </c>
    </row>
    <row r="82" spans="1:5">
      <c r="A82" s="2" t="str">
        <f>B82&amp;C82</f>
        <v>A250RA-GMXVJ10</v>
      </c>
      <c r="B82" t="s">
        <v>665</v>
      </c>
      <c r="C82" s="632" t="s">
        <v>530</v>
      </c>
      <c r="D82" t="s">
        <v>395</v>
      </c>
      <c r="E82" t="s">
        <v>668</v>
      </c>
    </row>
    <row r="83" spans="1:5">
      <c r="A83" s="2" t="s">
        <v>669</v>
      </c>
      <c r="B83" t="s">
        <v>665</v>
      </c>
      <c r="C83" t="s">
        <v>548</v>
      </c>
      <c r="D83" t="s">
        <v>395</v>
      </c>
      <c r="E83" t="s">
        <v>668</v>
      </c>
    </row>
    <row r="84" spans="1:5">
      <c r="A84" s="2" t="s">
        <v>670</v>
      </c>
      <c r="B84" s="3" t="s">
        <v>665</v>
      </c>
      <c r="C84" s="3" t="s">
        <v>550</v>
      </c>
      <c r="D84" s="3" t="s">
        <v>395</v>
      </c>
      <c r="E84" s="3" t="s">
        <v>668</v>
      </c>
    </row>
    <row r="85" spans="1:5">
      <c r="A85" s="2" t="s">
        <v>671</v>
      </c>
      <c r="B85" s="3" t="s">
        <v>665</v>
      </c>
      <c r="C85" s="3" t="s">
        <v>562</v>
      </c>
      <c r="D85" s="3" t="s">
        <v>395</v>
      </c>
      <c r="E85" s="3" t="s">
        <v>668</v>
      </c>
    </row>
    <row r="86" spans="1:5">
      <c r="A86" s="2" t="s">
        <v>672</v>
      </c>
      <c r="B86" t="s">
        <v>665</v>
      </c>
      <c r="C86" t="s">
        <v>577</v>
      </c>
      <c r="D86" t="s">
        <v>395</v>
      </c>
      <c r="E86" t="s">
        <v>668</v>
      </c>
    </row>
    <row r="87" spans="1:5">
      <c r="A87" s="2" t="s">
        <v>673</v>
      </c>
      <c r="B87" t="s">
        <v>674</v>
      </c>
      <c r="C87" t="s">
        <v>254</v>
      </c>
      <c r="D87" t="s">
        <v>395</v>
      </c>
      <c r="E87" t="s">
        <v>675</v>
      </c>
    </row>
    <row r="88" spans="1:5">
      <c r="A88" s="2" t="s">
        <v>676</v>
      </c>
      <c r="B88" t="s">
        <v>674</v>
      </c>
      <c r="C88">
        <v>10</v>
      </c>
      <c r="D88" t="s">
        <v>395</v>
      </c>
      <c r="E88" t="s">
        <v>675</v>
      </c>
    </row>
    <row r="89" spans="1:5">
      <c r="A89" s="2" t="s">
        <v>677</v>
      </c>
      <c r="B89" t="s">
        <v>674</v>
      </c>
      <c r="C89" t="s">
        <v>538</v>
      </c>
      <c r="D89" t="s">
        <v>395</v>
      </c>
      <c r="E89" t="s">
        <v>678</v>
      </c>
    </row>
    <row r="90" spans="1:5">
      <c r="A90" s="2" t="s">
        <v>679</v>
      </c>
      <c r="B90" s="6" t="s">
        <v>674</v>
      </c>
      <c r="C90" s="634" t="s">
        <v>556</v>
      </c>
      <c r="D90" t="s">
        <v>395</v>
      </c>
      <c r="E90" t="s">
        <v>675</v>
      </c>
    </row>
    <row r="91" spans="1:5">
      <c r="A91" s="2" t="s">
        <v>680</v>
      </c>
      <c r="B91" t="s">
        <v>674</v>
      </c>
      <c r="C91" t="s">
        <v>681</v>
      </c>
      <c r="D91" t="s">
        <v>395</v>
      </c>
      <c r="E91" t="s">
        <v>675</v>
      </c>
    </row>
    <row r="92" spans="1:5">
      <c r="A92" s="2" t="s">
        <v>682</v>
      </c>
      <c r="B92" t="s">
        <v>683</v>
      </c>
      <c r="C92" t="s">
        <v>254</v>
      </c>
      <c r="D92" t="s">
        <v>395</v>
      </c>
      <c r="E92" t="s">
        <v>684</v>
      </c>
    </row>
    <row r="93" spans="1:5">
      <c r="A93" s="2" t="str">
        <f>B93&amp;C93</f>
        <v>A251RA-GMXFJ10</v>
      </c>
      <c r="B93" t="s">
        <v>683</v>
      </c>
      <c r="C93" s="632" t="s">
        <v>530</v>
      </c>
      <c r="D93" t="s">
        <v>395</v>
      </c>
      <c r="E93" t="s">
        <v>684</v>
      </c>
    </row>
    <row r="94" spans="1:5">
      <c r="A94" s="2" t="s">
        <v>685</v>
      </c>
      <c r="B94" s="3" t="s">
        <v>683</v>
      </c>
      <c r="C94" s="3" t="s">
        <v>538</v>
      </c>
      <c r="D94" s="3" t="s">
        <v>395</v>
      </c>
      <c r="E94" s="3" t="s">
        <v>686</v>
      </c>
    </row>
    <row r="95" spans="1:5">
      <c r="A95" s="2" t="s">
        <v>687</v>
      </c>
      <c r="B95" s="5" t="s">
        <v>304</v>
      </c>
      <c r="C95" s="5" t="s">
        <v>254</v>
      </c>
      <c r="D95" s="5" t="s">
        <v>386</v>
      </c>
      <c r="E95" s="5" t="s">
        <v>688</v>
      </c>
    </row>
    <row r="96" spans="1:5">
      <c r="A96" s="2" t="str">
        <f>B96&amp;C96</f>
        <v>A351RA-GBEFJGB</v>
      </c>
      <c r="B96" s="5" t="s">
        <v>304</v>
      </c>
      <c r="C96" s="5" t="s">
        <v>689</v>
      </c>
      <c r="D96" s="5" t="s">
        <v>386</v>
      </c>
      <c r="E96" s="5" t="s">
        <v>688</v>
      </c>
    </row>
    <row r="97" spans="1:5">
      <c r="A97" s="2" t="str">
        <f>B97&amp;C97</f>
        <v>A351RA-GBEFJGA</v>
      </c>
      <c r="B97" s="5" t="s">
        <v>304</v>
      </c>
      <c r="C97" s="5" t="s">
        <v>690</v>
      </c>
      <c r="D97" s="5" t="s">
        <v>386</v>
      </c>
      <c r="E97" s="5" t="s">
        <v>688</v>
      </c>
    </row>
    <row r="98" spans="1:5">
      <c r="A98" s="2" t="s">
        <v>691</v>
      </c>
      <c r="B98" s="5" t="s">
        <v>304</v>
      </c>
      <c r="C98" s="5" t="s">
        <v>692</v>
      </c>
      <c r="D98" s="5" t="s">
        <v>386</v>
      </c>
      <c r="E98" s="5" t="s">
        <v>688</v>
      </c>
    </row>
    <row r="99" spans="1:5">
      <c r="A99" s="2" t="s">
        <v>693</v>
      </c>
      <c r="B99" s="5" t="s">
        <v>304</v>
      </c>
      <c r="C99" s="635" t="s">
        <v>530</v>
      </c>
      <c r="D99" s="5" t="s">
        <v>386</v>
      </c>
      <c r="E99" s="5" t="s">
        <v>688</v>
      </c>
    </row>
    <row r="100" spans="1:5">
      <c r="A100" s="2" t="s">
        <v>694</v>
      </c>
      <c r="B100" s="5" t="s">
        <v>304</v>
      </c>
      <c r="C100" s="5" t="s">
        <v>695</v>
      </c>
      <c r="D100" s="5" t="s">
        <v>386</v>
      </c>
      <c r="E100" s="5" t="s">
        <v>688</v>
      </c>
    </row>
    <row r="101" spans="1:5">
      <c r="A101" s="2" t="s">
        <v>696</v>
      </c>
      <c r="B101" s="5" t="s">
        <v>304</v>
      </c>
      <c r="C101" s="5">
        <v>40</v>
      </c>
      <c r="D101" s="5" t="s">
        <v>386</v>
      </c>
      <c r="E101" s="5" t="s">
        <v>688</v>
      </c>
    </row>
    <row r="102" spans="1:5">
      <c r="A102" s="2" t="s">
        <v>697</v>
      </c>
      <c r="B102" s="5" t="s">
        <v>304</v>
      </c>
      <c r="C102" s="5" t="s">
        <v>558</v>
      </c>
      <c r="D102" s="5" t="s">
        <v>386</v>
      </c>
      <c r="E102" s="5" t="s">
        <v>688</v>
      </c>
    </row>
    <row r="103" spans="1:5">
      <c r="A103" s="2" t="s">
        <v>698</v>
      </c>
      <c r="B103" s="5" t="s">
        <v>304</v>
      </c>
      <c r="C103" s="5" t="s">
        <v>548</v>
      </c>
      <c r="D103" s="5" t="s">
        <v>386</v>
      </c>
      <c r="E103" s="5" t="s">
        <v>688</v>
      </c>
    </row>
    <row r="104" spans="1:5">
      <c r="A104" s="2" t="s">
        <v>699</v>
      </c>
      <c r="B104" s="3" t="s">
        <v>304</v>
      </c>
      <c r="C104" s="3" t="s">
        <v>538</v>
      </c>
      <c r="D104" s="3" t="s">
        <v>386</v>
      </c>
      <c r="E104" s="3" t="s">
        <v>688</v>
      </c>
    </row>
    <row r="105" spans="1:5">
      <c r="A105" s="2" t="s">
        <v>700</v>
      </c>
      <c r="B105" t="s">
        <v>304</v>
      </c>
      <c r="C105" t="s">
        <v>562</v>
      </c>
      <c r="D105" t="s">
        <v>386</v>
      </c>
      <c r="E105" t="s">
        <v>688</v>
      </c>
    </row>
    <row r="106" spans="1:5">
      <c r="A106" s="2" t="s">
        <v>701</v>
      </c>
      <c r="B106" s="3" t="s">
        <v>304</v>
      </c>
      <c r="C106" s="3" t="s">
        <v>573</v>
      </c>
      <c r="D106" s="3" t="s">
        <v>386</v>
      </c>
      <c r="E106" s="3" t="s">
        <v>702</v>
      </c>
    </row>
    <row r="107" spans="1:5">
      <c r="A107" s="2" t="s">
        <v>701</v>
      </c>
      <c r="B107" s="3" t="s">
        <v>304</v>
      </c>
      <c r="C107" s="3" t="s">
        <v>573</v>
      </c>
      <c r="D107" s="3" t="s">
        <v>386</v>
      </c>
      <c r="E107" s="3" t="s">
        <v>703</v>
      </c>
    </row>
    <row r="108" spans="1:5">
      <c r="A108" s="2" t="s">
        <v>704</v>
      </c>
      <c r="B108" s="5" t="s">
        <v>329</v>
      </c>
      <c r="C108" s="5" t="s">
        <v>254</v>
      </c>
      <c r="D108" s="5" t="s">
        <v>397</v>
      </c>
      <c r="E108" s="5" t="s">
        <v>705</v>
      </c>
    </row>
    <row r="109" spans="1:5">
      <c r="A109" s="2" t="s">
        <v>706</v>
      </c>
      <c r="B109" s="5" t="s">
        <v>329</v>
      </c>
      <c r="C109" s="5">
        <v>11</v>
      </c>
      <c r="D109" s="5" t="s">
        <v>397</v>
      </c>
      <c r="E109" s="5" t="s">
        <v>705</v>
      </c>
    </row>
    <row r="110" spans="1:5">
      <c r="A110" s="2" t="s">
        <v>707</v>
      </c>
      <c r="B110" s="5" t="s">
        <v>329</v>
      </c>
      <c r="C110" s="5">
        <v>10</v>
      </c>
      <c r="D110" s="5" t="s">
        <v>397</v>
      </c>
      <c r="E110" s="5" t="s">
        <v>705</v>
      </c>
    </row>
    <row r="111" spans="1:5">
      <c r="A111" s="2" t="s">
        <v>708</v>
      </c>
      <c r="B111" s="5" t="s">
        <v>329</v>
      </c>
      <c r="C111" s="635" t="s">
        <v>330</v>
      </c>
      <c r="D111" s="5" t="s">
        <v>397</v>
      </c>
      <c r="E111" s="5" t="s">
        <v>705</v>
      </c>
    </row>
    <row r="112" spans="1:5">
      <c r="A112" s="2" t="s">
        <v>709</v>
      </c>
      <c r="B112" s="3" t="s">
        <v>329</v>
      </c>
      <c r="C112" s="3" t="s">
        <v>298</v>
      </c>
      <c r="D112" s="3" t="s">
        <v>397</v>
      </c>
      <c r="E112" s="3" t="s">
        <v>705</v>
      </c>
    </row>
    <row r="113" spans="1:5">
      <c r="A113" s="2" t="s">
        <v>710</v>
      </c>
      <c r="B113" s="5" t="s">
        <v>329</v>
      </c>
      <c r="C113" s="5" t="s">
        <v>538</v>
      </c>
      <c r="D113" s="5" t="s">
        <v>397</v>
      </c>
      <c r="E113" s="5" t="s">
        <v>705</v>
      </c>
    </row>
    <row r="114" spans="1:5">
      <c r="A114" s="2" t="s">
        <v>711</v>
      </c>
      <c r="B114" s="5" t="s">
        <v>712</v>
      </c>
      <c r="C114" s="5" t="s">
        <v>254</v>
      </c>
      <c r="D114" s="5" t="s">
        <v>386</v>
      </c>
      <c r="E114" s="5" t="s">
        <v>713</v>
      </c>
    </row>
    <row r="115" spans="1:5">
      <c r="A115" s="2" t="s">
        <v>714</v>
      </c>
      <c r="B115" s="5" t="s">
        <v>329</v>
      </c>
      <c r="C115" s="5" t="s">
        <v>541</v>
      </c>
      <c r="D115" s="5" t="s">
        <v>397</v>
      </c>
      <c r="E115" s="5" t="s">
        <v>705</v>
      </c>
    </row>
    <row r="116" spans="1:5">
      <c r="A116" s="2" t="s">
        <v>715</v>
      </c>
      <c r="B116" s="5" t="s">
        <v>712</v>
      </c>
      <c r="C116" s="5" t="s">
        <v>573</v>
      </c>
      <c r="D116" s="5" t="s">
        <v>386</v>
      </c>
      <c r="E116" s="5" t="s">
        <v>713</v>
      </c>
    </row>
    <row r="117" spans="1:5">
      <c r="A117" s="2" t="s">
        <v>716</v>
      </c>
      <c r="B117" s="5" t="s">
        <v>712</v>
      </c>
      <c r="C117" s="5" t="s">
        <v>558</v>
      </c>
      <c r="D117" s="5" t="s">
        <v>386</v>
      </c>
      <c r="E117" s="5" t="s">
        <v>717</v>
      </c>
    </row>
    <row r="118" spans="1:5">
      <c r="A118" s="2" t="s">
        <v>718</v>
      </c>
      <c r="B118" s="3" t="s">
        <v>712</v>
      </c>
      <c r="C118" s="3" t="s">
        <v>548</v>
      </c>
      <c r="D118" s="3" t="s">
        <v>386</v>
      </c>
      <c r="E118" s="3" t="s">
        <v>717</v>
      </c>
    </row>
    <row r="119" spans="1:5">
      <c r="A119" s="2" t="s">
        <v>719</v>
      </c>
      <c r="B119" s="3" t="s">
        <v>712</v>
      </c>
      <c r="C119" s="3" t="s">
        <v>538</v>
      </c>
      <c r="D119" s="3" t="s">
        <v>386</v>
      </c>
      <c r="E119" s="3" t="s">
        <v>717</v>
      </c>
    </row>
    <row r="120" spans="1:5">
      <c r="A120" s="2" t="s">
        <v>720</v>
      </c>
      <c r="B120" s="5" t="s">
        <v>712</v>
      </c>
      <c r="C120" s="5" t="s">
        <v>562</v>
      </c>
      <c r="D120" s="5" t="s">
        <v>386</v>
      </c>
      <c r="E120" s="5" t="s">
        <v>717</v>
      </c>
    </row>
    <row r="121" spans="1:5">
      <c r="A121" s="2" t="s">
        <v>721</v>
      </c>
      <c r="B121" s="5" t="s">
        <v>722</v>
      </c>
      <c r="C121" s="5" t="s">
        <v>254</v>
      </c>
      <c r="D121" s="5" t="s">
        <v>397</v>
      </c>
      <c r="E121" s="5" t="s">
        <v>723</v>
      </c>
    </row>
    <row r="122" spans="1:5">
      <c r="A122" s="2" t="s">
        <v>724</v>
      </c>
      <c r="B122" s="3" t="s">
        <v>722</v>
      </c>
      <c r="C122" s="3" t="s">
        <v>298</v>
      </c>
      <c r="D122" s="3" t="s">
        <v>397</v>
      </c>
      <c r="E122" s="3" t="s">
        <v>723</v>
      </c>
    </row>
    <row r="123" spans="1:5">
      <c r="A123" s="2" t="s">
        <v>725</v>
      </c>
      <c r="B123" s="4" t="s">
        <v>722</v>
      </c>
      <c r="C123" s="4" t="s">
        <v>541</v>
      </c>
      <c r="D123" s="4" t="s">
        <v>397</v>
      </c>
      <c r="E123" s="4" t="s">
        <v>723</v>
      </c>
    </row>
    <row r="124" spans="1:5">
      <c r="A124" s="2" t="s">
        <v>726</v>
      </c>
      <c r="B124" s="4" t="s">
        <v>722</v>
      </c>
      <c r="C124" s="4" t="s">
        <v>538</v>
      </c>
      <c r="D124" s="4" t="s">
        <v>397</v>
      </c>
      <c r="E124" s="4" t="s">
        <v>723</v>
      </c>
    </row>
    <row r="125" spans="1:5">
      <c r="A125" s="2" t="s">
        <v>727</v>
      </c>
      <c r="B125" t="s">
        <v>728</v>
      </c>
      <c r="C125" t="s">
        <v>254</v>
      </c>
      <c r="D125" t="s">
        <v>386</v>
      </c>
      <c r="E125" t="s">
        <v>729</v>
      </c>
    </row>
    <row r="126" spans="1:5">
      <c r="A126" s="2" t="s">
        <v>730</v>
      </c>
      <c r="B126" t="s">
        <v>731</v>
      </c>
      <c r="C126" t="s">
        <v>254</v>
      </c>
      <c r="D126" t="s">
        <v>732</v>
      </c>
      <c r="E126" t="s">
        <v>733</v>
      </c>
    </row>
    <row r="127" spans="1:5">
      <c r="A127" s="7" t="s">
        <v>734</v>
      </c>
      <c r="B127" t="s">
        <v>731</v>
      </c>
      <c r="C127">
        <v>11</v>
      </c>
      <c r="D127" t="s">
        <v>732</v>
      </c>
      <c r="E127" t="s">
        <v>733</v>
      </c>
    </row>
    <row r="128" spans="1:5">
      <c r="A128" s="2" t="s">
        <v>735</v>
      </c>
      <c r="B128" t="s">
        <v>731</v>
      </c>
      <c r="C128">
        <v>71</v>
      </c>
      <c r="D128" t="s">
        <v>732</v>
      </c>
      <c r="E128" t="s">
        <v>733</v>
      </c>
    </row>
    <row r="129" spans="1:5">
      <c r="A129" s="2" t="s">
        <v>736</v>
      </c>
      <c r="B129" t="s">
        <v>731</v>
      </c>
      <c r="C129" s="632" t="s">
        <v>330</v>
      </c>
      <c r="D129" t="s">
        <v>732</v>
      </c>
      <c r="E129" t="s">
        <v>733</v>
      </c>
    </row>
    <row r="130" spans="1:5">
      <c r="A130" s="2" t="s">
        <v>737</v>
      </c>
      <c r="B130" s="4" t="s">
        <v>731</v>
      </c>
      <c r="C130" s="4" t="s">
        <v>298</v>
      </c>
      <c r="D130" s="4" t="s">
        <v>732</v>
      </c>
      <c r="E130" s="4" t="s">
        <v>733</v>
      </c>
    </row>
    <row r="131" spans="1:5">
      <c r="A131" s="2" t="s">
        <v>730</v>
      </c>
      <c r="B131" s="4" t="s">
        <v>731</v>
      </c>
      <c r="C131" s="4" t="s">
        <v>254</v>
      </c>
      <c r="D131" s="4" t="s">
        <v>732</v>
      </c>
      <c r="E131" s="4" t="s">
        <v>733</v>
      </c>
    </row>
    <row r="132" spans="1:5">
      <c r="A132" s="2" t="s">
        <v>738</v>
      </c>
      <c r="B132" s="4" t="s">
        <v>731</v>
      </c>
      <c r="C132" s="4" t="s">
        <v>558</v>
      </c>
      <c r="D132" s="4" t="s">
        <v>732</v>
      </c>
      <c r="E132" s="4" t="s">
        <v>739</v>
      </c>
    </row>
    <row r="133" spans="1:5">
      <c r="A133" s="2" t="s">
        <v>740</v>
      </c>
      <c r="B133" t="s">
        <v>731</v>
      </c>
      <c r="C133" t="s">
        <v>573</v>
      </c>
      <c r="D133" t="s">
        <v>732</v>
      </c>
      <c r="E133" t="s">
        <v>741</v>
      </c>
    </row>
    <row r="134" spans="1:5">
      <c r="A134" s="2" t="s">
        <v>742</v>
      </c>
      <c r="B134" t="s">
        <v>731</v>
      </c>
      <c r="C134">
        <v>30</v>
      </c>
      <c r="D134" t="s">
        <v>732</v>
      </c>
      <c r="E134" t="s">
        <v>733</v>
      </c>
    </row>
    <row r="135" spans="1:5">
      <c r="A135" s="2" t="s">
        <v>743</v>
      </c>
      <c r="B135" t="s">
        <v>744</v>
      </c>
      <c r="C135" t="s">
        <v>254</v>
      </c>
      <c r="D135" t="s">
        <v>187</v>
      </c>
      <c r="E135" t="s">
        <v>745</v>
      </c>
    </row>
    <row r="136" spans="1:5">
      <c r="A136" s="2" t="str">
        <f>B136&amp;C136</f>
        <v>AAHH40R-PFXZB10</v>
      </c>
      <c r="B136" t="s">
        <v>744</v>
      </c>
      <c r="C136" s="632" t="s">
        <v>530</v>
      </c>
      <c r="D136" t="s">
        <v>187</v>
      </c>
      <c r="E136" t="s">
        <v>745</v>
      </c>
    </row>
    <row r="137" spans="1:5">
      <c r="A137" s="2" t="s">
        <v>746</v>
      </c>
      <c r="B137" t="s">
        <v>744</v>
      </c>
      <c r="C137" t="s">
        <v>558</v>
      </c>
      <c r="D137" t="s">
        <v>187</v>
      </c>
      <c r="E137" t="s">
        <v>745</v>
      </c>
    </row>
    <row r="138" spans="1:5">
      <c r="A138" s="2" t="s">
        <v>743</v>
      </c>
      <c r="B138" t="s">
        <v>744</v>
      </c>
      <c r="D138" t="s">
        <v>187</v>
      </c>
      <c r="E138" t="s">
        <v>745</v>
      </c>
    </row>
    <row r="139" spans="1:5">
      <c r="A139" s="2" t="s">
        <v>747</v>
      </c>
      <c r="B139" t="s">
        <v>744</v>
      </c>
      <c r="C139" t="s">
        <v>573</v>
      </c>
      <c r="D139" t="s">
        <v>187</v>
      </c>
      <c r="E139" t="s">
        <v>745</v>
      </c>
    </row>
    <row r="140" spans="1:5">
      <c r="A140" s="8" t="str">
        <f t="shared" ref="A140" si="0">B140&amp;C140</f>
        <v>AAHH40R-PFXZB</v>
      </c>
      <c r="B140" t="s">
        <v>744</v>
      </c>
      <c r="D140" t="s">
        <v>187</v>
      </c>
      <c r="E140" t="s">
        <v>745</v>
      </c>
    </row>
    <row r="141" spans="1:5">
      <c r="A141" t="s">
        <v>748</v>
      </c>
      <c r="B141" t="s">
        <v>744</v>
      </c>
      <c r="C141" t="s">
        <v>573</v>
      </c>
      <c r="D141" t="s">
        <v>187</v>
      </c>
      <c r="E141" t="s">
        <v>745</v>
      </c>
    </row>
    <row r="142" spans="1:5">
      <c r="A142" s="2" t="s">
        <v>749</v>
      </c>
      <c r="B142" t="s">
        <v>744</v>
      </c>
      <c r="C142" s="632" t="s">
        <v>330</v>
      </c>
      <c r="D142" t="s">
        <v>187</v>
      </c>
      <c r="E142" t="s">
        <v>745</v>
      </c>
    </row>
    <row r="143" spans="1:5">
      <c r="A143" s="2" t="s">
        <v>750</v>
      </c>
      <c r="B143" t="s">
        <v>744</v>
      </c>
      <c r="C143" t="s">
        <v>298</v>
      </c>
      <c r="D143" t="s">
        <v>187</v>
      </c>
      <c r="E143" t="s">
        <v>745</v>
      </c>
    </row>
    <row r="144" spans="1:5">
      <c r="A144" s="2" t="s">
        <v>751</v>
      </c>
      <c r="B144" t="s">
        <v>752</v>
      </c>
      <c r="C144" t="s">
        <v>753</v>
      </c>
      <c r="D144" t="s">
        <v>754</v>
      </c>
      <c r="E144" t="s">
        <v>755</v>
      </c>
    </row>
    <row r="145" spans="1:5">
      <c r="A145" s="2" t="s">
        <v>756</v>
      </c>
      <c r="B145" t="s">
        <v>752</v>
      </c>
      <c r="C145" t="s">
        <v>757</v>
      </c>
      <c r="D145" t="s">
        <v>754</v>
      </c>
      <c r="E145" t="s">
        <v>758</v>
      </c>
    </row>
    <row r="146" spans="1:5">
      <c r="A146" s="2" t="s">
        <v>759</v>
      </c>
      <c r="B146" t="s">
        <v>760</v>
      </c>
      <c r="C146" t="s">
        <v>254</v>
      </c>
      <c r="D146" t="s">
        <v>180</v>
      </c>
      <c r="E146" t="s">
        <v>761</v>
      </c>
    </row>
    <row r="147" spans="1:5">
      <c r="A147" s="2" t="s">
        <v>762</v>
      </c>
      <c r="B147" t="s">
        <v>763</v>
      </c>
      <c r="C147" t="s">
        <v>530</v>
      </c>
      <c r="D147" t="s">
        <v>180</v>
      </c>
      <c r="E147" t="s">
        <v>764</v>
      </c>
    </row>
    <row r="148" spans="1:5">
      <c r="A148" s="2" t="s">
        <v>765</v>
      </c>
      <c r="B148" t="s">
        <v>763</v>
      </c>
      <c r="C148" t="s">
        <v>254</v>
      </c>
      <c r="D148" t="s">
        <v>180</v>
      </c>
      <c r="E148" t="s">
        <v>764</v>
      </c>
    </row>
    <row r="149" spans="1:5">
      <c r="A149" s="2" t="s">
        <v>766</v>
      </c>
      <c r="B149" t="s">
        <v>763</v>
      </c>
      <c r="C149" t="s">
        <v>767</v>
      </c>
      <c r="D149" t="s">
        <v>180</v>
      </c>
      <c r="E149" t="s">
        <v>764</v>
      </c>
    </row>
    <row r="150" spans="1:5">
      <c r="A150" s="2" t="s">
        <v>768</v>
      </c>
      <c r="B150" t="s">
        <v>769</v>
      </c>
      <c r="C150" t="s">
        <v>530</v>
      </c>
      <c r="D150" t="s">
        <v>180</v>
      </c>
      <c r="E150" t="s">
        <v>770</v>
      </c>
    </row>
    <row r="151" spans="1:5">
      <c r="A151" s="2" t="s">
        <v>771</v>
      </c>
      <c r="B151" t="s">
        <v>769</v>
      </c>
      <c r="C151" t="s">
        <v>767</v>
      </c>
      <c r="D151" t="s">
        <v>180</v>
      </c>
      <c r="E151" t="s">
        <v>770</v>
      </c>
    </row>
    <row r="152" spans="1:5">
      <c r="A152" s="2" t="s">
        <v>772</v>
      </c>
      <c r="B152" t="s">
        <v>773</v>
      </c>
      <c r="C152" t="s">
        <v>774</v>
      </c>
      <c r="D152" t="s">
        <v>187</v>
      </c>
      <c r="E152" t="s">
        <v>775</v>
      </c>
    </row>
    <row r="153" spans="1:5">
      <c r="A153" s="2" t="s">
        <v>776</v>
      </c>
      <c r="B153" t="s">
        <v>773</v>
      </c>
      <c r="C153" t="s">
        <v>590</v>
      </c>
      <c r="D153" t="s">
        <v>187</v>
      </c>
      <c r="E153" t="s">
        <v>775</v>
      </c>
    </row>
    <row r="154" spans="1:5">
      <c r="A154" s="2" t="s">
        <v>777</v>
      </c>
      <c r="B154" t="s">
        <v>773</v>
      </c>
      <c r="C154" t="s">
        <v>592</v>
      </c>
      <c r="D154" t="s">
        <v>187</v>
      </c>
      <c r="E154" t="s">
        <v>775</v>
      </c>
    </row>
    <row r="155" spans="1:5">
      <c r="A155" s="2" t="s">
        <v>778</v>
      </c>
      <c r="B155" t="s">
        <v>773</v>
      </c>
      <c r="C155" t="s">
        <v>556</v>
      </c>
      <c r="D155" t="s">
        <v>187</v>
      </c>
      <c r="E155" t="s">
        <v>775</v>
      </c>
    </row>
    <row r="156" spans="1:5">
      <c r="A156" s="2" t="s">
        <v>779</v>
      </c>
      <c r="B156" t="s">
        <v>773</v>
      </c>
      <c r="C156" t="s">
        <v>326</v>
      </c>
      <c r="D156" t="s">
        <v>187</v>
      </c>
      <c r="E156" t="s">
        <v>775</v>
      </c>
    </row>
    <row r="157" spans="1:5">
      <c r="A157" s="2" t="s">
        <v>780</v>
      </c>
      <c r="B157" t="s">
        <v>773</v>
      </c>
      <c r="C157" t="s">
        <v>530</v>
      </c>
      <c r="D157" t="s">
        <v>187</v>
      </c>
      <c r="E157" t="s">
        <v>775</v>
      </c>
    </row>
    <row r="158" spans="1:5">
      <c r="A158" s="2" t="s">
        <v>781</v>
      </c>
      <c r="B158" t="s">
        <v>773</v>
      </c>
      <c r="C158" t="s">
        <v>532</v>
      </c>
      <c r="D158" t="s">
        <v>187</v>
      </c>
      <c r="E158" t="s">
        <v>775</v>
      </c>
    </row>
    <row r="159" spans="1:5">
      <c r="A159" s="2" t="s">
        <v>782</v>
      </c>
      <c r="B159" t="s">
        <v>773</v>
      </c>
      <c r="C159" t="s">
        <v>536</v>
      </c>
      <c r="D159" t="s">
        <v>187</v>
      </c>
      <c r="E159" t="s">
        <v>775</v>
      </c>
    </row>
    <row r="160" spans="1:5">
      <c r="A160" s="2" t="s">
        <v>783</v>
      </c>
      <c r="B160" t="s">
        <v>773</v>
      </c>
      <c r="C160" t="s">
        <v>534</v>
      </c>
      <c r="D160" t="s">
        <v>187</v>
      </c>
      <c r="E160" t="s">
        <v>775</v>
      </c>
    </row>
    <row r="161" spans="1:5">
      <c r="A161" s="2" t="s">
        <v>784</v>
      </c>
      <c r="B161" t="s">
        <v>773</v>
      </c>
      <c r="C161" t="s">
        <v>254</v>
      </c>
      <c r="D161" t="s">
        <v>187</v>
      </c>
      <c r="E161" t="s">
        <v>775</v>
      </c>
    </row>
    <row r="162" spans="1:5">
      <c r="A162" s="2" t="s">
        <v>785</v>
      </c>
      <c r="B162" t="s">
        <v>773</v>
      </c>
      <c r="C162" t="s">
        <v>298</v>
      </c>
      <c r="D162" t="s">
        <v>187</v>
      </c>
      <c r="E162" t="s">
        <v>775</v>
      </c>
    </row>
    <row r="163" spans="1:5">
      <c r="A163" s="2" t="s">
        <v>786</v>
      </c>
      <c r="B163" t="s">
        <v>773</v>
      </c>
      <c r="C163" t="s">
        <v>330</v>
      </c>
      <c r="D163" t="s">
        <v>187</v>
      </c>
      <c r="E163" t="s">
        <v>775</v>
      </c>
    </row>
    <row r="164" spans="1:5">
      <c r="A164" s="2" t="s">
        <v>787</v>
      </c>
      <c r="B164" t="s">
        <v>773</v>
      </c>
      <c r="C164" t="s">
        <v>527</v>
      </c>
      <c r="D164" t="s">
        <v>187</v>
      </c>
      <c r="E164" t="s">
        <v>775</v>
      </c>
    </row>
    <row r="165" spans="1:5">
      <c r="A165" s="2" t="s">
        <v>788</v>
      </c>
      <c r="B165" t="s">
        <v>773</v>
      </c>
      <c r="C165" t="s">
        <v>789</v>
      </c>
      <c r="D165" t="s">
        <v>187</v>
      </c>
      <c r="E165" t="s">
        <v>775</v>
      </c>
    </row>
    <row r="166" spans="1:5">
      <c r="A166" s="2" t="s">
        <v>790</v>
      </c>
      <c r="B166" t="s">
        <v>773</v>
      </c>
      <c r="C166" t="s">
        <v>791</v>
      </c>
      <c r="D166" t="s">
        <v>187</v>
      </c>
      <c r="E166" t="s">
        <v>775</v>
      </c>
    </row>
    <row r="167" spans="1:5">
      <c r="A167" s="2" t="s">
        <v>792</v>
      </c>
      <c r="B167" t="s">
        <v>773</v>
      </c>
      <c r="C167" t="s">
        <v>793</v>
      </c>
      <c r="D167" t="s">
        <v>187</v>
      </c>
      <c r="E167" t="s">
        <v>794</v>
      </c>
    </row>
    <row r="168" spans="1:5">
      <c r="A168" s="2" t="s">
        <v>795</v>
      </c>
      <c r="B168" t="s">
        <v>773</v>
      </c>
      <c r="C168" t="s">
        <v>796</v>
      </c>
      <c r="D168" t="s">
        <v>187</v>
      </c>
      <c r="E168" t="s">
        <v>775</v>
      </c>
    </row>
    <row r="169" spans="1:5">
      <c r="A169" s="2" t="s">
        <v>797</v>
      </c>
      <c r="B169" t="s">
        <v>773</v>
      </c>
      <c r="C169" t="s">
        <v>798</v>
      </c>
      <c r="D169" t="s">
        <v>187</v>
      </c>
      <c r="E169" t="s">
        <v>775</v>
      </c>
    </row>
    <row r="170" spans="1:5">
      <c r="A170" s="2" t="s">
        <v>799</v>
      </c>
      <c r="B170" t="s">
        <v>800</v>
      </c>
      <c r="C170" t="s">
        <v>254</v>
      </c>
      <c r="D170" t="s">
        <v>187</v>
      </c>
      <c r="E170" t="s">
        <v>775</v>
      </c>
    </row>
    <row r="171" spans="1:5">
      <c r="A171" s="2" t="s">
        <v>801</v>
      </c>
      <c r="B171" t="s">
        <v>800</v>
      </c>
      <c r="C171" t="s">
        <v>298</v>
      </c>
      <c r="D171" t="s">
        <v>187</v>
      </c>
      <c r="E171" t="s">
        <v>775</v>
      </c>
    </row>
    <row r="172" spans="1:5">
      <c r="A172" s="2" t="s">
        <v>802</v>
      </c>
      <c r="B172" t="s">
        <v>803</v>
      </c>
      <c r="C172" t="s">
        <v>556</v>
      </c>
      <c r="D172" t="s">
        <v>174</v>
      </c>
      <c r="E172" t="s">
        <v>804</v>
      </c>
    </row>
    <row r="173" spans="1:5">
      <c r="A173" s="2" t="s">
        <v>805</v>
      </c>
      <c r="B173" t="s">
        <v>803</v>
      </c>
      <c r="C173" t="s">
        <v>590</v>
      </c>
      <c r="D173" t="s">
        <v>174</v>
      </c>
      <c r="E173" t="s">
        <v>804</v>
      </c>
    </row>
    <row r="174" spans="1:5">
      <c r="A174" s="2" t="s">
        <v>806</v>
      </c>
      <c r="B174" t="s">
        <v>803</v>
      </c>
      <c r="C174" t="s">
        <v>807</v>
      </c>
      <c r="D174" t="s">
        <v>174</v>
      </c>
      <c r="E174" t="s">
        <v>804</v>
      </c>
    </row>
    <row r="175" spans="1:5">
      <c r="A175" s="2" t="s">
        <v>808</v>
      </c>
      <c r="B175" t="s">
        <v>803</v>
      </c>
      <c r="C175" t="s">
        <v>530</v>
      </c>
      <c r="D175" t="s">
        <v>174</v>
      </c>
      <c r="E175" t="s">
        <v>804</v>
      </c>
    </row>
    <row r="176" spans="1:5">
      <c r="A176" s="2" t="s">
        <v>809</v>
      </c>
      <c r="B176" t="s">
        <v>803</v>
      </c>
      <c r="C176" t="s">
        <v>534</v>
      </c>
      <c r="D176" t="s">
        <v>174</v>
      </c>
      <c r="E176" t="s">
        <v>804</v>
      </c>
    </row>
    <row r="177" spans="1:5">
      <c r="A177" s="2" t="s">
        <v>810</v>
      </c>
      <c r="B177" t="s">
        <v>803</v>
      </c>
      <c r="C177" t="s">
        <v>254</v>
      </c>
      <c r="D177" t="s">
        <v>174</v>
      </c>
      <c r="E177" t="s">
        <v>804</v>
      </c>
    </row>
    <row r="178" spans="1:5">
      <c r="A178" s="2" t="s">
        <v>811</v>
      </c>
      <c r="B178" t="s">
        <v>803</v>
      </c>
      <c r="C178" t="s">
        <v>298</v>
      </c>
      <c r="D178" t="s">
        <v>174</v>
      </c>
      <c r="E178" t="s">
        <v>804</v>
      </c>
    </row>
    <row r="179" spans="1:5">
      <c r="A179" s="2" t="s">
        <v>812</v>
      </c>
      <c r="B179" t="s">
        <v>803</v>
      </c>
      <c r="C179" t="s">
        <v>813</v>
      </c>
      <c r="D179" t="s">
        <v>174</v>
      </c>
      <c r="E179" t="s">
        <v>804</v>
      </c>
    </row>
    <row r="180" spans="1:5">
      <c r="A180" s="2" t="s">
        <v>814</v>
      </c>
      <c r="B180" t="s">
        <v>803</v>
      </c>
      <c r="C180" t="s">
        <v>815</v>
      </c>
      <c r="D180" t="s">
        <v>174</v>
      </c>
      <c r="E180" t="s">
        <v>804</v>
      </c>
    </row>
    <row r="181" spans="1:5">
      <c r="A181" s="2" t="s">
        <v>816</v>
      </c>
      <c r="B181" t="s">
        <v>803</v>
      </c>
      <c r="C181" t="s">
        <v>817</v>
      </c>
      <c r="D181" t="s">
        <v>174</v>
      </c>
      <c r="E181" t="s">
        <v>804</v>
      </c>
    </row>
    <row r="182" spans="1:5">
      <c r="A182" s="2" t="s">
        <v>818</v>
      </c>
      <c r="B182" t="s">
        <v>803</v>
      </c>
      <c r="C182" t="s">
        <v>819</v>
      </c>
      <c r="D182" t="s">
        <v>174</v>
      </c>
      <c r="E182" t="s">
        <v>804</v>
      </c>
    </row>
    <row r="183" spans="1:5">
      <c r="A183" s="2" t="s">
        <v>820</v>
      </c>
      <c r="B183" t="s">
        <v>821</v>
      </c>
      <c r="C183" t="s">
        <v>556</v>
      </c>
      <c r="D183" t="s">
        <v>174</v>
      </c>
      <c r="E183" t="s">
        <v>822</v>
      </c>
    </row>
    <row r="184" spans="1:5">
      <c r="A184" s="2" t="s">
        <v>823</v>
      </c>
      <c r="B184" t="s">
        <v>821</v>
      </c>
      <c r="C184" t="s">
        <v>590</v>
      </c>
      <c r="D184" t="s">
        <v>174</v>
      </c>
      <c r="E184" t="s">
        <v>822</v>
      </c>
    </row>
    <row r="185" spans="1:5">
      <c r="A185" s="2" t="s">
        <v>824</v>
      </c>
      <c r="B185" t="s">
        <v>821</v>
      </c>
      <c r="C185" t="s">
        <v>825</v>
      </c>
      <c r="D185" t="s">
        <v>174</v>
      </c>
      <c r="E185" t="s">
        <v>822</v>
      </c>
    </row>
    <row r="186" spans="1:5">
      <c r="A186" s="2" t="s">
        <v>826</v>
      </c>
      <c r="B186" t="s">
        <v>821</v>
      </c>
      <c r="C186" t="s">
        <v>530</v>
      </c>
      <c r="D186" t="s">
        <v>174</v>
      </c>
      <c r="E186" t="s">
        <v>822</v>
      </c>
    </row>
    <row r="187" spans="1:5">
      <c r="A187" s="2" t="s">
        <v>827</v>
      </c>
      <c r="B187" t="s">
        <v>821</v>
      </c>
      <c r="C187" t="s">
        <v>534</v>
      </c>
      <c r="D187" t="s">
        <v>174</v>
      </c>
      <c r="E187" t="s">
        <v>822</v>
      </c>
    </row>
    <row r="188" spans="1:5">
      <c r="A188" s="2" t="s">
        <v>828</v>
      </c>
      <c r="B188" t="s">
        <v>821</v>
      </c>
      <c r="C188" t="s">
        <v>254</v>
      </c>
      <c r="D188" t="s">
        <v>174</v>
      </c>
      <c r="E188" t="s">
        <v>822</v>
      </c>
    </row>
    <row r="189" spans="1:5">
      <c r="A189" s="2" t="s">
        <v>829</v>
      </c>
      <c r="B189" s="4" t="s">
        <v>821</v>
      </c>
      <c r="C189" s="4" t="s">
        <v>298</v>
      </c>
      <c r="D189" s="4" t="s">
        <v>174</v>
      </c>
      <c r="E189" s="4" t="s">
        <v>822</v>
      </c>
    </row>
    <row r="190" spans="1:5">
      <c r="A190" s="2" t="s">
        <v>830</v>
      </c>
      <c r="B190" s="4" t="s">
        <v>821</v>
      </c>
      <c r="C190" s="4" t="s">
        <v>789</v>
      </c>
      <c r="D190" s="4" t="s">
        <v>174</v>
      </c>
      <c r="E190" s="4" t="s">
        <v>822</v>
      </c>
    </row>
    <row r="191" spans="1:5">
      <c r="A191" s="2" t="s">
        <v>831</v>
      </c>
      <c r="B191" s="4" t="s">
        <v>821</v>
      </c>
      <c r="C191" s="4" t="s">
        <v>815</v>
      </c>
      <c r="D191" s="4" t="s">
        <v>174</v>
      </c>
      <c r="E191" s="4" t="s">
        <v>822</v>
      </c>
    </row>
    <row r="192" spans="1:5">
      <c r="A192" s="2" t="s">
        <v>832</v>
      </c>
      <c r="B192" s="4" t="s">
        <v>821</v>
      </c>
      <c r="C192" s="4" t="s">
        <v>817</v>
      </c>
      <c r="D192" s="4" t="s">
        <v>174</v>
      </c>
      <c r="E192" s="4" t="s">
        <v>822</v>
      </c>
    </row>
    <row r="193" spans="1:5">
      <c r="A193" s="2" t="s">
        <v>833</v>
      </c>
      <c r="B193" t="s">
        <v>821</v>
      </c>
      <c r="C193" t="s">
        <v>791</v>
      </c>
      <c r="D193" s="2" t="s">
        <v>174</v>
      </c>
      <c r="E193" t="s">
        <v>822</v>
      </c>
    </row>
    <row r="194" spans="1:5">
      <c r="A194" s="2" t="s">
        <v>834</v>
      </c>
      <c r="B194" t="s">
        <v>835</v>
      </c>
      <c r="C194" t="s">
        <v>254</v>
      </c>
      <c r="D194" s="2" t="s">
        <v>174</v>
      </c>
      <c r="E194" t="s">
        <v>836</v>
      </c>
    </row>
    <row r="195" spans="1:5">
      <c r="A195" s="2" t="s">
        <v>837</v>
      </c>
      <c r="B195" t="s">
        <v>838</v>
      </c>
      <c r="C195" t="s">
        <v>254</v>
      </c>
      <c r="D195" t="s">
        <v>174</v>
      </c>
      <c r="E195" t="s">
        <v>839</v>
      </c>
    </row>
    <row r="196" spans="1:5">
      <c r="A196" s="2" t="str">
        <f>B196&amp;C196</f>
        <v>AGH40R-PFXLK02</v>
      </c>
      <c r="B196" t="s">
        <v>838</v>
      </c>
      <c r="C196" s="632" t="s">
        <v>330</v>
      </c>
      <c r="D196" t="s">
        <v>174</v>
      </c>
      <c r="E196" t="s">
        <v>839</v>
      </c>
    </row>
    <row r="197" spans="1:5">
      <c r="A197" s="2" t="str">
        <f>B197&amp;C197</f>
        <v>AGH40R-PFXLK10</v>
      </c>
      <c r="B197" t="s">
        <v>838</v>
      </c>
      <c r="C197" s="632" t="s">
        <v>530</v>
      </c>
      <c r="D197" t="s">
        <v>174</v>
      </c>
      <c r="E197" t="s">
        <v>839</v>
      </c>
    </row>
    <row r="198" spans="1:5">
      <c r="A198" s="2" t="s">
        <v>840</v>
      </c>
      <c r="B198" t="s">
        <v>835</v>
      </c>
      <c r="C198" t="s">
        <v>298</v>
      </c>
      <c r="D198" t="s">
        <v>174</v>
      </c>
      <c r="E198" t="s">
        <v>836</v>
      </c>
    </row>
    <row r="199" spans="1:5">
      <c r="A199" s="2" t="s">
        <v>841</v>
      </c>
      <c r="B199" t="s">
        <v>838</v>
      </c>
      <c r="C199">
        <v>11</v>
      </c>
      <c r="D199" t="s">
        <v>174</v>
      </c>
      <c r="E199" t="s">
        <v>839</v>
      </c>
    </row>
    <row r="200" spans="1:5">
      <c r="A200" s="7" t="s">
        <v>842</v>
      </c>
      <c r="B200" t="s">
        <v>838</v>
      </c>
      <c r="C200">
        <v>71</v>
      </c>
      <c r="D200" t="s">
        <v>174</v>
      </c>
      <c r="E200" t="s">
        <v>839</v>
      </c>
    </row>
    <row r="201" spans="1:5">
      <c r="A201" s="2" t="s">
        <v>838</v>
      </c>
      <c r="B201" t="s">
        <v>843</v>
      </c>
      <c r="C201" t="s">
        <v>844</v>
      </c>
      <c r="D201" t="s">
        <v>174</v>
      </c>
      <c r="E201" t="s">
        <v>839</v>
      </c>
    </row>
    <row r="202" spans="1:5">
      <c r="A202" s="2" t="s">
        <v>845</v>
      </c>
      <c r="B202" t="s">
        <v>838</v>
      </c>
      <c r="C202">
        <v>70</v>
      </c>
      <c r="D202" t="s">
        <v>174</v>
      </c>
      <c r="E202" t="s">
        <v>839</v>
      </c>
    </row>
    <row r="203" spans="1:5">
      <c r="A203" s="2" t="s">
        <v>846</v>
      </c>
      <c r="B203" t="s">
        <v>838</v>
      </c>
      <c r="C203" t="s">
        <v>298</v>
      </c>
      <c r="D203" t="s">
        <v>174</v>
      </c>
      <c r="E203" t="s">
        <v>839</v>
      </c>
    </row>
    <row r="204" spans="1:5">
      <c r="A204" s="2" t="s">
        <v>847</v>
      </c>
      <c r="B204" t="s">
        <v>838</v>
      </c>
      <c r="C204" t="s">
        <v>573</v>
      </c>
      <c r="D204" t="s">
        <v>174</v>
      </c>
      <c r="E204" t="s">
        <v>848</v>
      </c>
    </row>
    <row r="205" spans="1:5">
      <c r="A205" s="2" t="s">
        <v>849</v>
      </c>
      <c r="B205" t="s">
        <v>838</v>
      </c>
      <c r="C205" t="s">
        <v>558</v>
      </c>
      <c r="D205" t="s">
        <v>174</v>
      </c>
      <c r="E205" t="s">
        <v>848</v>
      </c>
    </row>
    <row r="206" spans="1:5">
      <c r="A206" s="2" t="s">
        <v>850</v>
      </c>
      <c r="B206" t="s">
        <v>851</v>
      </c>
      <c r="C206" t="s">
        <v>254</v>
      </c>
      <c r="D206" t="s">
        <v>174</v>
      </c>
      <c r="E206" t="s">
        <v>852</v>
      </c>
    </row>
    <row r="207" spans="1:5">
      <c r="A207" s="2" t="s">
        <v>853</v>
      </c>
      <c r="B207" t="s">
        <v>851</v>
      </c>
      <c r="C207" t="s">
        <v>530</v>
      </c>
      <c r="D207" t="s">
        <v>174</v>
      </c>
      <c r="E207" t="s">
        <v>852</v>
      </c>
    </row>
    <row r="208" spans="1:5">
      <c r="A208" s="2" t="s">
        <v>854</v>
      </c>
      <c r="B208" t="s">
        <v>851</v>
      </c>
      <c r="C208" t="s">
        <v>534</v>
      </c>
      <c r="D208" t="s">
        <v>174</v>
      </c>
      <c r="E208" t="s">
        <v>852</v>
      </c>
    </row>
    <row r="209" spans="1:5">
      <c r="A209" s="2" t="s">
        <v>855</v>
      </c>
      <c r="B209" t="s">
        <v>851</v>
      </c>
      <c r="C209" t="s">
        <v>556</v>
      </c>
      <c r="D209" t="s">
        <v>174</v>
      </c>
      <c r="E209" t="s">
        <v>852</v>
      </c>
    </row>
    <row r="210" spans="1:5">
      <c r="A210" s="2" t="s">
        <v>856</v>
      </c>
      <c r="B210" t="s">
        <v>851</v>
      </c>
      <c r="C210" t="s">
        <v>590</v>
      </c>
      <c r="D210" t="s">
        <v>174</v>
      </c>
      <c r="E210" t="s">
        <v>852</v>
      </c>
    </row>
    <row r="211" spans="1:5">
      <c r="A211" s="2" t="s">
        <v>857</v>
      </c>
      <c r="B211" t="s">
        <v>851</v>
      </c>
      <c r="C211" t="s">
        <v>815</v>
      </c>
      <c r="D211" t="s">
        <v>174</v>
      </c>
      <c r="E211" t="s">
        <v>852</v>
      </c>
    </row>
    <row r="212" spans="1:5">
      <c r="A212" s="2" t="s">
        <v>858</v>
      </c>
      <c r="B212" t="s">
        <v>851</v>
      </c>
      <c r="C212" t="s">
        <v>817</v>
      </c>
      <c r="D212" t="s">
        <v>174</v>
      </c>
      <c r="E212" t="s">
        <v>852</v>
      </c>
    </row>
    <row r="213" spans="1:5">
      <c r="A213" s="2" t="s">
        <v>859</v>
      </c>
      <c r="B213" t="s">
        <v>851</v>
      </c>
      <c r="C213" t="s">
        <v>819</v>
      </c>
      <c r="D213" t="s">
        <v>174</v>
      </c>
      <c r="E213" t="s">
        <v>852</v>
      </c>
    </row>
    <row r="214" spans="1:5">
      <c r="A214" s="2" t="s">
        <v>860</v>
      </c>
      <c r="B214" t="s">
        <v>861</v>
      </c>
      <c r="C214" t="s">
        <v>254</v>
      </c>
      <c r="D214" t="s">
        <v>174</v>
      </c>
      <c r="E214" t="s">
        <v>862</v>
      </c>
    </row>
    <row r="215" spans="1:5">
      <c r="A215" s="2" t="s">
        <v>863</v>
      </c>
      <c r="B215" t="s">
        <v>861</v>
      </c>
      <c r="C215" t="s">
        <v>530</v>
      </c>
      <c r="D215" t="s">
        <v>174</v>
      </c>
      <c r="E215" t="s">
        <v>862</v>
      </c>
    </row>
    <row r="216" spans="1:5">
      <c r="A216" s="2" t="s">
        <v>864</v>
      </c>
      <c r="B216" t="s">
        <v>861</v>
      </c>
      <c r="C216" t="s">
        <v>534</v>
      </c>
      <c r="D216" t="s">
        <v>174</v>
      </c>
      <c r="E216" t="s">
        <v>862</v>
      </c>
    </row>
    <row r="217" spans="1:5">
      <c r="A217" s="2" t="s">
        <v>865</v>
      </c>
      <c r="B217" t="s">
        <v>861</v>
      </c>
      <c r="C217" t="s">
        <v>556</v>
      </c>
      <c r="D217" t="s">
        <v>174</v>
      </c>
      <c r="E217" t="s">
        <v>862</v>
      </c>
    </row>
    <row r="218" spans="1:5">
      <c r="A218" s="2" t="s">
        <v>866</v>
      </c>
      <c r="B218" t="s">
        <v>861</v>
      </c>
      <c r="C218" t="s">
        <v>590</v>
      </c>
      <c r="D218" t="s">
        <v>174</v>
      </c>
      <c r="E218" t="s">
        <v>862</v>
      </c>
    </row>
    <row r="219" spans="1:5">
      <c r="A219" s="2" t="s">
        <v>867</v>
      </c>
      <c r="B219" t="s">
        <v>861</v>
      </c>
      <c r="C219" t="s">
        <v>817</v>
      </c>
      <c r="D219" t="s">
        <v>174</v>
      </c>
      <c r="E219" t="s">
        <v>862</v>
      </c>
    </row>
    <row r="220" spans="1:5">
      <c r="A220" s="2" t="s">
        <v>868</v>
      </c>
      <c r="B220" t="s">
        <v>861</v>
      </c>
      <c r="C220" t="s">
        <v>815</v>
      </c>
      <c r="D220" t="s">
        <v>174</v>
      </c>
      <c r="E220" t="s">
        <v>862</v>
      </c>
    </row>
    <row r="221" spans="1:5">
      <c r="A221" s="2" t="s">
        <v>869</v>
      </c>
      <c r="B221" t="s">
        <v>861</v>
      </c>
      <c r="C221" t="s">
        <v>870</v>
      </c>
      <c r="D221" t="s">
        <v>174</v>
      </c>
      <c r="E221" t="s">
        <v>862</v>
      </c>
    </row>
    <row r="222" spans="1:5">
      <c r="A222" s="2" t="s">
        <v>871</v>
      </c>
      <c r="B222" t="s">
        <v>861</v>
      </c>
      <c r="C222" t="s">
        <v>872</v>
      </c>
      <c r="D222" t="s">
        <v>174</v>
      </c>
      <c r="E222" t="s">
        <v>862</v>
      </c>
    </row>
    <row r="223" spans="1:5">
      <c r="A223" s="2" t="s">
        <v>873</v>
      </c>
      <c r="B223" t="s">
        <v>861</v>
      </c>
      <c r="C223" t="s">
        <v>791</v>
      </c>
      <c r="D223" t="s">
        <v>174</v>
      </c>
      <c r="E223" t="s">
        <v>862</v>
      </c>
    </row>
    <row r="224" spans="1:5">
      <c r="A224" s="2" t="s">
        <v>874</v>
      </c>
      <c r="B224" t="s">
        <v>875</v>
      </c>
      <c r="C224" t="s">
        <v>254</v>
      </c>
      <c r="D224" t="s">
        <v>174</v>
      </c>
      <c r="E224" t="s">
        <v>862</v>
      </c>
    </row>
    <row r="225" spans="1:5">
      <c r="A225" s="2" t="s">
        <v>876</v>
      </c>
      <c r="B225" t="s">
        <v>877</v>
      </c>
      <c r="C225" t="s">
        <v>532</v>
      </c>
      <c r="D225" t="s">
        <v>180</v>
      </c>
      <c r="E225" t="s">
        <v>878</v>
      </c>
    </row>
    <row r="226" spans="1:5">
      <c r="A226" s="2" t="s">
        <v>879</v>
      </c>
      <c r="B226" t="s">
        <v>877</v>
      </c>
      <c r="C226" t="s">
        <v>880</v>
      </c>
      <c r="D226" t="s">
        <v>180</v>
      </c>
      <c r="E226" t="s">
        <v>878</v>
      </c>
    </row>
    <row r="227" spans="1:5">
      <c r="A227" s="2" t="s">
        <v>881</v>
      </c>
      <c r="B227" t="s">
        <v>877</v>
      </c>
      <c r="C227" t="s">
        <v>254</v>
      </c>
      <c r="D227" t="s">
        <v>180</v>
      </c>
      <c r="E227" t="s">
        <v>878</v>
      </c>
    </row>
    <row r="228" spans="1:5">
      <c r="A228" s="2" t="s">
        <v>882</v>
      </c>
      <c r="B228" t="s">
        <v>877</v>
      </c>
      <c r="C228" t="s">
        <v>883</v>
      </c>
      <c r="D228" t="s">
        <v>180</v>
      </c>
      <c r="E228" t="s">
        <v>878</v>
      </c>
    </row>
    <row r="229" spans="1:5">
      <c r="A229" s="2" t="s">
        <v>884</v>
      </c>
      <c r="B229" t="s">
        <v>877</v>
      </c>
      <c r="C229" t="s">
        <v>530</v>
      </c>
      <c r="D229" t="s">
        <v>180</v>
      </c>
      <c r="E229" t="s">
        <v>878</v>
      </c>
    </row>
    <row r="230" spans="1:5">
      <c r="A230" s="2" t="s">
        <v>885</v>
      </c>
      <c r="B230" t="s">
        <v>877</v>
      </c>
      <c r="C230" t="s">
        <v>886</v>
      </c>
      <c r="D230" t="s">
        <v>180</v>
      </c>
      <c r="E230" t="s">
        <v>878</v>
      </c>
    </row>
    <row r="231" spans="1:5">
      <c r="A231" s="2" t="s">
        <v>887</v>
      </c>
      <c r="B231" t="s">
        <v>877</v>
      </c>
      <c r="C231" t="s">
        <v>534</v>
      </c>
      <c r="D231" t="s">
        <v>180</v>
      </c>
      <c r="E231" t="s">
        <v>878</v>
      </c>
    </row>
    <row r="232" spans="1:5">
      <c r="A232" s="2" t="s">
        <v>888</v>
      </c>
      <c r="B232" t="s">
        <v>877</v>
      </c>
      <c r="C232" t="s">
        <v>889</v>
      </c>
      <c r="D232" t="s">
        <v>180</v>
      </c>
      <c r="E232" t="s">
        <v>878</v>
      </c>
    </row>
    <row r="233" spans="1:5">
      <c r="A233" s="2" t="s">
        <v>890</v>
      </c>
      <c r="B233" t="s">
        <v>891</v>
      </c>
      <c r="C233" t="s">
        <v>532</v>
      </c>
      <c r="D233" t="s">
        <v>180</v>
      </c>
      <c r="E233" t="s">
        <v>892</v>
      </c>
    </row>
    <row r="234" spans="1:5">
      <c r="A234" s="2" t="s">
        <v>893</v>
      </c>
      <c r="B234" t="s">
        <v>891</v>
      </c>
      <c r="C234" t="s">
        <v>880</v>
      </c>
      <c r="D234" t="s">
        <v>180</v>
      </c>
      <c r="E234" t="s">
        <v>892</v>
      </c>
    </row>
    <row r="235" spans="1:5">
      <c r="A235" s="2" t="s">
        <v>894</v>
      </c>
      <c r="B235" t="s">
        <v>891</v>
      </c>
      <c r="C235" t="s">
        <v>254</v>
      </c>
      <c r="D235" t="s">
        <v>180</v>
      </c>
      <c r="E235" t="s">
        <v>892</v>
      </c>
    </row>
    <row r="236" spans="1:5">
      <c r="A236" s="2" t="s">
        <v>895</v>
      </c>
      <c r="B236" t="s">
        <v>891</v>
      </c>
      <c r="C236" t="s">
        <v>883</v>
      </c>
      <c r="D236" t="s">
        <v>180</v>
      </c>
      <c r="E236" t="s">
        <v>892</v>
      </c>
    </row>
    <row r="237" spans="1:5">
      <c r="A237" s="2" t="s">
        <v>896</v>
      </c>
      <c r="B237" t="s">
        <v>891</v>
      </c>
      <c r="C237" t="s">
        <v>530</v>
      </c>
      <c r="D237" t="s">
        <v>180</v>
      </c>
      <c r="E237" t="s">
        <v>892</v>
      </c>
    </row>
    <row r="238" spans="1:5">
      <c r="A238" s="2" t="s">
        <v>897</v>
      </c>
      <c r="B238" t="s">
        <v>891</v>
      </c>
      <c r="C238" t="s">
        <v>886</v>
      </c>
      <c r="D238" t="s">
        <v>180</v>
      </c>
      <c r="E238" t="s">
        <v>892</v>
      </c>
    </row>
    <row r="239" spans="1:5">
      <c r="A239" s="2" t="s">
        <v>898</v>
      </c>
      <c r="B239" t="s">
        <v>891</v>
      </c>
      <c r="C239" t="s">
        <v>534</v>
      </c>
      <c r="D239" t="s">
        <v>180</v>
      </c>
      <c r="E239" t="s">
        <v>892</v>
      </c>
    </row>
    <row r="240" spans="1:5">
      <c r="A240" s="2" t="s">
        <v>899</v>
      </c>
      <c r="B240" t="s">
        <v>891</v>
      </c>
      <c r="C240" t="s">
        <v>889</v>
      </c>
      <c r="D240" t="s">
        <v>180</v>
      </c>
      <c r="E240" t="s">
        <v>892</v>
      </c>
    </row>
    <row r="241" spans="1:5">
      <c r="A241" s="2" t="s">
        <v>900</v>
      </c>
      <c r="B241" t="s">
        <v>901</v>
      </c>
      <c r="C241" t="s">
        <v>902</v>
      </c>
      <c r="D241" t="s">
        <v>180</v>
      </c>
      <c r="E241" t="s">
        <v>878</v>
      </c>
    </row>
    <row r="242" spans="1:5">
      <c r="A242" s="2" t="s">
        <v>903</v>
      </c>
      <c r="B242" t="s">
        <v>901</v>
      </c>
      <c r="C242" t="s">
        <v>298</v>
      </c>
      <c r="D242" t="s">
        <v>180</v>
      </c>
      <c r="E242" t="s">
        <v>878</v>
      </c>
    </row>
    <row r="243" spans="1:5">
      <c r="A243" s="2" t="s">
        <v>904</v>
      </c>
      <c r="B243" t="s">
        <v>901</v>
      </c>
      <c r="C243" t="s">
        <v>254</v>
      </c>
      <c r="D243" t="s">
        <v>180</v>
      </c>
      <c r="E243" t="s">
        <v>878</v>
      </c>
    </row>
    <row r="244" spans="1:5">
      <c r="A244" s="2" t="s">
        <v>905</v>
      </c>
      <c r="B244" t="s">
        <v>901</v>
      </c>
      <c r="C244" t="s">
        <v>883</v>
      </c>
      <c r="D244" t="s">
        <v>180</v>
      </c>
      <c r="E244" t="s">
        <v>878</v>
      </c>
    </row>
    <row r="245" spans="1:5">
      <c r="A245" s="2" t="s">
        <v>906</v>
      </c>
      <c r="B245" t="s">
        <v>901</v>
      </c>
      <c r="C245" t="s">
        <v>330</v>
      </c>
      <c r="D245" t="s">
        <v>180</v>
      </c>
      <c r="E245" t="s">
        <v>878</v>
      </c>
    </row>
    <row r="246" spans="1:5">
      <c r="A246" s="2" t="s">
        <v>907</v>
      </c>
      <c r="B246" t="s">
        <v>901</v>
      </c>
      <c r="C246" t="s">
        <v>527</v>
      </c>
      <c r="D246" t="s">
        <v>180</v>
      </c>
      <c r="E246" t="s">
        <v>878</v>
      </c>
    </row>
    <row r="247" spans="1:5">
      <c r="A247" s="2" t="s">
        <v>908</v>
      </c>
      <c r="B247" t="s">
        <v>901</v>
      </c>
      <c r="C247" t="s">
        <v>909</v>
      </c>
      <c r="D247" t="s">
        <v>180</v>
      </c>
      <c r="E247" t="s">
        <v>878</v>
      </c>
    </row>
    <row r="248" spans="1:5">
      <c r="A248" s="2" t="s">
        <v>910</v>
      </c>
      <c r="B248" t="s">
        <v>901</v>
      </c>
      <c r="C248" t="s">
        <v>911</v>
      </c>
      <c r="D248" t="s">
        <v>180</v>
      </c>
      <c r="E248" t="s">
        <v>878</v>
      </c>
    </row>
    <row r="249" spans="1:5">
      <c r="A249" s="2" t="s">
        <v>912</v>
      </c>
      <c r="B249" t="s">
        <v>913</v>
      </c>
      <c r="C249" t="s">
        <v>298</v>
      </c>
      <c r="D249" t="s">
        <v>180</v>
      </c>
      <c r="E249" t="s">
        <v>892</v>
      </c>
    </row>
    <row r="250" spans="1:5">
      <c r="A250" s="2" t="s">
        <v>914</v>
      </c>
      <c r="B250" t="s">
        <v>913</v>
      </c>
      <c r="C250" t="s">
        <v>902</v>
      </c>
      <c r="D250" t="s">
        <v>180</v>
      </c>
      <c r="E250" t="s">
        <v>892</v>
      </c>
    </row>
    <row r="251" spans="1:5">
      <c r="A251" s="2" t="s">
        <v>915</v>
      </c>
      <c r="B251" t="s">
        <v>913</v>
      </c>
      <c r="C251" t="s">
        <v>254</v>
      </c>
      <c r="D251" t="s">
        <v>180</v>
      </c>
      <c r="E251" t="s">
        <v>892</v>
      </c>
    </row>
    <row r="252" spans="1:5">
      <c r="A252" s="2" t="s">
        <v>916</v>
      </c>
      <c r="B252" t="s">
        <v>913</v>
      </c>
      <c r="C252" t="s">
        <v>883</v>
      </c>
      <c r="D252" t="s">
        <v>180</v>
      </c>
      <c r="E252" t="s">
        <v>892</v>
      </c>
    </row>
    <row r="253" spans="1:5">
      <c r="A253" s="2" t="s">
        <v>917</v>
      </c>
      <c r="B253" t="s">
        <v>913</v>
      </c>
      <c r="C253" t="s">
        <v>330</v>
      </c>
      <c r="D253" t="s">
        <v>180</v>
      </c>
      <c r="E253" t="s">
        <v>892</v>
      </c>
    </row>
    <row r="254" spans="1:5">
      <c r="A254" s="2" t="s">
        <v>918</v>
      </c>
      <c r="B254" t="s">
        <v>913</v>
      </c>
      <c r="C254" t="s">
        <v>911</v>
      </c>
      <c r="D254" t="s">
        <v>180</v>
      </c>
      <c r="E254" t="s">
        <v>892</v>
      </c>
    </row>
    <row r="255" spans="1:5">
      <c r="A255" s="2" t="s">
        <v>919</v>
      </c>
      <c r="B255" t="s">
        <v>913</v>
      </c>
      <c r="C255" t="s">
        <v>527</v>
      </c>
      <c r="D255" t="s">
        <v>180</v>
      </c>
      <c r="E255" t="s">
        <v>892</v>
      </c>
    </row>
    <row r="256" spans="1:5">
      <c r="A256" s="2" t="s">
        <v>920</v>
      </c>
      <c r="B256" t="s">
        <v>913</v>
      </c>
      <c r="C256" t="s">
        <v>909</v>
      </c>
      <c r="D256" t="s">
        <v>180</v>
      </c>
      <c r="E256" t="s">
        <v>892</v>
      </c>
    </row>
    <row r="257" spans="1:5">
      <c r="A257" s="2" t="s">
        <v>921</v>
      </c>
      <c r="B257" t="s">
        <v>922</v>
      </c>
      <c r="C257" t="s">
        <v>254</v>
      </c>
      <c r="D257" t="s">
        <v>923</v>
      </c>
      <c r="E257" t="s">
        <v>924</v>
      </c>
    </row>
    <row r="258" spans="1:5">
      <c r="A258" s="2" t="s">
        <v>925</v>
      </c>
      <c r="B258" t="s">
        <v>926</v>
      </c>
      <c r="C258" t="s">
        <v>532</v>
      </c>
      <c r="D258" t="s">
        <v>196</v>
      </c>
      <c r="E258" t="s">
        <v>927</v>
      </c>
    </row>
    <row r="259" spans="1:5">
      <c r="A259" s="2" t="s">
        <v>928</v>
      </c>
      <c r="B259" t="s">
        <v>926</v>
      </c>
      <c r="C259" t="s">
        <v>880</v>
      </c>
      <c r="D259" t="s">
        <v>196</v>
      </c>
      <c r="E259" t="s">
        <v>927</v>
      </c>
    </row>
    <row r="260" spans="1:5">
      <c r="A260" s="2" t="s">
        <v>929</v>
      </c>
      <c r="B260" t="s">
        <v>926</v>
      </c>
      <c r="C260" t="s">
        <v>254</v>
      </c>
      <c r="D260" t="s">
        <v>196</v>
      </c>
      <c r="E260" t="s">
        <v>927</v>
      </c>
    </row>
    <row r="261" spans="1:5">
      <c r="A261" s="2" t="s">
        <v>930</v>
      </c>
      <c r="B261" s="9" t="s">
        <v>926</v>
      </c>
      <c r="C261" s="9" t="s">
        <v>883</v>
      </c>
      <c r="D261" s="9" t="s">
        <v>196</v>
      </c>
      <c r="E261" s="9" t="s">
        <v>927</v>
      </c>
    </row>
    <row r="262" spans="1:5">
      <c r="A262" s="2" t="s">
        <v>931</v>
      </c>
      <c r="B262" s="10" t="s">
        <v>926</v>
      </c>
      <c r="C262" s="10" t="s">
        <v>530</v>
      </c>
      <c r="D262" s="10" t="s">
        <v>196</v>
      </c>
      <c r="E262" s="10" t="s">
        <v>927</v>
      </c>
    </row>
    <row r="263" spans="1:5">
      <c r="A263" s="2" t="s">
        <v>932</v>
      </c>
      <c r="B263" t="s">
        <v>926</v>
      </c>
      <c r="C263" t="s">
        <v>886</v>
      </c>
      <c r="D263" t="s">
        <v>196</v>
      </c>
      <c r="E263" t="s">
        <v>927</v>
      </c>
    </row>
    <row r="264" spans="1:5">
      <c r="A264" s="2" t="s">
        <v>933</v>
      </c>
      <c r="B264" t="s">
        <v>926</v>
      </c>
      <c r="C264" t="s">
        <v>534</v>
      </c>
      <c r="D264" t="s">
        <v>196</v>
      </c>
      <c r="E264" t="s">
        <v>927</v>
      </c>
    </row>
    <row r="265" spans="1:5">
      <c r="A265" s="2" t="s">
        <v>934</v>
      </c>
      <c r="B265" t="s">
        <v>926</v>
      </c>
      <c r="C265" t="s">
        <v>889</v>
      </c>
      <c r="D265" t="s">
        <v>196</v>
      </c>
      <c r="E265" t="s">
        <v>927</v>
      </c>
    </row>
    <row r="266" spans="1:5">
      <c r="A266" s="2" t="s">
        <v>935</v>
      </c>
      <c r="B266" t="s">
        <v>936</v>
      </c>
      <c r="C266" s="632" t="s">
        <v>254</v>
      </c>
      <c r="D266" t="s">
        <v>937</v>
      </c>
      <c r="E266" t="s">
        <v>938</v>
      </c>
    </row>
    <row r="267" spans="1:5">
      <c r="A267" s="2" t="s">
        <v>939</v>
      </c>
      <c r="B267" t="s">
        <v>940</v>
      </c>
      <c r="C267" t="s">
        <v>902</v>
      </c>
      <c r="D267" t="s">
        <v>180</v>
      </c>
      <c r="E267" t="s">
        <v>892</v>
      </c>
    </row>
    <row r="268" spans="1:5">
      <c r="A268" s="2" t="s">
        <v>941</v>
      </c>
      <c r="B268" t="s">
        <v>942</v>
      </c>
      <c r="C268" t="s">
        <v>254</v>
      </c>
      <c r="D268" t="s">
        <v>180</v>
      </c>
      <c r="E268" t="s">
        <v>892</v>
      </c>
    </row>
    <row r="269" spans="1:5">
      <c r="A269" s="2" t="s">
        <v>943</v>
      </c>
      <c r="B269" t="s">
        <v>942</v>
      </c>
      <c r="C269" t="s">
        <v>883</v>
      </c>
      <c r="D269" t="s">
        <v>180</v>
      </c>
      <c r="E269" t="s">
        <v>892</v>
      </c>
    </row>
    <row r="270" spans="1:5">
      <c r="A270" s="2" t="s">
        <v>944</v>
      </c>
      <c r="B270" t="s">
        <v>942</v>
      </c>
      <c r="C270" t="s">
        <v>298</v>
      </c>
      <c r="D270" t="s">
        <v>180</v>
      </c>
      <c r="E270" t="s">
        <v>892</v>
      </c>
    </row>
    <row r="271" spans="1:5">
      <c r="A271" s="2" t="s">
        <v>945</v>
      </c>
      <c r="B271" t="s">
        <v>942</v>
      </c>
      <c r="C271" t="s">
        <v>902</v>
      </c>
      <c r="D271" t="s">
        <v>180</v>
      </c>
      <c r="E271" t="s">
        <v>892</v>
      </c>
    </row>
    <row r="272" spans="1:5">
      <c r="A272" s="8" t="str">
        <f t="shared" ref="A272:A273" si="1">B272&amp;C272</f>
        <v>AXVH80R-JEXVBT00</v>
      </c>
      <c r="B272" s="8" t="s">
        <v>946</v>
      </c>
      <c r="C272" s="8" t="s">
        <v>254</v>
      </c>
      <c r="D272" t="s">
        <v>196</v>
      </c>
      <c r="E272" s="11" t="s">
        <v>947</v>
      </c>
    </row>
    <row r="273" spans="1:5">
      <c r="A273" s="8" t="str">
        <f t="shared" si="1"/>
        <v>AXVA80R-JEZVBT00</v>
      </c>
      <c r="B273" s="8" t="s">
        <v>948</v>
      </c>
      <c r="C273" s="8" t="s">
        <v>254</v>
      </c>
      <c r="D273" t="s">
        <v>196</v>
      </c>
      <c r="E273" s="11" t="s">
        <v>947</v>
      </c>
    </row>
    <row r="274" spans="1:5">
      <c r="A274" s="8" t="str">
        <f t="shared" ref="A274" si="2">B274&amp;C274</f>
        <v>AXVA80R-JEZVBT01</v>
      </c>
      <c r="B274" s="8" t="s">
        <v>948</v>
      </c>
      <c r="C274" s="636" t="s">
        <v>298</v>
      </c>
      <c r="D274" t="s">
        <v>196</v>
      </c>
      <c r="E274" s="11" t="s">
        <v>947</v>
      </c>
    </row>
    <row r="275" spans="1:5">
      <c r="A275" s="8" t="s">
        <v>949</v>
      </c>
      <c r="B275" s="8" t="s">
        <v>946</v>
      </c>
      <c r="C275" s="8" t="s">
        <v>298</v>
      </c>
      <c r="D275" t="s">
        <v>196</v>
      </c>
      <c r="E275" s="11" t="s">
        <v>947</v>
      </c>
    </row>
    <row r="276" spans="1:5">
      <c r="A276" s="2" t="s">
        <v>950</v>
      </c>
      <c r="B276" t="s">
        <v>951</v>
      </c>
      <c r="C276" t="s">
        <v>330</v>
      </c>
      <c r="D276" t="s">
        <v>196</v>
      </c>
      <c r="E276" t="s">
        <v>927</v>
      </c>
    </row>
    <row r="277" spans="1:5">
      <c r="A277" s="2" t="s">
        <v>952</v>
      </c>
      <c r="B277" t="s">
        <v>951</v>
      </c>
      <c r="C277" t="s">
        <v>911</v>
      </c>
      <c r="D277" t="s">
        <v>196</v>
      </c>
      <c r="E277" t="s">
        <v>927</v>
      </c>
    </row>
    <row r="278" spans="1:5">
      <c r="A278" s="2" t="s">
        <v>953</v>
      </c>
      <c r="B278" t="s">
        <v>951</v>
      </c>
      <c r="C278" t="s">
        <v>527</v>
      </c>
      <c r="D278" t="s">
        <v>196</v>
      </c>
      <c r="E278" t="s">
        <v>927</v>
      </c>
    </row>
    <row r="279" spans="1:5">
      <c r="A279" s="2" t="s">
        <v>954</v>
      </c>
      <c r="B279" t="s">
        <v>951</v>
      </c>
      <c r="C279" t="s">
        <v>909</v>
      </c>
      <c r="D279" t="s">
        <v>196</v>
      </c>
      <c r="E279" t="s">
        <v>927</v>
      </c>
    </row>
    <row r="280" spans="1:5">
      <c r="A280" s="2" t="s">
        <v>955</v>
      </c>
      <c r="B280" t="s">
        <v>951</v>
      </c>
      <c r="C280" t="s">
        <v>254</v>
      </c>
      <c r="D280" t="s">
        <v>196</v>
      </c>
      <c r="E280" t="s">
        <v>927</v>
      </c>
    </row>
    <row r="281" spans="1:5">
      <c r="A281" s="2" t="s">
        <v>956</v>
      </c>
      <c r="B281" t="s">
        <v>951</v>
      </c>
      <c r="C281" t="s">
        <v>902</v>
      </c>
      <c r="D281" t="s">
        <v>196</v>
      </c>
      <c r="E281" t="s">
        <v>927</v>
      </c>
    </row>
    <row r="282" spans="1:5">
      <c r="A282" s="2" t="s">
        <v>957</v>
      </c>
      <c r="B282" t="s">
        <v>951</v>
      </c>
      <c r="C282" t="s">
        <v>298</v>
      </c>
      <c r="D282" t="s">
        <v>196</v>
      </c>
      <c r="E282" t="s">
        <v>927</v>
      </c>
    </row>
    <row r="283" spans="1:5">
      <c r="A283" s="2" t="s">
        <v>958</v>
      </c>
      <c r="B283" t="s">
        <v>951</v>
      </c>
      <c r="C283" t="s">
        <v>883</v>
      </c>
      <c r="D283" t="s">
        <v>196</v>
      </c>
      <c r="E283" t="s">
        <v>927</v>
      </c>
    </row>
    <row r="284" spans="1:5">
      <c r="A284" s="2" t="s">
        <v>959</v>
      </c>
      <c r="B284" t="s">
        <v>960</v>
      </c>
      <c r="C284" t="s">
        <v>254</v>
      </c>
      <c r="D284" t="s">
        <v>196</v>
      </c>
      <c r="E284" t="s">
        <v>927</v>
      </c>
    </row>
    <row r="285" spans="1:5">
      <c r="A285" s="7" t="s">
        <v>961</v>
      </c>
      <c r="B285" t="s">
        <v>960</v>
      </c>
      <c r="C285">
        <v>11</v>
      </c>
      <c r="D285" t="s">
        <v>196</v>
      </c>
      <c r="E285" t="s">
        <v>927</v>
      </c>
    </row>
    <row r="286" spans="1:5">
      <c r="A286" s="2" t="s">
        <v>962</v>
      </c>
      <c r="B286" t="s">
        <v>960</v>
      </c>
      <c r="C286" t="s">
        <v>883</v>
      </c>
      <c r="D286" t="s">
        <v>196</v>
      </c>
      <c r="E286" t="s">
        <v>927</v>
      </c>
    </row>
    <row r="287" spans="1:5">
      <c r="A287" s="2" t="s">
        <v>963</v>
      </c>
      <c r="B287" t="s">
        <v>960</v>
      </c>
      <c r="C287" t="s">
        <v>298</v>
      </c>
      <c r="D287" t="s">
        <v>196</v>
      </c>
      <c r="E287" t="s">
        <v>927</v>
      </c>
    </row>
    <row r="288" spans="1:5">
      <c r="A288" s="2" t="s">
        <v>964</v>
      </c>
      <c r="B288" t="s">
        <v>960</v>
      </c>
      <c r="C288" t="s">
        <v>902</v>
      </c>
      <c r="D288" t="s">
        <v>196</v>
      </c>
      <c r="E288" t="s">
        <v>927</v>
      </c>
    </row>
    <row r="289" spans="1:5">
      <c r="A289" s="2" t="s">
        <v>965</v>
      </c>
      <c r="B289" t="s">
        <v>966</v>
      </c>
      <c r="C289" t="s">
        <v>556</v>
      </c>
      <c r="D289" t="s">
        <v>174</v>
      </c>
      <c r="E289" t="s">
        <v>967</v>
      </c>
    </row>
    <row r="290" spans="1:5">
      <c r="A290" s="2" t="s">
        <v>968</v>
      </c>
      <c r="B290" t="s">
        <v>966</v>
      </c>
      <c r="C290" t="s">
        <v>590</v>
      </c>
      <c r="D290" t="s">
        <v>174</v>
      </c>
      <c r="E290" t="s">
        <v>967</v>
      </c>
    </row>
    <row r="291" spans="1:5">
      <c r="A291" s="2" t="s">
        <v>969</v>
      </c>
      <c r="B291" s="12" t="s">
        <v>966</v>
      </c>
      <c r="C291" s="12" t="s">
        <v>530</v>
      </c>
      <c r="D291" s="12" t="s">
        <v>174</v>
      </c>
      <c r="E291" s="12" t="s">
        <v>967</v>
      </c>
    </row>
    <row r="292" spans="1:5">
      <c r="A292" s="2" t="s">
        <v>970</v>
      </c>
      <c r="B292" t="s">
        <v>966</v>
      </c>
      <c r="C292" t="s">
        <v>534</v>
      </c>
      <c r="D292" t="s">
        <v>174</v>
      </c>
      <c r="E292" t="s">
        <v>967</v>
      </c>
    </row>
    <row r="293" spans="1:5">
      <c r="A293" s="2" t="s">
        <v>971</v>
      </c>
      <c r="B293" t="s">
        <v>966</v>
      </c>
      <c r="C293" t="s">
        <v>254</v>
      </c>
      <c r="D293" t="s">
        <v>174</v>
      </c>
      <c r="E293" t="s">
        <v>967</v>
      </c>
    </row>
    <row r="294" spans="1:5">
      <c r="A294" s="2" t="s">
        <v>972</v>
      </c>
      <c r="B294" t="s">
        <v>966</v>
      </c>
      <c r="C294" t="s">
        <v>298</v>
      </c>
      <c r="D294" t="s">
        <v>174</v>
      </c>
      <c r="E294" t="s">
        <v>967</v>
      </c>
    </row>
    <row r="295" spans="1:5">
      <c r="A295" s="2" t="s">
        <v>973</v>
      </c>
      <c r="B295" t="s">
        <v>966</v>
      </c>
      <c r="C295" t="s">
        <v>974</v>
      </c>
      <c r="D295" t="s">
        <v>174</v>
      </c>
      <c r="E295" t="s">
        <v>967</v>
      </c>
    </row>
    <row r="296" spans="1:5">
      <c r="A296" s="2" t="s">
        <v>975</v>
      </c>
      <c r="B296" t="s">
        <v>966</v>
      </c>
      <c r="C296" t="s">
        <v>815</v>
      </c>
      <c r="D296" t="s">
        <v>174</v>
      </c>
      <c r="E296" t="s">
        <v>967</v>
      </c>
    </row>
    <row r="297" spans="1:5">
      <c r="A297" s="2" t="s">
        <v>976</v>
      </c>
      <c r="B297" t="s">
        <v>977</v>
      </c>
      <c r="C297" t="s">
        <v>254</v>
      </c>
      <c r="D297" t="s">
        <v>200</v>
      </c>
      <c r="E297" t="s">
        <v>978</v>
      </c>
    </row>
    <row r="298" spans="1:5">
      <c r="A298" s="2" t="s">
        <v>979</v>
      </c>
      <c r="B298" t="s">
        <v>980</v>
      </c>
      <c r="C298" t="s">
        <v>254</v>
      </c>
      <c r="D298" t="s">
        <v>386</v>
      </c>
      <c r="E298" t="s">
        <v>981</v>
      </c>
    </row>
    <row r="299" spans="1:5">
      <c r="A299" s="2" t="s">
        <v>982</v>
      </c>
      <c r="B299" t="s">
        <v>980</v>
      </c>
      <c r="C299" t="s">
        <v>298</v>
      </c>
      <c r="D299" t="s">
        <v>386</v>
      </c>
      <c r="E299" t="s">
        <v>981</v>
      </c>
    </row>
    <row r="300" spans="1:5">
      <c r="A300" s="2" t="s">
        <v>983</v>
      </c>
      <c r="B300" t="s">
        <v>980</v>
      </c>
      <c r="C300" t="s">
        <v>534</v>
      </c>
      <c r="D300" t="s">
        <v>386</v>
      </c>
      <c r="E300" t="s">
        <v>981</v>
      </c>
    </row>
    <row r="301" spans="1:5">
      <c r="A301" s="2" t="s">
        <v>984</v>
      </c>
      <c r="B301" t="s">
        <v>985</v>
      </c>
      <c r="C301" t="s">
        <v>254</v>
      </c>
      <c r="D301" t="s">
        <v>386</v>
      </c>
      <c r="E301" t="s">
        <v>986</v>
      </c>
    </row>
    <row r="302" spans="1:5">
      <c r="A302" s="2" t="s">
        <v>987</v>
      </c>
      <c r="B302" t="s">
        <v>985</v>
      </c>
      <c r="C302" t="s">
        <v>298</v>
      </c>
      <c r="D302" t="s">
        <v>386</v>
      </c>
      <c r="E302" t="s">
        <v>986</v>
      </c>
    </row>
    <row r="303" spans="1:5">
      <c r="A303" s="2" t="s">
        <v>988</v>
      </c>
      <c r="B303" t="s">
        <v>985</v>
      </c>
      <c r="C303" t="s">
        <v>330</v>
      </c>
      <c r="D303" t="s">
        <v>386</v>
      </c>
      <c r="E303" t="s">
        <v>986</v>
      </c>
    </row>
    <row r="304" spans="1:5">
      <c r="A304" s="2" t="s">
        <v>989</v>
      </c>
      <c r="B304" t="s">
        <v>985</v>
      </c>
      <c r="C304" t="s">
        <v>527</v>
      </c>
      <c r="D304" t="s">
        <v>386</v>
      </c>
      <c r="E304" t="s">
        <v>986</v>
      </c>
    </row>
    <row r="305" spans="1:5">
      <c r="A305" s="2" t="s">
        <v>990</v>
      </c>
      <c r="B305" t="s">
        <v>985</v>
      </c>
      <c r="C305" t="s">
        <v>532</v>
      </c>
      <c r="D305" t="s">
        <v>386</v>
      </c>
      <c r="E305" t="s">
        <v>986</v>
      </c>
    </row>
    <row r="306" spans="1:5">
      <c r="A306" s="2" t="s">
        <v>991</v>
      </c>
      <c r="B306" t="s">
        <v>985</v>
      </c>
      <c r="C306" t="s">
        <v>536</v>
      </c>
      <c r="D306" t="s">
        <v>386</v>
      </c>
      <c r="E306" t="s">
        <v>986</v>
      </c>
    </row>
    <row r="307" spans="1:5">
      <c r="A307" s="2" t="s">
        <v>992</v>
      </c>
      <c r="B307" t="s">
        <v>993</v>
      </c>
      <c r="C307" t="s">
        <v>254</v>
      </c>
      <c r="D307" t="s">
        <v>386</v>
      </c>
      <c r="E307" t="s">
        <v>981</v>
      </c>
    </row>
    <row r="308" spans="1:5">
      <c r="A308" s="2" t="s">
        <v>994</v>
      </c>
      <c r="B308" t="s">
        <v>993</v>
      </c>
      <c r="C308" t="s">
        <v>298</v>
      </c>
      <c r="D308" t="s">
        <v>386</v>
      </c>
      <c r="E308" t="s">
        <v>981</v>
      </c>
    </row>
    <row r="309" spans="1:5">
      <c r="A309" s="2" t="s">
        <v>995</v>
      </c>
      <c r="B309" s="5" t="s">
        <v>993</v>
      </c>
      <c r="C309" s="5" t="s">
        <v>530</v>
      </c>
      <c r="D309" s="5" t="s">
        <v>386</v>
      </c>
      <c r="E309" s="5" t="s">
        <v>996</v>
      </c>
    </row>
    <row r="310" spans="1:5">
      <c r="A310" s="2" t="s">
        <v>997</v>
      </c>
      <c r="B310" t="s">
        <v>998</v>
      </c>
      <c r="C310" t="s">
        <v>254</v>
      </c>
      <c r="D310" t="s">
        <v>386</v>
      </c>
      <c r="E310" t="s">
        <v>986</v>
      </c>
    </row>
    <row r="311" spans="1:5">
      <c r="A311" s="2" t="s">
        <v>999</v>
      </c>
      <c r="B311" t="s">
        <v>998</v>
      </c>
      <c r="C311" t="s">
        <v>298</v>
      </c>
      <c r="D311" t="s">
        <v>386</v>
      </c>
      <c r="E311" t="s">
        <v>986</v>
      </c>
    </row>
    <row r="312" spans="1:5">
      <c r="A312" s="2" t="s">
        <v>1000</v>
      </c>
      <c r="B312" t="s">
        <v>998</v>
      </c>
      <c r="C312" t="s">
        <v>530</v>
      </c>
      <c r="D312" t="s">
        <v>386</v>
      </c>
      <c r="E312" t="s">
        <v>986</v>
      </c>
    </row>
    <row r="313" spans="1:5">
      <c r="A313" s="2" t="s">
        <v>1001</v>
      </c>
      <c r="B313" t="s">
        <v>998</v>
      </c>
      <c r="C313" t="s">
        <v>1002</v>
      </c>
      <c r="D313" t="s">
        <v>386</v>
      </c>
      <c r="E313" t="s">
        <v>717</v>
      </c>
    </row>
    <row r="314" spans="1:5">
      <c r="A314" s="2" t="s">
        <v>1000</v>
      </c>
      <c r="B314" t="s">
        <v>998</v>
      </c>
      <c r="C314" t="s">
        <v>530</v>
      </c>
      <c r="D314" t="s">
        <v>386</v>
      </c>
      <c r="E314" t="s">
        <v>986</v>
      </c>
    </row>
    <row r="315" spans="1:5">
      <c r="A315" s="2" t="s">
        <v>1003</v>
      </c>
      <c r="B315" t="s">
        <v>1004</v>
      </c>
      <c r="C315" t="s">
        <v>254</v>
      </c>
      <c r="D315" t="s">
        <v>386</v>
      </c>
      <c r="E315" t="s">
        <v>1005</v>
      </c>
    </row>
    <row r="316" spans="1:5">
      <c r="A316" s="2" t="s">
        <v>1006</v>
      </c>
      <c r="B316" t="s">
        <v>1004</v>
      </c>
      <c r="C316" t="s">
        <v>298</v>
      </c>
      <c r="D316" t="s">
        <v>386</v>
      </c>
      <c r="E316" t="s">
        <v>1005</v>
      </c>
    </row>
    <row r="317" spans="1:5">
      <c r="A317" s="2" t="s">
        <v>1007</v>
      </c>
      <c r="B317" t="s">
        <v>1004</v>
      </c>
      <c r="C317" t="s">
        <v>534</v>
      </c>
      <c r="D317" t="s">
        <v>386</v>
      </c>
      <c r="E317" t="s">
        <v>1005</v>
      </c>
    </row>
    <row r="318" spans="1:5">
      <c r="A318" s="2" t="s">
        <v>1008</v>
      </c>
      <c r="B318" t="s">
        <v>1009</v>
      </c>
      <c r="C318" t="s">
        <v>254</v>
      </c>
      <c r="D318" t="s">
        <v>386</v>
      </c>
      <c r="E318" t="s">
        <v>1010</v>
      </c>
    </row>
    <row r="319" spans="1:5">
      <c r="A319" s="2" t="s">
        <v>1011</v>
      </c>
      <c r="B319" t="s">
        <v>1009</v>
      </c>
      <c r="C319" t="s">
        <v>298</v>
      </c>
      <c r="D319" t="s">
        <v>386</v>
      </c>
      <c r="E319" t="s">
        <v>1010</v>
      </c>
    </row>
    <row r="320" spans="1:5">
      <c r="A320" s="2" t="s">
        <v>1012</v>
      </c>
      <c r="B320" t="s">
        <v>1009</v>
      </c>
      <c r="C320" t="s">
        <v>330</v>
      </c>
      <c r="D320" t="s">
        <v>386</v>
      </c>
      <c r="E320" t="s">
        <v>1010</v>
      </c>
    </row>
    <row r="321" spans="1:5">
      <c r="A321" s="2" t="s">
        <v>1013</v>
      </c>
      <c r="B321" t="s">
        <v>1009</v>
      </c>
      <c r="C321" t="s">
        <v>527</v>
      </c>
      <c r="D321" t="s">
        <v>386</v>
      </c>
      <c r="E321" t="s">
        <v>1010</v>
      </c>
    </row>
    <row r="322" spans="1:5">
      <c r="A322" s="2" t="s">
        <v>1014</v>
      </c>
      <c r="B322" s="5" t="s">
        <v>1009</v>
      </c>
      <c r="C322" s="5" t="s">
        <v>532</v>
      </c>
      <c r="D322" s="5" t="s">
        <v>386</v>
      </c>
      <c r="E322" s="5" t="s">
        <v>1010</v>
      </c>
    </row>
    <row r="323" spans="1:5">
      <c r="A323" s="2" t="s">
        <v>1015</v>
      </c>
      <c r="B323" t="s">
        <v>1009</v>
      </c>
      <c r="C323" t="s">
        <v>536</v>
      </c>
      <c r="D323" t="s">
        <v>386</v>
      </c>
      <c r="E323" t="s">
        <v>1010</v>
      </c>
    </row>
    <row r="324" spans="1:5">
      <c r="A324" s="2" t="s">
        <v>1016</v>
      </c>
      <c r="B324" t="s">
        <v>1017</v>
      </c>
      <c r="C324" t="s">
        <v>254</v>
      </c>
      <c r="D324" t="s">
        <v>386</v>
      </c>
      <c r="E324" t="s">
        <v>1010</v>
      </c>
    </row>
    <row r="325" spans="1:5">
      <c r="A325" s="2" t="s">
        <v>1018</v>
      </c>
      <c r="B325" t="s">
        <v>1017</v>
      </c>
      <c r="C325" t="s">
        <v>298</v>
      </c>
      <c r="D325" t="s">
        <v>386</v>
      </c>
      <c r="E325" t="s">
        <v>1010</v>
      </c>
    </row>
    <row r="326" spans="1:5">
      <c r="A326" s="2" t="s">
        <v>1019</v>
      </c>
      <c r="B326" t="s">
        <v>1017</v>
      </c>
      <c r="C326" t="s">
        <v>530</v>
      </c>
      <c r="D326" t="s">
        <v>386</v>
      </c>
      <c r="E326" t="s">
        <v>1010</v>
      </c>
    </row>
    <row r="327" spans="1:5">
      <c r="A327" s="2" t="s">
        <v>1019</v>
      </c>
      <c r="B327" t="s">
        <v>1017</v>
      </c>
      <c r="C327" t="s">
        <v>530</v>
      </c>
      <c r="D327" t="s">
        <v>386</v>
      </c>
      <c r="E327" t="s">
        <v>1010</v>
      </c>
    </row>
    <row r="328" spans="1:5">
      <c r="A328" s="2" t="s">
        <v>1020</v>
      </c>
      <c r="B328" t="s">
        <v>316</v>
      </c>
      <c r="C328" t="s">
        <v>254</v>
      </c>
      <c r="D328" t="s">
        <v>386</v>
      </c>
      <c r="E328" t="s">
        <v>713</v>
      </c>
    </row>
    <row r="329" spans="1:5">
      <c r="A329" s="2" t="s">
        <v>1021</v>
      </c>
      <c r="B329" t="s">
        <v>316</v>
      </c>
      <c r="C329" t="s">
        <v>298</v>
      </c>
      <c r="D329" t="s">
        <v>386</v>
      </c>
      <c r="E329" t="s">
        <v>713</v>
      </c>
    </row>
    <row r="330" spans="1:5">
      <c r="A330" s="2" t="s">
        <v>1022</v>
      </c>
      <c r="B330" t="s">
        <v>316</v>
      </c>
      <c r="C330" t="s">
        <v>527</v>
      </c>
      <c r="D330" t="s">
        <v>386</v>
      </c>
      <c r="E330" t="s">
        <v>713</v>
      </c>
    </row>
    <row r="331" spans="1:5">
      <c r="A331" s="2" t="s">
        <v>1023</v>
      </c>
      <c r="B331" t="s">
        <v>316</v>
      </c>
      <c r="C331" t="s">
        <v>330</v>
      </c>
      <c r="D331" t="s">
        <v>386</v>
      </c>
      <c r="E331" t="s">
        <v>1024</v>
      </c>
    </row>
    <row r="332" spans="1:5">
      <c r="A332" s="2" t="s">
        <v>1025</v>
      </c>
      <c r="B332" t="s">
        <v>316</v>
      </c>
      <c r="C332" t="s">
        <v>1026</v>
      </c>
      <c r="D332" t="s">
        <v>386</v>
      </c>
      <c r="E332" t="s">
        <v>1024</v>
      </c>
    </row>
    <row r="333" spans="1:5">
      <c r="A333" s="2" t="s">
        <v>1027</v>
      </c>
      <c r="B333" t="s">
        <v>316</v>
      </c>
      <c r="C333" t="s">
        <v>530</v>
      </c>
      <c r="D333" t="s">
        <v>386</v>
      </c>
      <c r="E333" t="s">
        <v>1024</v>
      </c>
    </row>
    <row r="334" spans="1:5">
      <c r="A334" s="2" t="s">
        <v>1028</v>
      </c>
      <c r="B334" s="3" t="s">
        <v>316</v>
      </c>
      <c r="C334" s="3" t="s">
        <v>534</v>
      </c>
      <c r="D334" s="3" t="s">
        <v>386</v>
      </c>
      <c r="E334" s="3" t="s">
        <v>717</v>
      </c>
    </row>
    <row r="335" spans="1:5">
      <c r="A335" s="2" t="s">
        <v>1029</v>
      </c>
      <c r="B335" s="5" t="s">
        <v>316</v>
      </c>
      <c r="C335" s="5" t="s">
        <v>1030</v>
      </c>
      <c r="D335" s="5" t="s">
        <v>386</v>
      </c>
      <c r="E335" s="5" t="s">
        <v>717</v>
      </c>
    </row>
    <row r="336" spans="1:5">
      <c r="A336" s="2" t="s">
        <v>1031</v>
      </c>
      <c r="B336" s="5" t="s">
        <v>316</v>
      </c>
      <c r="C336" s="5" t="s">
        <v>1032</v>
      </c>
      <c r="D336" s="5" t="s">
        <v>386</v>
      </c>
      <c r="E336" s="5" t="s">
        <v>1024</v>
      </c>
    </row>
    <row r="337" spans="1:5">
      <c r="A337" s="2" t="s">
        <v>1033</v>
      </c>
      <c r="B337" t="s">
        <v>316</v>
      </c>
      <c r="C337" t="s">
        <v>590</v>
      </c>
      <c r="D337" t="s">
        <v>386</v>
      </c>
      <c r="E337" t="s">
        <v>717</v>
      </c>
    </row>
    <row r="338" spans="1:5">
      <c r="A338" s="2" t="s">
        <v>1034</v>
      </c>
      <c r="B338" t="s">
        <v>316</v>
      </c>
      <c r="C338" t="s">
        <v>817</v>
      </c>
      <c r="D338" t="s">
        <v>386</v>
      </c>
      <c r="E338" t="s">
        <v>717</v>
      </c>
    </row>
    <row r="339" spans="1:5">
      <c r="A339" s="2" t="s">
        <v>1035</v>
      </c>
      <c r="B339" t="s">
        <v>316</v>
      </c>
      <c r="C339" t="s">
        <v>872</v>
      </c>
      <c r="D339" t="s">
        <v>386</v>
      </c>
      <c r="E339" t="s">
        <v>717</v>
      </c>
    </row>
    <row r="340" spans="1:5">
      <c r="A340" s="2" t="s">
        <v>1027</v>
      </c>
      <c r="B340" t="s">
        <v>316</v>
      </c>
      <c r="C340" t="s">
        <v>530</v>
      </c>
      <c r="D340" t="s">
        <v>386</v>
      </c>
      <c r="E340" t="s">
        <v>1024</v>
      </c>
    </row>
    <row r="341" spans="1:5">
      <c r="A341" s="2" t="s">
        <v>1028</v>
      </c>
      <c r="B341" t="s">
        <v>316</v>
      </c>
      <c r="C341" t="s">
        <v>534</v>
      </c>
      <c r="D341" t="s">
        <v>386</v>
      </c>
      <c r="E341" t="s">
        <v>713</v>
      </c>
    </row>
    <row r="342" spans="1:5">
      <c r="A342" s="2" t="s">
        <v>1036</v>
      </c>
      <c r="B342" t="s">
        <v>1037</v>
      </c>
      <c r="C342" t="s">
        <v>254</v>
      </c>
      <c r="D342" t="s">
        <v>386</v>
      </c>
      <c r="E342" t="s">
        <v>1038</v>
      </c>
    </row>
    <row r="343" spans="1:5">
      <c r="A343" s="2" t="s">
        <v>1039</v>
      </c>
      <c r="B343" t="s">
        <v>1037</v>
      </c>
      <c r="C343" t="s">
        <v>298</v>
      </c>
      <c r="D343" t="s">
        <v>386</v>
      </c>
      <c r="E343" t="s">
        <v>1038</v>
      </c>
    </row>
    <row r="344" spans="1:5">
      <c r="A344" s="2" t="s">
        <v>1040</v>
      </c>
      <c r="B344" t="s">
        <v>1037</v>
      </c>
      <c r="C344" t="s">
        <v>330</v>
      </c>
      <c r="D344" t="s">
        <v>386</v>
      </c>
      <c r="E344" t="s">
        <v>1041</v>
      </c>
    </row>
    <row r="345" spans="1:5">
      <c r="A345" s="2" t="s">
        <v>1042</v>
      </c>
      <c r="B345" t="s">
        <v>1037</v>
      </c>
      <c r="C345" t="s">
        <v>527</v>
      </c>
      <c r="D345" t="s">
        <v>386</v>
      </c>
      <c r="E345" t="s">
        <v>1038</v>
      </c>
    </row>
    <row r="346" spans="1:5">
      <c r="A346" s="2" t="s">
        <v>1043</v>
      </c>
      <c r="B346" t="s">
        <v>1037</v>
      </c>
      <c r="C346" t="s">
        <v>1026</v>
      </c>
      <c r="D346" t="s">
        <v>386</v>
      </c>
      <c r="E346" t="s">
        <v>1041</v>
      </c>
    </row>
    <row r="347" spans="1:5">
      <c r="A347" s="2" t="s">
        <v>1044</v>
      </c>
      <c r="B347" t="s">
        <v>1037</v>
      </c>
      <c r="C347" t="s">
        <v>530</v>
      </c>
      <c r="D347" t="s">
        <v>386</v>
      </c>
      <c r="E347" t="s">
        <v>1041</v>
      </c>
    </row>
    <row r="348" spans="1:5">
      <c r="A348" s="2" t="s">
        <v>1045</v>
      </c>
      <c r="B348" s="3" t="s">
        <v>1037</v>
      </c>
      <c r="C348" s="3" t="s">
        <v>534</v>
      </c>
      <c r="D348" s="3" t="s">
        <v>386</v>
      </c>
      <c r="E348" s="3" t="s">
        <v>688</v>
      </c>
    </row>
    <row r="349" spans="1:5">
      <c r="A349" s="2" t="s">
        <v>1046</v>
      </c>
      <c r="B349" s="5" t="s">
        <v>1037</v>
      </c>
      <c r="C349" s="5" t="s">
        <v>1030</v>
      </c>
      <c r="D349" s="5" t="s">
        <v>386</v>
      </c>
      <c r="E349" s="5" t="s">
        <v>688</v>
      </c>
    </row>
    <row r="350" spans="1:5">
      <c r="A350" s="2" t="s">
        <v>1047</v>
      </c>
      <c r="B350" s="5" t="s">
        <v>1037</v>
      </c>
      <c r="C350" s="5" t="s">
        <v>1032</v>
      </c>
      <c r="D350" s="5" t="s">
        <v>386</v>
      </c>
      <c r="E350" s="5" t="s">
        <v>1041</v>
      </c>
    </row>
    <row r="351" spans="1:5">
      <c r="A351" s="2" t="s">
        <v>1048</v>
      </c>
      <c r="B351" t="s">
        <v>1037</v>
      </c>
      <c r="C351" t="s">
        <v>590</v>
      </c>
      <c r="D351" t="s">
        <v>386</v>
      </c>
      <c r="E351" t="s">
        <v>688</v>
      </c>
    </row>
    <row r="352" spans="1:5">
      <c r="A352" s="2" t="s">
        <v>1049</v>
      </c>
      <c r="B352" t="s">
        <v>1037</v>
      </c>
      <c r="C352" t="s">
        <v>817</v>
      </c>
      <c r="D352" t="s">
        <v>386</v>
      </c>
      <c r="E352" t="s">
        <v>688</v>
      </c>
    </row>
    <row r="353" spans="1:5">
      <c r="A353" s="2" t="s">
        <v>1050</v>
      </c>
      <c r="B353" t="s">
        <v>1037</v>
      </c>
      <c r="C353" t="s">
        <v>872</v>
      </c>
      <c r="D353" t="s">
        <v>386</v>
      </c>
      <c r="E353" t="s">
        <v>688</v>
      </c>
    </row>
    <row r="354" spans="1:5">
      <c r="A354" s="2" t="s">
        <v>1044</v>
      </c>
      <c r="B354" t="s">
        <v>1037</v>
      </c>
      <c r="C354" t="s">
        <v>530</v>
      </c>
      <c r="D354" t="s">
        <v>386</v>
      </c>
      <c r="E354" t="s">
        <v>1041</v>
      </c>
    </row>
    <row r="355" spans="1:5">
      <c r="A355" s="2" t="s">
        <v>1045</v>
      </c>
      <c r="B355" t="s">
        <v>1037</v>
      </c>
      <c r="C355" t="s">
        <v>534</v>
      </c>
      <c r="D355" t="s">
        <v>386</v>
      </c>
      <c r="E355" t="s">
        <v>1038</v>
      </c>
    </row>
    <row r="356" spans="1:5">
      <c r="A356" s="2" t="s">
        <v>1051</v>
      </c>
      <c r="B356" t="s">
        <v>1052</v>
      </c>
      <c r="C356" t="s">
        <v>298</v>
      </c>
      <c r="D356" t="s">
        <v>387</v>
      </c>
      <c r="E356" t="s">
        <v>1053</v>
      </c>
    </row>
    <row r="357" spans="1:5">
      <c r="A357" s="2" t="str">
        <f>B357&amp;C357</f>
        <v>B401RA-GMQFJEB</v>
      </c>
      <c r="B357" t="s">
        <v>1052</v>
      </c>
      <c r="C357" t="s">
        <v>579</v>
      </c>
      <c r="D357" t="s">
        <v>387</v>
      </c>
      <c r="E357" t="s">
        <v>1053</v>
      </c>
    </row>
    <row r="358" spans="1:5">
      <c r="A358" s="2" t="s">
        <v>1054</v>
      </c>
      <c r="B358" t="s">
        <v>1052</v>
      </c>
      <c r="C358" t="s">
        <v>254</v>
      </c>
      <c r="D358" t="s">
        <v>387</v>
      </c>
      <c r="E358" t="s">
        <v>1055</v>
      </c>
    </row>
    <row r="359" spans="1:5">
      <c r="A359" s="2" t="s">
        <v>1056</v>
      </c>
      <c r="B359" t="s">
        <v>1052</v>
      </c>
      <c r="C359" t="s">
        <v>527</v>
      </c>
      <c r="D359" t="s">
        <v>387</v>
      </c>
      <c r="E359" t="s">
        <v>1053</v>
      </c>
    </row>
    <row r="360" spans="1:5">
      <c r="A360" s="2" t="s">
        <v>1057</v>
      </c>
      <c r="B360" t="s">
        <v>1052</v>
      </c>
      <c r="C360" t="s">
        <v>330</v>
      </c>
      <c r="D360" t="s">
        <v>387</v>
      </c>
      <c r="E360" t="s">
        <v>1055</v>
      </c>
    </row>
    <row r="361" spans="1:5">
      <c r="A361" s="2" t="s">
        <v>1058</v>
      </c>
      <c r="B361" t="s">
        <v>1052</v>
      </c>
      <c r="C361" t="s">
        <v>534</v>
      </c>
      <c r="D361" t="s">
        <v>387</v>
      </c>
      <c r="E361" t="s">
        <v>1053</v>
      </c>
    </row>
    <row r="362" spans="1:5">
      <c r="A362" s="2" t="s">
        <v>1059</v>
      </c>
      <c r="B362" t="s">
        <v>1052</v>
      </c>
      <c r="C362" t="s">
        <v>530</v>
      </c>
      <c r="D362" t="s">
        <v>387</v>
      </c>
      <c r="E362" t="s">
        <v>1055</v>
      </c>
    </row>
    <row r="363" spans="1:5">
      <c r="A363" s="2" t="s">
        <v>1060</v>
      </c>
      <c r="B363" s="9" t="s">
        <v>1052</v>
      </c>
      <c r="C363" s="9" t="s">
        <v>1002</v>
      </c>
      <c r="D363" s="9" t="s">
        <v>387</v>
      </c>
      <c r="E363" s="9" t="s">
        <v>1053</v>
      </c>
    </row>
    <row r="364" spans="1:5">
      <c r="A364" s="2" t="s">
        <v>1061</v>
      </c>
      <c r="B364" s="5" t="s">
        <v>1052</v>
      </c>
      <c r="C364" s="5" t="s">
        <v>974</v>
      </c>
      <c r="D364" s="5" t="s">
        <v>387</v>
      </c>
      <c r="E364" s="5" t="s">
        <v>1055</v>
      </c>
    </row>
    <row r="365" spans="1:5">
      <c r="A365" s="2" t="s">
        <v>1062</v>
      </c>
      <c r="B365" t="s">
        <v>1052</v>
      </c>
      <c r="C365" t="s">
        <v>1063</v>
      </c>
      <c r="D365" t="s">
        <v>387</v>
      </c>
      <c r="E365" t="s">
        <v>1055</v>
      </c>
    </row>
    <row r="366" spans="1:5">
      <c r="A366" s="2" t="s">
        <v>1064</v>
      </c>
      <c r="B366" t="s">
        <v>1052</v>
      </c>
      <c r="C366" t="s">
        <v>1065</v>
      </c>
      <c r="D366" t="s">
        <v>387</v>
      </c>
      <c r="E366" t="s">
        <v>1053</v>
      </c>
    </row>
    <row r="367" spans="1:5">
      <c r="A367" s="2" t="s">
        <v>1066</v>
      </c>
      <c r="B367" t="s">
        <v>1052</v>
      </c>
      <c r="C367" t="s">
        <v>556</v>
      </c>
      <c r="D367" t="s">
        <v>387</v>
      </c>
      <c r="E367" t="s">
        <v>1055</v>
      </c>
    </row>
    <row r="368" spans="1:5">
      <c r="A368" s="2" t="s">
        <v>1067</v>
      </c>
      <c r="B368" t="s">
        <v>1052</v>
      </c>
      <c r="C368" t="s">
        <v>590</v>
      </c>
      <c r="D368" t="s">
        <v>387</v>
      </c>
      <c r="E368" t="s">
        <v>1053</v>
      </c>
    </row>
    <row r="369" spans="1:5">
      <c r="A369" s="2" t="s">
        <v>1068</v>
      </c>
      <c r="B369" t="s">
        <v>1052</v>
      </c>
      <c r="C369" t="s">
        <v>326</v>
      </c>
      <c r="D369" t="s">
        <v>387</v>
      </c>
      <c r="E369" t="s">
        <v>1069</v>
      </c>
    </row>
    <row r="370" spans="1:5">
      <c r="A370" s="2" t="s">
        <v>1070</v>
      </c>
      <c r="B370" t="s">
        <v>285</v>
      </c>
      <c r="C370" t="s">
        <v>330</v>
      </c>
      <c r="D370" t="s">
        <v>387</v>
      </c>
      <c r="E370" t="s">
        <v>1071</v>
      </c>
    </row>
    <row r="371" spans="1:5">
      <c r="A371" s="2" t="s">
        <v>1072</v>
      </c>
      <c r="B371" t="s">
        <v>285</v>
      </c>
      <c r="C371" t="s">
        <v>530</v>
      </c>
      <c r="D371" t="s">
        <v>387</v>
      </c>
      <c r="E371" t="s">
        <v>1071</v>
      </c>
    </row>
    <row r="372" spans="1:5">
      <c r="A372" s="2" t="s">
        <v>1073</v>
      </c>
      <c r="B372" t="s">
        <v>285</v>
      </c>
      <c r="C372" t="s">
        <v>532</v>
      </c>
      <c r="D372" t="s">
        <v>387</v>
      </c>
      <c r="E372" t="s">
        <v>1071</v>
      </c>
    </row>
    <row r="373" spans="1:5">
      <c r="A373" s="2" t="s">
        <v>1074</v>
      </c>
      <c r="B373" t="s">
        <v>285</v>
      </c>
      <c r="C373" t="s">
        <v>974</v>
      </c>
      <c r="D373" t="s">
        <v>387</v>
      </c>
      <c r="E373" t="s">
        <v>1071</v>
      </c>
    </row>
    <row r="374" spans="1:5">
      <c r="A374" s="2" t="s">
        <v>1075</v>
      </c>
      <c r="B374" s="13" t="s">
        <v>285</v>
      </c>
      <c r="C374" s="13" t="s">
        <v>1063</v>
      </c>
      <c r="D374" s="13" t="s">
        <v>387</v>
      </c>
      <c r="E374" s="13" t="s">
        <v>1071</v>
      </c>
    </row>
    <row r="375" spans="1:5">
      <c r="A375" s="2" t="s">
        <v>1076</v>
      </c>
      <c r="B375" s="13" t="s">
        <v>285</v>
      </c>
      <c r="C375" s="13" t="s">
        <v>638</v>
      </c>
      <c r="D375" s="13" t="s">
        <v>387</v>
      </c>
      <c r="E375" s="13" t="s">
        <v>1071</v>
      </c>
    </row>
    <row r="376" spans="1:5">
      <c r="A376" s="2" t="s">
        <v>1077</v>
      </c>
      <c r="B376" s="13" t="s">
        <v>285</v>
      </c>
      <c r="C376" s="13" t="s">
        <v>606</v>
      </c>
      <c r="D376" s="13" t="s">
        <v>387</v>
      </c>
      <c r="E376" s="13" t="s">
        <v>1071</v>
      </c>
    </row>
    <row r="377" spans="1:5">
      <c r="A377" s="2" t="s">
        <v>1078</v>
      </c>
      <c r="B377" s="13" t="s">
        <v>285</v>
      </c>
      <c r="C377" s="13" t="s">
        <v>254</v>
      </c>
      <c r="D377" s="13" t="s">
        <v>387</v>
      </c>
      <c r="E377" s="13" t="s">
        <v>1071</v>
      </c>
    </row>
    <row r="378" spans="1:5">
      <c r="A378" s="2" t="s">
        <v>1079</v>
      </c>
      <c r="B378" t="s">
        <v>285</v>
      </c>
      <c r="C378" t="s">
        <v>556</v>
      </c>
      <c r="D378" t="s">
        <v>387</v>
      </c>
      <c r="E378" t="s">
        <v>1071</v>
      </c>
    </row>
    <row r="379" spans="1:5">
      <c r="A379" s="2" t="s">
        <v>1080</v>
      </c>
      <c r="B379" t="s">
        <v>285</v>
      </c>
      <c r="C379" t="s">
        <v>558</v>
      </c>
      <c r="D379" t="s">
        <v>387</v>
      </c>
      <c r="E379" t="s">
        <v>1071</v>
      </c>
    </row>
    <row r="380" spans="1:5">
      <c r="A380" s="2" t="s">
        <v>1081</v>
      </c>
      <c r="B380" t="s">
        <v>285</v>
      </c>
      <c r="C380" t="s">
        <v>548</v>
      </c>
      <c r="D380" t="s">
        <v>387</v>
      </c>
      <c r="E380" t="s">
        <v>1071</v>
      </c>
    </row>
    <row r="381" spans="1:5">
      <c r="A381" s="2" t="s">
        <v>1082</v>
      </c>
      <c r="B381" t="s">
        <v>285</v>
      </c>
      <c r="C381" t="s">
        <v>538</v>
      </c>
      <c r="D381" t="s">
        <v>387</v>
      </c>
      <c r="E381" t="s">
        <v>1071</v>
      </c>
    </row>
    <row r="382" spans="1:5">
      <c r="A382" s="2" t="s">
        <v>1083</v>
      </c>
      <c r="B382" t="s">
        <v>285</v>
      </c>
      <c r="C382" t="s">
        <v>562</v>
      </c>
      <c r="D382" t="s">
        <v>387</v>
      </c>
      <c r="E382" t="s">
        <v>1071</v>
      </c>
    </row>
    <row r="383" spans="1:5">
      <c r="A383" s="2" t="s">
        <v>1084</v>
      </c>
      <c r="B383" t="s">
        <v>1085</v>
      </c>
      <c r="C383" t="s">
        <v>254</v>
      </c>
      <c r="D383" t="s">
        <v>387</v>
      </c>
      <c r="E383" t="s">
        <v>1086</v>
      </c>
    </row>
    <row r="384" spans="1:5">
      <c r="A384" s="2" t="s">
        <v>1087</v>
      </c>
      <c r="B384" t="s">
        <v>1085</v>
      </c>
      <c r="C384" t="s">
        <v>330</v>
      </c>
      <c r="D384" t="s">
        <v>387</v>
      </c>
      <c r="E384" t="s">
        <v>1086</v>
      </c>
    </row>
    <row r="385" spans="1:5">
      <c r="A385" s="2" t="s">
        <v>1088</v>
      </c>
      <c r="B385" t="s">
        <v>1085</v>
      </c>
      <c r="C385" t="s">
        <v>530</v>
      </c>
      <c r="D385" t="s">
        <v>387</v>
      </c>
      <c r="E385" t="s">
        <v>1086</v>
      </c>
    </row>
    <row r="386" spans="1:5">
      <c r="A386" s="2" t="s">
        <v>1089</v>
      </c>
      <c r="B386" t="s">
        <v>333</v>
      </c>
      <c r="C386" t="s">
        <v>254</v>
      </c>
      <c r="D386" t="s">
        <v>387</v>
      </c>
      <c r="E386" t="s">
        <v>1090</v>
      </c>
    </row>
    <row r="387" spans="1:5">
      <c r="A387" s="2" t="s">
        <v>1091</v>
      </c>
      <c r="B387" t="s">
        <v>333</v>
      </c>
      <c r="C387" t="s">
        <v>579</v>
      </c>
      <c r="D387" t="s">
        <v>387</v>
      </c>
      <c r="E387" t="s">
        <v>1090</v>
      </c>
    </row>
    <row r="388" spans="1:5">
      <c r="A388" s="2" t="s">
        <v>1092</v>
      </c>
      <c r="B388" t="s">
        <v>333</v>
      </c>
      <c r="C388" t="s">
        <v>1093</v>
      </c>
      <c r="D388" t="s">
        <v>387</v>
      </c>
      <c r="E388" t="s">
        <v>1090</v>
      </c>
    </row>
    <row r="389" spans="1:5">
      <c r="A389" s="2" t="s">
        <v>1094</v>
      </c>
      <c r="B389" t="s">
        <v>333</v>
      </c>
      <c r="C389" t="s">
        <v>564</v>
      </c>
      <c r="D389" t="s">
        <v>387</v>
      </c>
      <c r="E389" t="s">
        <v>1090</v>
      </c>
    </row>
    <row r="390" spans="1:5">
      <c r="A390" s="2" t="s">
        <v>1095</v>
      </c>
      <c r="B390" t="s">
        <v>333</v>
      </c>
      <c r="C390" t="s">
        <v>330</v>
      </c>
      <c r="D390" t="s">
        <v>387</v>
      </c>
      <c r="E390" t="s">
        <v>1090</v>
      </c>
    </row>
    <row r="391" spans="1:5">
      <c r="A391" s="2" t="s">
        <v>1096</v>
      </c>
      <c r="B391" t="s">
        <v>333</v>
      </c>
      <c r="C391" t="s">
        <v>530</v>
      </c>
      <c r="D391" t="s">
        <v>387</v>
      </c>
      <c r="E391" t="s">
        <v>1090</v>
      </c>
    </row>
    <row r="392" spans="1:5">
      <c r="A392" s="2" t="s">
        <v>1097</v>
      </c>
      <c r="B392" s="13" t="s">
        <v>333</v>
      </c>
      <c r="C392" s="13" t="s">
        <v>536</v>
      </c>
      <c r="D392" s="13" t="s">
        <v>387</v>
      </c>
      <c r="E392" s="13" t="s">
        <v>1090</v>
      </c>
    </row>
    <row r="393" spans="1:5">
      <c r="A393" s="2" t="s">
        <v>1098</v>
      </c>
      <c r="B393" s="13" t="s">
        <v>333</v>
      </c>
      <c r="C393" s="13" t="s">
        <v>974</v>
      </c>
      <c r="D393" s="13" t="s">
        <v>387</v>
      </c>
      <c r="E393" s="13" t="s">
        <v>1090</v>
      </c>
    </row>
    <row r="394" spans="1:5">
      <c r="A394" s="2" t="s">
        <v>1099</v>
      </c>
      <c r="B394" s="13" t="s">
        <v>333</v>
      </c>
      <c r="C394" s="13" t="s">
        <v>1063</v>
      </c>
      <c r="D394" s="13" t="s">
        <v>387</v>
      </c>
      <c r="E394" s="13" t="s">
        <v>1090</v>
      </c>
    </row>
    <row r="395" spans="1:5">
      <c r="A395" s="2" t="s">
        <v>1100</v>
      </c>
      <c r="B395" s="13" t="s">
        <v>333</v>
      </c>
      <c r="C395" s="13" t="s">
        <v>638</v>
      </c>
      <c r="D395" s="13" t="s">
        <v>387</v>
      </c>
      <c r="E395" s="13" t="s">
        <v>1090</v>
      </c>
    </row>
    <row r="396" spans="1:5">
      <c r="A396" s="2" t="s">
        <v>1101</v>
      </c>
      <c r="B396" t="s">
        <v>333</v>
      </c>
      <c r="C396" t="s">
        <v>606</v>
      </c>
      <c r="D396" t="s">
        <v>387</v>
      </c>
      <c r="E396" t="s">
        <v>1090</v>
      </c>
    </row>
    <row r="397" spans="1:5">
      <c r="A397" s="2" t="s">
        <v>1102</v>
      </c>
      <c r="B397" t="s">
        <v>333</v>
      </c>
      <c r="C397" t="s">
        <v>556</v>
      </c>
      <c r="D397" t="s">
        <v>387</v>
      </c>
      <c r="E397" t="s">
        <v>1090</v>
      </c>
    </row>
    <row r="398" spans="1:5">
      <c r="A398" s="2" t="s">
        <v>1103</v>
      </c>
      <c r="B398" t="s">
        <v>333</v>
      </c>
      <c r="C398" t="s">
        <v>558</v>
      </c>
      <c r="D398" t="s">
        <v>387</v>
      </c>
      <c r="E398" t="s">
        <v>1090</v>
      </c>
    </row>
    <row r="399" spans="1:5">
      <c r="A399" s="2" t="s">
        <v>1104</v>
      </c>
      <c r="B399" t="s">
        <v>333</v>
      </c>
      <c r="C399" t="s">
        <v>548</v>
      </c>
      <c r="D399" t="s">
        <v>387</v>
      </c>
      <c r="E399" t="s">
        <v>1090</v>
      </c>
    </row>
    <row r="400" spans="1:5">
      <c r="A400" s="2" t="s">
        <v>1105</v>
      </c>
      <c r="B400" t="s">
        <v>333</v>
      </c>
      <c r="C400" t="s">
        <v>538</v>
      </c>
      <c r="D400" t="s">
        <v>387</v>
      </c>
      <c r="E400" t="s">
        <v>1090</v>
      </c>
    </row>
    <row r="401" spans="1:5">
      <c r="A401" s="2" t="s">
        <v>1106</v>
      </c>
      <c r="B401" s="10" t="s">
        <v>333</v>
      </c>
      <c r="C401" s="10" t="s">
        <v>562</v>
      </c>
      <c r="D401" s="10" t="s">
        <v>387</v>
      </c>
      <c r="E401" s="10" t="s">
        <v>1090</v>
      </c>
    </row>
    <row r="402" spans="1:5">
      <c r="A402" s="2" t="s">
        <v>1107</v>
      </c>
      <c r="B402" s="10" t="s">
        <v>1108</v>
      </c>
      <c r="C402" s="10" t="s">
        <v>254</v>
      </c>
      <c r="D402" s="10" t="s">
        <v>181</v>
      </c>
      <c r="E402" s="10" t="s">
        <v>1109</v>
      </c>
    </row>
    <row r="403" spans="1:5">
      <c r="A403" s="2" t="s">
        <v>1110</v>
      </c>
      <c r="B403" t="s">
        <v>1111</v>
      </c>
      <c r="C403" t="s">
        <v>254</v>
      </c>
      <c r="D403" t="s">
        <v>923</v>
      </c>
      <c r="E403" t="s">
        <v>924</v>
      </c>
    </row>
    <row r="404" spans="1:5">
      <c r="A404" s="2" t="s">
        <v>1112</v>
      </c>
      <c r="B404" t="s">
        <v>1113</v>
      </c>
      <c r="C404" t="s">
        <v>330</v>
      </c>
      <c r="D404" t="s">
        <v>198</v>
      </c>
      <c r="E404" t="s">
        <v>1114</v>
      </c>
    </row>
    <row r="405" spans="1:5">
      <c r="A405" s="2" t="s">
        <v>1115</v>
      </c>
      <c r="B405" t="s">
        <v>1113</v>
      </c>
      <c r="C405" t="s">
        <v>298</v>
      </c>
      <c r="D405" t="s">
        <v>198</v>
      </c>
      <c r="E405" t="s">
        <v>1116</v>
      </c>
    </row>
    <row r="406" spans="1:5">
      <c r="A406" s="2" t="s">
        <v>1117</v>
      </c>
      <c r="B406" t="s">
        <v>1113</v>
      </c>
      <c r="C406" t="s">
        <v>254</v>
      </c>
      <c r="D406" t="s">
        <v>198</v>
      </c>
      <c r="E406" t="s">
        <v>1116</v>
      </c>
    </row>
    <row r="407" spans="1:5">
      <c r="A407" s="2" t="s">
        <v>1118</v>
      </c>
      <c r="B407" t="s">
        <v>1119</v>
      </c>
      <c r="C407">
        <v>10</v>
      </c>
      <c r="D407" t="s">
        <v>198</v>
      </c>
      <c r="E407" t="s">
        <v>1116</v>
      </c>
    </row>
    <row r="408" spans="1:5">
      <c r="A408" s="2" t="s">
        <v>1120</v>
      </c>
      <c r="B408" t="s">
        <v>1119</v>
      </c>
      <c r="C408">
        <v>20</v>
      </c>
      <c r="D408" t="s">
        <v>198</v>
      </c>
      <c r="E408" t="s">
        <v>1116</v>
      </c>
    </row>
    <row r="409" spans="1:5">
      <c r="A409" s="2" t="s">
        <v>1121</v>
      </c>
      <c r="B409" t="s">
        <v>1119</v>
      </c>
      <c r="C409" t="s">
        <v>298</v>
      </c>
      <c r="D409" t="s">
        <v>198</v>
      </c>
      <c r="E409" t="s">
        <v>1116</v>
      </c>
    </row>
    <row r="410" spans="1:5">
      <c r="A410" s="2" t="s">
        <v>1122</v>
      </c>
      <c r="B410" t="s">
        <v>1119</v>
      </c>
      <c r="C410" t="s">
        <v>254</v>
      </c>
      <c r="D410" t="s">
        <v>198</v>
      </c>
      <c r="E410" t="s">
        <v>1116</v>
      </c>
    </row>
    <row r="411" spans="1:5">
      <c r="A411" s="2" t="s">
        <v>1123</v>
      </c>
      <c r="B411" t="s">
        <v>1124</v>
      </c>
      <c r="C411" t="s">
        <v>298</v>
      </c>
      <c r="D411" t="s">
        <v>198</v>
      </c>
      <c r="E411" t="s">
        <v>1116</v>
      </c>
    </row>
    <row r="412" spans="1:5">
      <c r="A412" s="2" t="s">
        <v>1125</v>
      </c>
      <c r="B412" t="s">
        <v>1124</v>
      </c>
      <c r="C412" t="s">
        <v>254</v>
      </c>
      <c r="D412" t="s">
        <v>198</v>
      </c>
      <c r="E412" t="s">
        <v>1116</v>
      </c>
    </row>
    <row r="413" spans="1:5">
      <c r="A413" s="2" t="s">
        <v>1126</v>
      </c>
      <c r="B413" t="s">
        <v>1127</v>
      </c>
      <c r="C413" t="s">
        <v>254</v>
      </c>
      <c r="D413" t="s">
        <v>923</v>
      </c>
      <c r="E413" t="s">
        <v>1128</v>
      </c>
    </row>
    <row r="414" spans="1:5">
      <c r="A414" s="2" t="s">
        <v>1129</v>
      </c>
      <c r="B414" t="s">
        <v>1130</v>
      </c>
      <c r="C414" t="s">
        <v>254</v>
      </c>
      <c r="D414" t="s">
        <v>176</v>
      </c>
      <c r="E414" t="s">
        <v>1131</v>
      </c>
    </row>
    <row r="415" spans="1:5">
      <c r="A415" s="2" t="s">
        <v>1132</v>
      </c>
      <c r="B415" t="s">
        <v>1133</v>
      </c>
      <c r="C415" t="s">
        <v>530</v>
      </c>
      <c r="D415" t="s">
        <v>176</v>
      </c>
      <c r="E415" t="s">
        <v>1134</v>
      </c>
    </row>
    <row r="416" spans="1:5">
      <c r="A416" s="2" t="s">
        <v>1135</v>
      </c>
      <c r="B416" t="s">
        <v>1133</v>
      </c>
      <c r="C416" t="s">
        <v>254</v>
      </c>
      <c r="D416" t="s">
        <v>176</v>
      </c>
      <c r="E416" t="s">
        <v>1134</v>
      </c>
    </row>
    <row r="417" spans="1:5">
      <c r="A417" s="2" t="s">
        <v>1136</v>
      </c>
      <c r="B417" t="s">
        <v>1137</v>
      </c>
      <c r="C417" t="s">
        <v>254</v>
      </c>
      <c r="D417" t="s">
        <v>176</v>
      </c>
      <c r="E417" t="s">
        <v>1131</v>
      </c>
    </row>
    <row r="418" spans="1:5">
      <c r="A418" s="2" t="s">
        <v>1138</v>
      </c>
      <c r="B418" t="s">
        <v>1139</v>
      </c>
      <c r="C418" t="s">
        <v>1140</v>
      </c>
      <c r="D418" t="s">
        <v>176</v>
      </c>
      <c r="E418" t="s">
        <v>1141</v>
      </c>
    </row>
    <row r="419" spans="1:5">
      <c r="A419" s="2" t="s">
        <v>1142</v>
      </c>
      <c r="B419" t="s">
        <v>1139</v>
      </c>
      <c r="C419" t="s">
        <v>530</v>
      </c>
      <c r="D419" t="s">
        <v>176</v>
      </c>
      <c r="E419" t="s">
        <v>1141</v>
      </c>
    </row>
    <row r="420" spans="1:5">
      <c r="A420" s="2" t="s">
        <v>1143</v>
      </c>
      <c r="B420" t="s">
        <v>1139</v>
      </c>
      <c r="C420" t="s">
        <v>254</v>
      </c>
      <c r="D420" t="s">
        <v>176</v>
      </c>
      <c r="E420" t="s">
        <v>1141</v>
      </c>
    </row>
    <row r="421" spans="1:5">
      <c r="A421" s="2" t="s">
        <v>1144</v>
      </c>
      <c r="B421" t="s">
        <v>1145</v>
      </c>
      <c r="C421" t="s">
        <v>254</v>
      </c>
      <c r="D421" t="s">
        <v>176</v>
      </c>
      <c r="E421" t="s">
        <v>1146</v>
      </c>
    </row>
    <row r="422" spans="1:5">
      <c r="A422" s="2" t="s">
        <v>1147</v>
      </c>
      <c r="B422" t="s">
        <v>1145</v>
      </c>
      <c r="C422" t="s">
        <v>530</v>
      </c>
      <c r="D422" t="s">
        <v>176</v>
      </c>
      <c r="E422" t="s">
        <v>1146</v>
      </c>
    </row>
    <row r="423" spans="1:5">
      <c r="A423" s="2" t="s">
        <v>1148</v>
      </c>
      <c r="B423" t="s">
        <v>1149</v>
      </c>
      <c r="C423" t="s">
        <v>254</v>
      </c>
      <c r="D423" t="s">
        <v>176</v>
      </c>
      <c r="E423" t="s">
        <v>1150</v>
      </c>
    </row>
    <row r="424" spans="1:5">
      <c r="A424" s="2" t="s">
        <v>1151</v>
      </c>
      <c r="B424" t="s">
        <v>1149</v>
      </c>
      <c r="C424" t="s">
        <v>530</v>
      </c>
      <c r="D424" t="s">
        <v>176</v>
      </c>
      <c r="E424" t="s">
        <v>1150</v>
      </c>
    </row>
    <row r="425" spans="1:5">
      <c r="A425" s="2" t="s">
        <v>1152</v>
      </c>
      <c r="B425" t="s">
        <v>1153</v>
      </c>
      <c r="C425" t="s">
        <v>530</v>
      </c>
      <c r="D425" t="s">
        <v>176</v>
      </c>
      <c r="E425" t="s">
        <v>1154</v>
      </c>
    </row>
    <row r="426" spans="1:5">
      <c r="A426" s="2" t="s">
        <v>1155</v>
      </c>
      <c r="B426" t="s">
        <v>1153</v>
      </c>
      <c r="C426" t="s">
        <v>254</v>
      </c>
      <c r="D426" t="s">
        <v>176</v>
      </c>
      <c r="E426" t="s">
        <v>1154</v>
      </c>
    </row>
    <row r="427" spans="1:5">
      <c r="A427" s="2" t="s">
        <v>1156</v>
      </c>
      <c r="B427" t="s">
        <v>1157</v>
      </c>
      <c r="C427" t="s">
        <v>530</v>
      </c>
      <c r="D427" t="s">
        <v>176</v>
      </c>
      <c r="E427" t="s">
        <v>1158</v>
      </c>
    </row>
    <row r="428" spans="1:5">
      <c r="A428" s="2" t="s">
        <v>1159</v>
      </c>
      <c r="B428" t="s">
        <v>1157</v>
      </c>
      <c r="C428" t="s">
        <v>556</v>
      </c>
      <c r="D428" t="s">
        <v>176</v>
      </c>
      <c r="E428" t="s">
        <v>1158</v>
      </c>
    </row>
    <row r="429" spans="1:5">
      <c r="A429" s="2" t="s">
        <v>1160</v>
      </c>
      <c r="B429" t="s">
        <v>1161</v>
      </c>
      <c r="C429" t="s">
        <v>254</v>
      </c>
      <c r="D429" t="s">
        <v>176</v>
      </c>
      <c r="E429" t="s">
        <v>1162</v>
      </c>
    </row>
    <row r="430" spans="1:5">
      <c r="A430" s="2" t="s">
        <v>1163</v>
      </c>
      <c r="B430" t="s">
        <v>1161</v>
      </c>
      <c r="C430" t="s">
        <v>530</v>
      </c>
      <c r="D430" t="s">
        <v>176</v>
      </c>
      <c r="E430" t="s">
        <v>1162</v>
      </c>
    </row>
    <row r="431" spans="1:5">
      <c r="A431" s="2" t="s">
        <v>1164</v>
      </c>
      <c r="B431" t="s">
        <v>1165</v>
      </c>
      <c r="C431" t="s">
        <v>254</v>
      </c>
      <c r="D431" t="s">
        <v>176</v>
      </c>
      <c r="E431" t="s">
        <v>1166</v>
      </c>
    </row>
    <row r="432" spans="1:5">
      <c r="A432" s="2" t="s">
        <v>1167</v>
      </c>
      <c r="B432" t="s">
        <v>1165</v>
      </c>
      <c r="C432" t="s">
        <v>530</v>
      </c>
      <c r="D432" t="s">
        <v>176</v>
      </c>
      <c r="E432" t="s">
        <v>1166</v>
      </c>
    </row>
    <row r="433" spans="1:5">
      <c r="A433" s="2" t="s">
        <v>1168</v>
      </c>
      <c r="B433" t="s">
        <v>1165</v>
      </c>
      <c r="C433" t="s">
        <v>556</v>
      </c>
      <c r="D433" t="s">
        <v>176</v>
      </c>
      <c r="E433" t="s">
        <v>1166</v>
      </c>
    </row>
    <row r="434" spans="1:5">
      <c r="A434" s="2" t="s">
        <v>1169</v>
      </c>
      <c r="B434" t="s">
        <v>1165</v>
      </c>
      <c r="C434" t="s">
        <v>590</v>
      </c>
      <c r="D434" t="s">
        <v>176</v>
      </c>
      <c r="E434" t="s">
        <v>1166</v>
      </c>
    </row>
    <row r="435" spans="1:5">
      <c r="A435" s="2" t="s">
        <v>1170</v>
      </c>
      <c r="B435" t="s">
        <v>1171</v>
      </c>
      <c r="C435" t="s">
        <v>254</v>
      </c>
      <c r="D435" t="s">
        <v>176</v>
      </c>
      <c r="E435" t="s">
        <v>1172</v>
      </c>
    </row>
    <row r="436" spans="1:5">
      <c r="A436" s="2" t="s">
        <v>1173</v>
      </c>
      <c r="B436" t="s">
        <v>1171</v>
      </c>
      <c r="C436" t="s">
        <v>530</v>
      </c>
      <c r="D436" t="s">
        <v>176</v>
      </c>
      <c r="E436" t="s">
        <v>1172</v>
      </c>
    </row>
    <row r="437" spans="1:5">
      <c r="A437" s="2" t="s">
        <v>1174</v>
      </c>
      <c r="B437" t="s">
        <v>1175</v>
      </c>
      <c r="C437" t="s">
        <v>254</v>
      </c>
      <c r="D437" t="s">
        <v>176</v>
      </c>
      <c r="E437" t="s">
        <v>1176</v>
      </c>
    </row>
    <row r="438" spans="1:5">
      <c r="A438" s="2" t="s">
        <v>1177</v>
      </c>
      <c r="B438" t="s">
        <v>1175</v>
      </c>
      <c r="C438" t="s">
        <v>530</v>
      </c>
      <c r="D438" t="s">
        <v>176</v>
      </c>
      <c r="E438" t="s">
        <v>1176</v>
      </c>
    </row>
    <row r="439" spans="1:5">
      <c r="A439" s="2" t="s">
        <v>1178</v>
      </c>
      <c r="B439" t="s">
        <v>1175</v>
      </c>
      <c r="C439" t="s">
        <v>556</v>
      </c>
      <c r="D439" t="s">
        <v>176</v>
      </c>
      <c r="E439" t="s">
        <v>1176</v>
      </c>
    </row>
    <row r="440" spans="1:5">
      <c r="A440" s="2" t="s">
        <v>1179</v>
      </c>
      <c r="B440" t="s">
        <v>1175</v>
      </c>
      <c r="C440" t="s">
        <v>590</v>
      </c>
      <c r="D440" t="s">
        <v>176</v>
      </c>
      <c r="E440" t="s">
        <v>1176</v>
      </c>
    </row>
    <row r="441" spans="1:5">
      <c r="A441" s="2" t="s">
        <v>1180</v>
      </c>
      <c r="B441" t="s">
        <v>1181</v>
      </c>
      <c r="C441" t="s">
        <v>254</v>
      </c>
      <c r="D441" t="s">
        <v>176</v>
      </c>
      <c r="E441" t="s">
        <v>1182</v>
      </c>
    </row>
    <row r="442" spans="1:5">
      <c r="A442" s="2" t="s">
        <v>1183</v>
      </c>
      <c r="B442" t="s">
        <v>1181</v>
      </c>
      <c r="C442" t="s">
        <v>530</v>
      </c>
      <c r="D442" t="s">
        <v>176</v>
      </c>
      <c r="E442" t="s">
        <v>1182</v>
      </c>
    </row>
    <row r="443" spans="1:5">
      <c r="A443" s="2" t="s">
        <v>1184</v>
      </c>
      <c r="B443" t="s">
        <v>1181</v>
      </c>
      <c r="C443" t="s">
        <v>556</v>
      </c>
      <c r="D443" t="s">
        <v>176</v>
      </c>
      <c r="E443" t="s">
        <v>1182</v>
      </c>
    </row>
    <row r="444" spans="1:5">
      <c r="A444" s="2" t="s">
        <v>1185</v>
      </c>
      <c r="B444" t="s">
        <v>1186</v>
      </c>
      <c r="C444" t="s">
        <v>254</v>
      </c>
      <c r="D444" t="s">
        <v>176</v>
      </c>
      <c r="E444" t="s">
        <v>1187</v>
      </c>
    </row>
    <row r="445" spans="1:5">
      <c r="A445" s="2" t="s">
        <v>1188</v>
      </c>
      <c r="B445" t="s">
        <v>1186</v>
      </c>
      <c r="C445" t="s">
        <v>530</v>
      </c>
      <c r="D445" t="s">
        <v>176</v>
      </c>
      <c r="E445" t="s">
        <v>1187</v>
      </c>
    </row>
    <row r="446" spans="1:5">
      <c r="A446" s="2" t="s">
        <v>1189</v>
      </c>
      <c r="B446" t="s">
        <v>1186</v>
      </c>
      <c r="C446" t="s">
        <v>556</v>
      </c>
      <c r="D446" t="s">
        <v>176</v>
      </c>
      <c r="E446" t="s">
        <v>1187</v>
      </c>
    </row>
    <row r="447" spans="1:5">
      <c r="A447" s="2" t="s">
        <v>1190</v>
      </c>
      <c r="B447" t="s">
        <v>1186</v>
      </c>
      <c r="C447" t="s">
        <v>590</v>
      </c>
      <c r="D447" t="s">
        <v>176</v>
      </c>
      <c r="E447" t="s">
        <v>1187</v>
      </c>
    </row>
    <row r="448" spans="1:5">
      <c r="A448" s="2" t="s">
        <v>1191</v>
      </c>
      <c r="B448" t="s">
        <v>1192</v>
      </c>
      <c r="C448" t="s">
        <v>254</v>
      </c>
      <c r="D448" t="s">
        <v>176</v>
      </c>
      <c r="E448" t="s">
        <v>1193</v>
      </c>
    </row>
    <row r="449" spans="1:5">
      <c r="A449" s="2" t="s">
        <v>1194</v>
      </c>
      <c r="B449" t="s">
        <v>1192</v>
      </c>
      <c r="C449" t="s">
        <v>530</v>
      </c>
      <c r="D449" t="s">
        <v>176</v>
      </c>
      <c r="E449" t="s">
        <v>1193</v>
      </c>
    </row>
    <row r="450" spans="1:5">
      <c r="A450" s="2" t="s">
        <v>1195</v>
      </c>
      <c r="B450" t="s">
        <v>1192</v>
      </c>
      <c r="C450" t="s">
        <v>556</v>
      </c>
      <c r="D450" t="s">
        <v>176</v>
      </c>
      <c r="E450" t="s">
        <v>1193</v>
      </c>
    </row>
    <row r="451" spans="1:5">
      <c r="A451" s="2" t="s">
        <v>1196</v>
      </c>
      <c r="B451" t="s">
        <v>1192</v>
      </c>
      <c r="C451" t="s">
        <v>590</v>
      </c>
      <c r="D451" t="s">
        <v>176</v>
      </c>
      <c r="E451" t="s">
        <v>1193</v>
      </c>
    </row>
    <row r="452" spans="1:5">
      <c r="A452" s="2" t="s">
        <v>1197</v>
      </c>
      <c r="B452" t="s">
        <v>1198</v>
      </c>
      <c r="C452" t="s">
        <v>590</v>
      </c>
      <c r="D452" t="s">
        <v>176</v>
      </c>
      <c r="E452" t="s">
        <v>1199</v>
      </c>
    </row>
    <row r="453" spans="1:5">
      <c r="A453" s="2" t="s">
        <v>1200</v>
      </c>
      <c r="B453" t="s">
        <v>1198</v>
      </c>
      <c r="C453" t="s">
        <v>326</v>
      </c>
      <c r="D453" t="s">
        <v>176</v>
      </c>
      <c r="E453" t="s">
        <v>1201</v>
      </c>
    </row>
    <row r="454" spans="1:5">
      <c r="A454" s="2" t="s">
        <v>1202</v>
      </c>
      <c r="B454" t="s">
        <v>1198</v>
      </c>
      <c r="C454" t="s">
        <v>1203</v>
      </c>
      <c r="D454" t="s">
        <v>176</v>
      </c>
      <c r="E454" t="s">
        <v>1201</v>
      </c>
    </row>
    <row r="455" spans="1:5">
      <c r="A455" s="2" t="s">
        <v>1204</v>
      </c>
      <c r="B455" t="s">
        <v>1198</v>
      </c>
      <c r="C455" t="s">
        <v>1002</v>
      </c>
      <c r="D455" t="s">
        <v>176</v>
      </c>
      <c r="E455" t="s">
        <v>1199</v>
      </c>
    </row>
    <row r="456" spans="1:5">
      <c r="A456" s="2" t="s">
        <v>1205</v>
      </c>
      <c r="B456" t="s">
        <v>1198</v>
      </c>
      <c r="C456" t="s">
        <v>532</v>
      </c>
      <c r="D456" t="s">
        <v>176</v>
      </c>
      <c r="E456" t="s">
        <v>1201</v>
      </c>
    </row>
    <row r="457" spans="1:5">
      <c r="A457" s="2" t="s">
        <v>1206</v>
      </c>
      <c r="B457" t="s">
        <v>1198</v>
      </c>
      <c r="C457" t="s">
        <v>534</v>
      </c>
      <c r="D457" t="s">
        <v>176</v>
      </c>
      <c r="E457" t="s">
        <v>1199</v>
      </c>
    </row>
    <row r="458" spans="1:5">
      <c r="A458" s="2" t="s">
        <v>1207</v>
      </c>
      <c r="B458" t="s">
        <v>1198</v>
      </c>
      <c r="C458" t="s">
        <v>1026</v>
      </c>
      <c r="D458" t="s">
        <v>176</v>
      </c>
      <c r="E458" t="s">
        <v>1201</v>
      </c>
    </row>
    <row r="459" spans="1:5">
      <c r="A459" s="2" t="s">
        <v>1208</v>
      </c>
      <c r="B459" t="s">
        <v>1198</v>
      </c>
      <c r="C459" t="s">
        <v>527</v>
      </c>
      <c r="D459" t="s">
        <v>176</v>
      </c>
      <c r="E459" t="s">
        <v>1199</v>
      </c>
    </row>
    <row r="460" spans="1:5">
      <c r="A460" s="2" t="s">
        <v>1209</v>
      </c>
      <c r="B460" t="s">
        <v>1198</v>
      </c>
      <c r="C460" t="s">
        <v>1210</v>
      </c>
      <c r="D460" t="s">
        <v>176</v>
      </c>
      <c r="E460" t="s">
        <v>1201</v>
      </c>
    </row>
    <row r="461" spans="1:5">
      <c r="A461" s="2" t="s">
        <v>1211</v>
      </c>
      <c r="B461" t="s">
        <v>1198</v>
      </c>
      <c r="C461" t="s">
        <v>1212</v>
      </c>
      <c r="D461" t="s">
        <v>176</v>
      </c>
      <c r="E461" t="s">
        <v>1199</v>
      </c>
    </row>
    <row r="462" spans="1:5">
      <c r="A462" s="2" t="s">
        <v>1213</v>
      </c>
      <c r="B462" t="s">
        <v>1198</v>
      </c>
      <c r="C462" s="632" t="s">
        <v>254</v>
      </c>
      <c r="D462" t="s">
        <v>176</v>
      </c>
      <c r="E462" t="s">
        <v>1199</v>
      </c>
    </row>
    <row r="463" spans="1:5">
      <c r="A463" s="2" t="s">
        <v>1214</v>
      </c>
      <c r="B463" t="s">
        <v>1198</v>
      </c>
      <c r="C463" s="632" t="s">
        <v>298</v>
      </c>
      <c r="D463" t="s">
        <v>176</v>
      </c>
      <c r="E463" t="s">
        <v>1201</v>
      </c>
    </row>
    <row r="464" spans="1:5">
      <c r="A464" s="2" t="s">
        <v>1215</v>
      </c>
      <c r="B464" t="s">
        <v>1198</v>
      </c>
      <c r="C464" t="s">
        <v>1216</v>
      </c>
      <c r="D464" t="s">
        <v>176</v>
      </c>
      <c r="E464" t="s">
        <v>1217</v>
      </c>
    </row>
    <row r="465" spans="1:5">
      <c r="A465" s="2" t="s">
        <v>1218</v>
      </c>
      <c r="B465" t="s">
        <v>1198</v>
      </c>
      <c r="C465" t="s">
        <v>1219</v>
      </c>
      <c r="D465" t="s">
        <v>176</v>
      </c>
      <c r="E465" t="s">
        <v>1217</v>
      </c>
    </row>
    <row r="466" spans="1:5">
      <c r="A466" s="2" t="s">
        <v>1220</v>
      </c>
      <c r="B466" t="s">
        <v>1198</v>
      </c>
      <c r="C466" t="s">
        <v>313</v>
      </c>
      <c r="D466" t="s">
        <v>186</v>
      </c>
      <c r="E466" t="s">
        <v>1221</v>
      </c>
    </row>
    <row r="467" spans="1:5">
      <c r="A467" s="2" t="s">
        <v>1222</v>
      </c>
      <c r="B467" t="s">
        <v>1198</v>
      </c>
      <c r="C467" t="s">
        <v>1223</v>
      </c>
      <c r="D467" t="s">
        <v>186</v>
      </c>
      <c r="E467" t="s">
        <v>1221</v>
      </c>
    </row>
    <row r="468" spans="1:5">
      <c r="A468" s="2" t="s">
        <v>1224</v>
      </c>
      <c r="B468" s="5" t="s">
        <v>1198</v>
      </c>
      <c r="C468" s="5" t="s">
        <v>536</v>
      </c>
      <c r="D468" s="5" t="s">
        <v>186</v>
      </c>
      <c r="E468" s="5" t="s">
        <v>1221</v>
      </c>
    </row>
    <row r="469" spans="1:5">
      <c r="A469" s="2" t="s">
        <v>1225</v>
      </c>
      <c r="B469" t="s">
        <v>1198</v>
      </c>
      <c r="C469" t="s">
        <v>330</v>
      </c>
      <c r="D469" t="s">
        <v>186</v>
      </c>
      <c r="E469" t="s">
        <v>1221</v>
      </c>
    </row>
    <row r="470" spans="1:5">
      <c r="A470" s="2" t="s">
        <v>1226</v>
      </c>
      <c r="B470" t="s">
        <v>1198</v>
      </c>
      <c r="C470" t="s">
        <v>592</v>
      </c>
      <c r="D470" t="s">
        <v>186</v>
      </c>
      <c r="E470" t="s">
        <v>1221</v>
      </c>
    </row>
    <row r="471" spans="1:5">
      <c r="A471" s="2" t="s">
        <v>1218</v>
      </c>
      <c r="B471" t="s">
        <v>1198</v>
      </c>
      <c r="C471" t="s">
        <v>1219</v>
      </c>
      <c r="D471" t="s">
        <v>186</v>
      </c>
      <c r="E471" t="s">
        <v>1221</v>
      </c>
    </row>
    <row r="472" spans="1:5">
      <c r="A472" s="2" t="s">
        <v>1215</v>
      </c>
      <c r="B472" t="s">
        <v>1198</v>
      </c>
      <c r="C472" t="s">
        <v>1216</v>
      </c>
      <c r="D472" t="s">
        <v>186</v>
      </c>
      <c r="E472" t="s">
        <v>1221</v>
      </c>
    </row>
    <row r="473" spans="1:5">
      <c r="A473" s="2" t="s">
        <v>1227</v>
      </c>
      <c r="B473" t="s">
        <v>1198</v>
      </c>
      <c r="C473" t="s">
        <v>1032</v>
      </c>
      <c r="D473" t="s">
        <v>186</v>
      </c>
      <c r="E473" t="s">
        <v>1221</v>
      </c>
    </row>
    <row r="474" spans="1:5">
      <c r="A474" s="2" t="s">
        <v>1228</v>
      </c>
      <c r="B474" t="s">
        <v>1198</v>
      </c>
      <c r="C474" t="s">
        <v>1229</v>
      </c>
      <c r="D474" t="s">
        <v>186</v>
      </c>
      <c r="E474" t="s">
        <v>1221</v>
      </c>
    </row>
    <row r="475" spans="1:5">
      <c r="A475" s="2" t="s">
        <v>1230</v>
      </c>
      <c r="B475" t="s">
        <v>1198</v>
      </c>
      <c r="C475" t="s">
        <v>1231</v>
      </c>
      <c r="D475" t="s">
        <v>186</v>
      </c>
      <c r="E475" t="s">
        <v>1221</v>
      </c>
    </row>
    <row r="476" spans="1:5">
      <c r="A476" s="2" t="s">
        <v>1232</v>
      </c>
      <c r="B476" t="s">
        <v>1233</v>
      </c>
      <c r="C476" t="s">
        <v>590</v>
      </c>
      <c r="D476" t="s">
        <v>176</v>
      </c>
      <c r="E476" t="s">
        <v>1234</v>
      </c>
    </row>
    <row r="477" spans="1:5">
      <c r="A477" s="2" t="s">
        <v>1235</v>
      </c>
      <c r="B477" t="s">
        <v>1233</v>
      </c>
      <c r="C477" t="s">
        <v>1002</v>
      </c>
      <c r="D477" t="s">
        <v>176</v>
      </c>
      <c r="E477" t="s">
        <v>1234</v>
      </c>
    </row>
    <row r="478" spans="1:5">
      <c r="A478" s="2" t="s">
        <v>1236</v>
      </c>
      <c r="B478" t="s">
        <v>1233</v>
      </c>
      <c r="C478" t="s">
        <v>534</v>
      </c>
      <c r="D478" t="s">
        <v>176</v>
      </c>
      <c r="E478" t="s">
        <v>1234</v>
      </c>
    </row>
    <row r="479" spans="1:5">
      <c r="A479" s="2" t="s">
        <v>1237</v>
      </c>
      <c r="B479" t="s">
        <v>1233</v>
      </c>
      <c r="C479" t="s">
        <v>532</v>
      </c>
      <c r="D479" t="s">
        <v>176</v>
      </c>
      <c r="E479" t="s">
        <v>1234</v>
      </c>
    </row>
    <row r="480" spans="1:5">
      <c r="A480" s="2" t="s">
        <v>1238</v>
      </c>
      <c r="B480" t="s">
        <v>1233</v>
      </c>
      <c r="C480" t="s">
        <v>330</v>
      </c>
      <c r="D480" t="s">
        <v>176</v>
      </c>
      <c r="E480" t="s">
        <v>1234</v>
      </c>
    </row>
    <row r="481" spans="1:5">
      <c r="A481" s="2" t="s">
        <v>1239</v>
      </c>
      <c r="B481" t="s">
        <v>1233</v>
      </c>
      <c r="C481" t="s">
        <v>527</v>
      </c>
      <c r="D481" t="s">
        <v>176</v>
      </c>
      <c r="E481" t="s">
        <v>1234</v>
      </c>
    </row>
    <row r="482" spans="1:5">
      <c r="A482" s="2" t="s">
        <v>1240</v>
      </c>
      <c r="B482" t="s">
        <v>1233</v>
      </c>
      <c r="C482" t="s">
        <v>1026</v>
      </c>
      <c r="D482" t="s">
        <v>176</v>
      </c>
      <c r="E482" t="s">
        <v>1234</v>
      </c>
    </row>
    <row r="483" spans="1:5">
      <c r="A483" s="2" t="s">
        <v>1241</v>
      </c>
      <c r="B483" t="s">
        <v>1233</v>
      </c>
      <c r="C483" t="s">
        <v>1223</v>
      </c>
      <c r="D483" t="s">
        <v>176</v>
      </c>
      <c r="E483" t="s">
        <v>1234</v>
      </c>
    </row>
    <row r="484" spans="1:5">
      <c r="A484" s="2" t="s">
        <v>1242</v>
      </c>
      <c r="B484" t="s">
        <v>1233</v>
      </c>
      <c r="C484" t="s">
        <v>254</v>
      </c>
      <c r="D484" t="s">
        <v>176</v>
      </c>
      <c r="E484" t="s">
        <v>1234</v>
      </c>
    </row>
    <row r="485" spans="1:5">
      <c r="A485" s="2" t="s">
        <v>1243</v>
      </c>
      <c r="B485" t="s">
        <v>1233</v>
      </c>
      <c r="C485" t="s">
        <v>298</v>
      </c>
      <c r="D485" t="s">
        <v>176</v>
      </c>
      <c r="E485" t="s">
        <v>1234</v>
      </c>
    </row>
    <row r="486" spans="1:5">
      <c r="A486" s="2" t="s">
        <v>1244</v>
      </c>
      <c r="B486" t="s">
        <v>1233</v>
      </c>
      <c r="C486" t="s">
        <v>558</v>
      </c>
      <c r="D486" t="s">
        <v>176</v>
      </c>
      <c r="E486" t="s">
        <v>1234</v>
      </c>
    </row>
    <row r="487" spans="1:5">
      <c r="A487" s="2" t="s">
        <v>1245</v>
      </c>
      <c r="B487" t="s">
        <v>1233</v>
      </c>
      <c r="C487" t="s">
        <v>548</v>
      </c>
      <c r="D487" t="s">
        <v>176</v>
      </c>
      <c r="E487" t="s">
        <v>1234</v>
      </c>
    </row>
    <row r="488" spans="1:5">
      <c r="A488" s="2" t="s">
        <v>1246</v>
      </c>
      <c r="B488" t="s">
        <v>1247</v>
      </c>
      <c r="C488" t="s">
        <v>590</v>
      </c>
      <c r="D488" t="s">
        <v>176</v>
      </c>
      <c r="E488" t="s">
        <v>1248</v>
      </c>
    </row>
    <row r="489" spans="1:5">
      <c r="A489" s="2" t="s">
        <v>1249</v>
      </c>
      <c r="B489" t="s">
        <v>1247</v>
      </c>
      <c r="C489" t="s">
        <v>1002</v>
      </c>
      <c r="D489" t="s">
        <v>176</v>
      </c>
      <c r="E489" t="s">
        <v>1248</v>
      </c>
    </row>
    <row r="490" spans="1:5">
      <c r="A490" s="2" t="s">
        <v>1250</v>
      </c>
      <c r="B490" t="s">
        <v>1247</v>
      </c>
      <c r="C490" t="s">
        <v>534</v>
      </c>
      <c r="D490" t="s">
        <v>176</v>
      </c>
      <c r="E490" t="s">
        <v>1248</v>
      </c>
    </row>
    <row r="491" spans="1:5">
      <c r="A491" s="2" t="s">
        <v>1251</v>
      </c>
      <c r="B491" t="s">
        <v>1247</v>
      </c>
      <c r="C491" t="s">
        <v>330</v>
      </c>
      <c r="D491" t="s">
        <v>176</v>
      </c>
      <c r="E491" t="s">
        <v>1248</v>
      </c>
    </row>
    <row r="492" spans="1:5">
      <c r="A492" s="2" t="s">
        <v>1252</v>
      </c>
      <c r="B492" t="s">
        <v>1247</v>
      </c>
      <c r="C492" t="s">
        <v>527</v>
      </c>
      <c r="D492" t="s">
        <v>176</v>
      </c>
      <c r="E492" t="s">
        <v>1248</v>
      </c>
    </row>
    <row r="493" spans="1:5">
      <c r="A493" s="2" t="s">
        <v>1253</v>
      </c>
      <c r="B493" t="s">
        <v>1247</v>
      </c>
      <c r="C493" t="s">
        <v>254</v>
      </c>
      <c r="D493" t="s">
        <v>176</v>
      </c>
      <c r="E493" t="s">
        <v>1248</v>
      </c>
    </row>
    <row r="494" spans="1:5">
      <c r="A494" s="2" t="s">
        <v>1254</v>
      </c>
      <c r="B494" t="s">
        <v>1247</v>
      </c>
      <c r="C494" t="s">
        <v>298</v>
      </c>
      <c r="D494" t="s">
        <v>176</v>
      </c>
      <c r="E494" t="s">
        <v>1248</v>
      </c>
    </row>
    <row r="495" spans="1:5">
      <c r="A495" s="2" t="s">
        <v>1255</v>
      </c>
      <c r="B495" t="s">
        <v>1247</v>
      </c>
      <c r="C495" t="s">
        <v>817</v>
      </c>
      <c r="D495" t="s">
        <v>176</v>
      </c>
      <c r="E495" t="s">
        <v>1248</v>
      </c>
    </row>
    <row r="496" spans="1:5">
      <c r="A496" s="2" t="s">
        <v>1256</v>
      </c>
      <c r="B496" t="s">
        <v>1257</v>
      </c>
      <c r="C496" t="s">
        <v>326</v>
      </c>
      <c r="D496" t="s">
        <v>176</v>
      </c>
      <c r="E496" t="s">
        <v>1258</v>
      </c>
    </row>
    <row r="497" spans="1:5">
      <c r="A497" s="2" t="s">
        <v>1259</v>
      </c>
      <c r="B497" t="s">
        <v>1257</v>
      </c>
      <c r="C497" t="s">
        <v>590</v>
      </c>
      <c r="D497" t="s">
        <v>176</v>
      </c>
      <c r="E497" t="s">
        <v>1146</v>
      </c>
    </row>
    <row r="498" spans="1:5">
      <c r="A498" s="2" t="s">
        <v>1260</v>
      </c>
      <c r="B498" t="s">
        <v>1257</v>
      </c>
      <c r="C498" t="s">
        <v>1203</v>
      </c>
      <c r="D498" t="s">
        <v>176</v>
      </c>
      <c r="E498" t="s">
        <v>1258</v>
      </c>
    </row>
    <row r="499" spans="1:5">
      <c r="A499" s="2" t="s">
        <v>1261</v>
      </c>
      <c r="B499" t="s">
        <v>1257</v>
      </c>
      <c r="C499" t="s">
        <v>1002</v>
      </c>
      <c r="D499" t="s">
        <v>176</v>
      </c>
      <c r="E499" t="s">
        <v>1146</v>
      </c>
    </row>
    <row r="500" spans="1:5">
      <c r="A500" s="2" t="s">
        <v>1262</v>
      </c>
      <c r="B500" t="s">
        <v>1257</v>
      </c>
      <c r="C500" t="s">
        <v>532</v>
      </c>
      <c r="D500" t="s">
        <v>176</v>
      </c>
      <c r="E500" t="s">
        <v>1258</v>
      </c>
    </row>
    <row r="501" spans="1:5">
      <c r="A501" s="2" t="s">
        <v>1263</v>
      </c>
      <c r="B501" t="s">
        <v>1257</v>
      </c>
      <c r="C501" t="s">
        <v>534</v>
      </c>
      <c r="D501" t="s">
        <v>176</v>
      </c>
      <c r="E501" t="s">
        <v>1146</v>
      </c>
    </row>
    <row r="502" spans="1:5">
      <c r="A502" s="2" t="s">
        <v>1264</v>
      </c>
      <c r="B502" t="s">
        <v>1257</v>
      </c>
      <c r="C502" t="s">
        <v>527</v>
      </c>
      <c r="D502" t="s">
        <v>176</v>
      </c>
      <c r="E502" t="s">
        <v>1258</v>
      </c>
    </row>
    <row r="503" spans="1:5">
      <c r="A503" s="2" t="s">
        <v>1265</v>
      </c>
      <c r="B503" t="s">
        <v>1257</v>
      </c>
      <c r="C503" t="s">
        <v>330</v>
      </c>
      <c r="D503" t="s">
        <v>176</v>
      </c>
      <c r="E503" t="s">
        <v>1146</v>
      </c>
    </row>
    <row r="504" spans="1:5">
      <c r="A504" s="2" t="s">
        <v>1266</v>
      </c>
      <c r="B504" t="s">
        <v>1257</v>
      </c>
      <c r="C504" t="s">
        <v>1223</v>
      </c>
      <c r="D504" t="s">
        <v>176</v>
      </c>
      <c r="E504" t="s">
        <v>1258</v>
      </c>
    </row>
    <row r="505" spans="1:5">
      <c r="A505" s="2" t="s">
        <v>1267</v>
      </c>
      <c r="B505" t="s">
        <v>1257</v>
      </c>
      <c r="C505" t="s">
        <v>1026</v>
      </c>
      <c r="D505" t="s">
        <v>176</v>
      </c>
      <c r="E505" t="s">
        <v>1146</v>
      </c>
    </row>
    <row r="506" spans="1:5">
      <c r="A506" s="2" t="s">
        <v>1268</v>
      </c>
      <c r="B506" t="s">
        <v>1257</v>
      </c>
      <c r="C506" s="632" t="s">
        <v>254</v>
      </c>
      <c r="D506" t="s">
        <v>176</v>
      </c>
      <c r="E506" t="s">
        <v>1146</v>
      </c>
    </row>
    <row r="507" spans="1:5">
      <c r="A507" s="2" t="s">
        <v>1269</v>
      </c>
      <c r="B507" t="s">
        <v>1257</v>
      </c>
      <c r="C507" t="s">
        <v>298</v>
      </c>
      <c r="D507" t="s">
        <v>176</v>
      </c>
      <c r="E507" t="s">
        <v>1258</v>
      </c>
    </row>
    <row r="508" spans="1:5">
      <c r="A508" s="2" t="s">
        <v>1270</v>
      </c>
      <c r="B508" t="s">
        <v>1257</v>
      </c>
      <c r="C508" t="s">
        <v>1271</v>
      </c>
      <c r="D508" t="s">
        <v>176</v>
      </c>
      <c r="E508" t="s">
        <v>1272</v>
      </c>
    </row>
    <row r="509" spans="1:5">
      <c r="A509" s="2" t="s">
        <v>1273</v>
      </c>
      <c r="B509" t="s">
        <v>1274</v>
      </c>
      <c r="C509" t="s">
        <v>590</v>
      </c>
      <c r="D509" t="s">
        <v>176</v>
      </c>
      <c r="E509" t="s">
        <v>1150</v>
      </c>
    </row>
    <row r="510" spans="1:5">
      <c r="A510" s="2" t="s">
        <v>1275</v>
      </c>
      <c r="B510" t="s">
        <v>1274</v>
      </c>
      <c r="C510" t="s">
        <v>1002</v>
      </c>
      <c r="D510" t="s">
        <v>176</v>
      </c>
      <c r="E510" t="s">
        <v>1150</v>
      </c>
    </row>
    <row r="511" spans="1:5">
      <c r="A511" s="2" t="s">
        <v>1276</v>
      </c>
      <c r="B511" t="s">
        <v>1274</v>
      </c>
      <c r="C511" t="s">
        <v>534</v>
      </c>
      <c r="D511" t="s">
        <v>176</v>
      </c>
      <c r="E511" t="s">
        <v>1150</v>
      </c>
    </row>
    <row r="512" spans="1:5">
      <c r="A512" s="2" t="s">
        <v>1277</v>
      </c>
      <c r="B512" t="s">
        <v>1274</v>
      </c>
      <c r="C512" t="s">
        <v>298</v>
      </c>
      <c r="D512" t="s">
        <v>176</v>
      </c>
      <c r="E512" t="s">
        <v>1150</v>
      </c>
    </row>
    <row r="513" spans="1:5">
      <c r="A513" s="2" t="s">
        <v>1278</v>
      </c>
      <c r="B513" t="s">
        <v>1274</v>
      </c>
      <c r="C513" t="s">
        <v>330</v>
      </c>
      <c r="D513" t="s">
        <v>176</v>
      </c>
      <c r="E513" t="s">
        <v>1150</v>
      </c>
    </row>
    <row r="514" spans="1:5">
      <c r="A514" s="2" t="s">
        <v>1279</v>
      </c>
      <c r="B514" t="s">
        <v>1274</v>
      </c>
      <c r="C514" t="s">
        <v>254</v>
      </c>
      <c r="D514" t="s">
        <v>176</v>
      </c>
      <c r="E514" t="s">
        <v>1150</v>
      </c>
    </row>
    <row r="515" spans="1:5">
      <c r="A515" s="2" t="s">
        <v>1280</v>
      </c>
      <c r="B515" t="s">
        <v>1281</v>
      </c>
      <c r="C515" t="s">
        <v>590</v>
      </c>
      <c r="D515" t="s">
        <v>176</v>
      </c>
      <c r="E515" t="s">
        <v>1282</v>
      </c>
    </row>
    <row r="516" spans="1:5">
      <c r="A516" s="2" t="s">
        <v>1283</v>
      </c>
      <c r="B516" t="s">
        <v>1281</v>
      </c>
      <c r="C516" t="s">
        <v>1002</v>
      </c>
      <c r="D516" t="s">
        <v>176</v>
      </c>
      <c r="E516" t="s">
        <v>1282</v>
      </c>
    </row>
    <row r="517" spans="1:5">
      <c r="A517" s="2" t="s">
        <v>1284</v>
      </c>
      <c r="B517" t="s">
        <v>1281</v>
      </c>
      <c r="C517" t="s">
        <v>534</v>
      </c>
      <c r="D517" t="s">
        <v>176</v>
      </c>
      <c r="E517" t="s">
        <v>1282</v>
      </c>
    </row>
    <row r="518" spans="1:5">
      <c r="A518" s="2" t="s">
        <v>1285</v>
      </c>
      <c r="B518" t="s">
        <v>1281</v>
      </c>
      <c r="C518" t="s">
        <v>330</v>
      </c>
      <c r="D518" t="s">
        <v>176</v>
      </c>
      <c r="E518" t="s">
        <v>1282</v>
      </c>
    </row>
    <row r="519" spans="1:5">
      <c r="A519" s="2" t="s">
        <v>1286</v>
      </c>
      <c r="B519" t="s">
        <v>1281</v>
      </c>
      <c r="C519" t="s">
        <v>527</v>
      </c>
      <c r="D519" t="s">
        <v>176</v>
      </c>
      <c r="E519" t="s">
        <v>1282</v>
      </c>
    </row>
    <row r="520" spans="1:5">
      <c r="A520" s="2" t="s">
        <v>1287</v>
      </c>
      <c r="B520" t="s">
        <v>1281</v>
      </c>
      <c r="C520" t="s">
        <v>254</v>
      </c>
      <c r="D520" t="s">
        <v>176</v>
      </c>
      <c r="E520" t="s">
        <v>1282</v>
      </c>
    </row>
    <row r="521" spans="1:5">
      <c r="A521" s="2" t="s">
        <v>1288</v>
      </c>
      <c r="B521" t="s">
        <v>1281</v>
      </c>
      <c r="C521" t="s">
        <v>298</v>
      </c>
      <c r="D521" t="s">
        <v>176</v>
      </c>
      <c r="E521" t="s">
        <v>1282</v>
      </c>
    </row>
    <row r="522" spans="1:5">
      <c r="A522" s="2" t="s">
        <v>1289</v>
      </c>
      <c r="B522" t="s">
        <v>1281</v>
      </c>
      <c r="C522" t="s">
        <v>817</v>
      </c>
      <c r="D522" t="s">
        <v>176</v>
      </c>
      <c r="E522" t="s">
        <v>1282</v>
      </c>
    </row>
    <row r="523" spans="1:5">
      <c r="A523" s="2" t="s">
        <v>1290</v>
      </c>
      <c r="B523" t="s">
        <v>1291</v>
      </c>
      <c r="C523" t="s">
        <v>590</v>
      </c>
      <c r="D523" t="s">
        <v>176</v>
      </c>
      <c r="E523" t="s">
        <v>1292</v>
      </c>
    </row>
    <row r="524" spans="1:5">
      <c r="A524" s="2" t="s">
        <v>1293</v>
      </c>
      <c r="B524" t="s">
        <v>1291</v>
      </c>
      <c r="C524" t="s">
        <v>1002</v>
      </c>
      <c r="D524" t="s">
        <v>176</v>
      </c>
      <c r="E524" t="s">
        <v>1292</v>
      </c>
    </row>
    <row r="525" spans="1:5">
      <c r="A525" s="2" t="s">
        <v>1294</v>
      </c>
      <c r="B525" t="s">
        <v>1291</v>
      </c>
      <c r="C525" t="s">
        <v>532</v>
      </c>
      <c r="D525" t="s">
        <v>176</v>
      </c>
      <c r="E525" t="s">
        <v>1292</v>
      </c>
    </row>
    <row r="526" spans="1:5">
      <c r="A526" s="2" t="s">
        <v>1295</v>
      </c>
      <c r="B526" t="s">
        <v>1291</v>
      </c>
      <c r="C526" t="s">
        <v>534</v>
      </c>
      <c r="D526" t="s">
        <v>176</v>
      </c>
      <c r="E526" t="s">
        <v>1292</v>
      </c>
    </row>
    <row r="527" spans="1:5">
      <c r="A527" s="2" t="s">
        <v>1296</v>
      </c>
      <c r="B527" t="s">
        <v>1291</v>
      </c>
      <c r="C527" t="s">
        <v>298</v>
      </c>
      <c r="D527" t="s">
        <v>176</v>
      </c>
      <c r="E527" t="s">
        <v>1292</v>
      </c>
    </row>
    <row r="528" spans="1:5">
      <c r="A528" s="2" t="s">
        <v>1297</v>
      </c>
      <c r="B528" t="s">
        <v>1291</v>
      </c>
      <c r="C528" t="s">
        <v>330</v>
      </c>
      <c r="D528" t="s">
        <v>176</v>
      </c>
      <c r="E528" t="s">
        <v>1292</v>
      </c>
    </row>
    <row r="529" spans="1:5">
      <c r="A529" s="2" t="s">
        <v>1298</v>
      </c>
      <c r="B529" t="s">
        <v>1291</v>
      </c>
      <c r="C529" t="s">
        <v>527</v>
      </c>
      <c r="D529" t="s">
        <v>176</v>
      </c>
      <c r="E529" t="s">
        <v>1292</v>
      </c>
    </row>
    <row r="530" spans="1:5">
      <c r="A530" s="2" t="s">
        <v>1299</v>
      </c>
      <c r="B530" t="s">
        <v>1291</v>
      </c>
      <c r="C530" t="s">
        <v>1026</v>
      </c>
      <c r="D530" t="s">
        <v>176</v>
      </c>
      <c r="E530" t="s">
        <v>1292</v>
      </c>
    </row>
    <row r="531" spans="1:5">
      <c r="A531" s="2" t="s">
        <v>1300</v>
      </c>
      <c r="B531" t="s">
        <v>1291</v>
      </c>
      <c r="C531" t="s">
        <v>254</v>
      </c>
      <c r="D531" t="s">
        <v>176</v>
      </c>
      <c r="E531" t="s">
        <v>1292</v>
      </c>
    </row>
    <row r="532" spans="1:5">
      <c r="A532" s="2" t="s">
        <v>1301</v>
      </c>
      <c r="B532" t="s">
        <v>1302</v>
      </c>
      <c r="C532" t="s">
        <v>590</v>
      </c>
      <c r="D532" t="s">
        <v>176</v>
      </c>
      <c r="E532" t="s">
        <v>1303</v>
      </c>
    </row>
    <row r="533" spans="1:5">
      <c r="A533" s="2" t="s">
        <v>1304</v>
      </c>
      <c r="B533" t="s">
        <v>1302</v>
      </c>
      <c r="C533" t="s">
        <v>1002</v>
      </c>
      <c r="D533" t="s">
        <v>176</v>
      </c>
      <c r="E533" t="s">
        <v>1303</v>
      </c>
    </row>
    <row r="534" spans="1:5">
      <c r="A534" s="2" t="s">
        <v>1305</v>
      </c>
      <c r="B534" t="s">
        <v>1302</v>
      </c>
      <c r="C534" t="s">
        <v>534</v>
      </c>
      <c r="D534" t="s">
        <v>176</v>
      </c>
      <c r="E534" t="s">
        <v>1303</v>
      </c>
    </row>
    <row r="535" spans="1:5">
      <c r="A535" s="2" t="s">
        <v>1306</v>
      </c>
      <c r="B535" t="s">
        <v>1302</v>
      </c>
      <c r="C535" t="s">
        <v>330</v>
      </c>
      <c r="D535" t="s">
        <v>176</v>
      </c>
      <c r="E535" t="s">
        <v>1303</v>
      </c>
    </row>
    <row r="536" spans="1:5">
      <c r="A536" s="2" t="s">
        <v>1307</v>
      </c>
      <c r="B536" t="s">
        <v>1302</v>
      </c>
      <c r="C536" t="s">
        <v>527</v>
      </c>
      <c r="D536" t="s">
        <v>176</v>
      </c>
      <c r="E536" t="s">
        <v>1303</v>
      </c>
    </row>
    <row r="537" spans="1:5">
      <c r="A537" s="2" t="s">
        <v>1308</v>
      </c>
      <c r="B537" t="s">
        <v>1302</v>
      </c>
      <c r="C537" t="s">
        <v>254</v>
      </c>
      <c r="D537" t="s">
        <v>176</v>
      </c>
      <c r="E537" t="s">
        <v>1303</v>
      </c>
    </row>
    <row r="538" spans="1:5">
      <c r="A538" s="2" t="s">
        <v>1309</v>
      </c>
      <c r="B538" t="s">
        <v>1302</v>
      </c>
      <c r="C538" t="s">
        <v>298</v>
      </c>
      <c r="D538" t="s">
        <v>176</v>
      </c>
      <c r="E538" t="s">
        <v>1303</v>
      </c>
    </row>
    <row r="539" spans="1:5">
      <c r="A539" s="2" t="s">
        <v>1310</v>
      </c>
      <c r="B539" t="s">
        <v>1302</v>
      </c>
      <c r="C539" t="s">
        <v>817</v>
      </c>
      <c r="D539" t="s">
        <v>176</v>
      </c>
      <c r="E539" t="s">
        <v>1303</v>
      </c>
    </row>
    <row r="540" spans="1:5">
      <c r="A540" s="2" t="s">
        <v>1311</v>
      </c>
      <c r="B540" t="s">
        <v>1302</v>
      </c>
      <c r="C540" t="s">
        <v>558</v>
      </c>
      <c r="D540" t="s">
        <v>176</v>
      </c>
      <c r="E540" t="s">
        <v>1303</v>
      </c>
    </row>
    <row r="541" spans="1:5">
      <c r="A541" s="2" t="s">
        <v>1312</v>
      </c>
      <c r="B541" t="s">
        <v>1302</v>
      </c>
      <c r="C541" t="s">
        <v>548</v>
      </c>
      <c r="D541" t="s">
        <v>176</v>
      </c>
      <c r="E541" t="s">
        <v>1303</v>
      </c>
    </row>
    <row r="542" spans="1:5">
      <c r="A542" s="2" t="s">
        <v>1313</v>
      </c>
      <c r="B542" t="s">
        <v>1302</v>
      </c>
      <c r="C542" t="s">
        <v>573</v>
      </c>
      <c r="D542" t="s">
        <v>176</v>
      </c>
      <c r="E542" t="s">
        <v>1303</v>
      </c>
    </row>
    <row r="543" spans="1:5">
      <c r="A543" s="2" t="s">
        <v>1314</v>
      </c>
      <c r="B543" t="s">
        <v>1302</v>
      </c>
      <c r="C543" t="s">
        <v>550</v>
      </c>
      <c r="D543" t="s">
        <v>176</v>
      </c>
      <c r="E543" t="s">
        <v>1303</v>
      </c>
    </row>
    <row r="544" spans="1:5">
      <c r="A544" s="2" t="s">
        <v>1315</v>
      </c>
      <c r="B544" t="s">
        <v>1316</v>
      </c>
      <c r="C544" t="s">
        <v>590</v>
      </c>
      <c r="D544" t="s">
        <v>176</v>
      </c>
      <c r="E544" t="s">
        <v>1317</v>
      </c>
    </row>
    <row r="545" spans="1:5">
      <c r="A545" s="2" t="s">
        <v>1318</v>
      </c>
      <c r="B545" t="s">
        <v>1316</v>
      </c>
      <c r="C545" t="s">
        <v>1002</v>
      </c>
      <c r="D545" t="s">
        <v>176</v>
      </c>
      <c r="E545" t="s">
        <v>1317</v>
      </c>
    </row>
    <row r="546" spans="1:5">
      <c r="A546" s="2" t="s">
        <v>1319</v>
      </c>
      <c r="B546" t="s">
        <v>1316</v>
      </c>
      <c r="C546" t="s">
        <v>534</v>
      </c>
      <c r="D546" t="s">
        <v>176</v>
      </c>
      <c r="E546" t="s">
        <v>1317</v>
      </c>
    </row>
    <row r="547" spans="1:5">
      <c r="A547" s="2" t="s">
        <v>1320</v>
      </c>
      <c r="B547" t="s">
        <v>1316</v>
      </c>
      <c r="C547" t="s">
        <v>330</v>
      </c>
      <c r="D547" t="s">
        <v>176</v>
      </c>
      <c r="E547" t="s">
        <v>1317</v>
      </c>
    </row>
    <row r="548" spans="1:5">
      <c r="A548" s="2" t="s">
        <v>1321</v>
      </c>
      <c r="B548" t="s">
        <v>1316</v>
      </c>
      <c r="C548" t="s">
        <v>527</v>
      </c>
      <c r="D548" t="s">
        <v>176</v>
      </c>
      <c r="E548" t="s">
        <v>1317</v>
      </c>
    </row>
    <row r="549" spans="1:5">
      <c r="A549" s="2" t="s">
        <v>1322</v>
      </c>
      <c r="B549" t="s">
        <v>1316</v>
      </c>
      <c r="C549" t="s">
        <v>254</v>
      </c>
      <c r="D549" t="s">
        <v>176</v>
      </c>
      <c r="E549" t="s">
        <v>1317</v>
      </c>
    </row>
    <row r="550" spans="1:5">
      <c r="A550" s="2" t="s">
        <v>1323</v>
      </c>
      <c r="B550" t="s">
        <v>1316</v>
      </c>
      <c r="C550" t="s">
        <v>298</v>
      </c>
      <c r="D550" t="s">
        <v>176</v>
      </c>
      <c r="E550" t="s">
        <v>1317</v>
      </c>
    </row>
    <row r="551" spans="1:5">
      <c r="A551" s="2" t="s">
        <v>1324</v>
      </c>
      <c r="B551" t="s">
        <v>1316</v>
      </c>
      <c r="C551" t="s">
        <v>817</v>
      </c>
      <c r="D551" t="s">
        <v>176</v>
      </c>
      <c r="E551" t="s">
        <v>1317</v>
      </c>
    </row>
    <row r="552" spans="1:5">
      <c r="A552" s="2" t="s">
        <v>1325</v>
      </c>
      <c r="B552" t="s">
        <v>1316</v>
      </c>
      <c r="C552" t="s">
        <v>592</v>
      </c>
      <c r="D552" t="s">
        <v>186</v>
      </c>
      <c r="E552" t="s">
        <v>1221</v>
      </c>
    </row>
    <row r="553" spans="1:5">
      <c r="A553" s="2" t="s">
        <v>1326</v>
      </c>
      <c r="B553" t="s">
        <v>1327</v>
      </c>
      <c r="C553" t="s">
        <v>298</v>
      </c>
      <c r="D553" t="s">
        <v>1328</v>
      </c>
      <c r="E553" t="s">
        <v>1329</v>
      </c>
    </row>
    <row r="554" spans="1:5">
      <c r="A554" s="2" t="s">
        <v>1330</v>
      </c>
      <c r="B554" t="s">
        <v>1327</v>
      </c>
      <c r="C554" t="s">
        <v>530</v>
      </c>
      <c r="D554" t="s">
        <v>1328</v>
      </c>
      <c r="E554" t="s">
        <v>1329</v>
      </c>
    </row>
    <row r="555" spans="1:5">
      <c r="A555" s="2" t="s">
        <v>1331</v>
      </c>
      <c r="B555" t="s">
        <v>1327</v>
      </c>
      <c r="C555" t="s">
        <v>254</v>
      </c>
      <c r="D555" t="s">
        <v>1328</v>
      </c>
      <c r="E555" t="s">
        <v>1329</v>
      </c>
    </row>
    <row r="556" spans="1:5">
      <c r="A556" s="2" t="s">
        <v>1332</v>
      </c>
      <c r="B556" t="s">
        <v>1327</v>
      </c>
      <c r="C556" t="s">
        <v>556</v>
      </c>
      <c r="D556" t="s">
        <v>1328</v>
      </c>
      <c r="E556" t="s">
        <v>1333</v>
      </c>
    </row>
    <row r="557" spans="1:5">
      <c r="A557" s="2" t="s">
        <v>1334</v>
      </c>
      <c r="B557" t="s">
        <v>1327</v>
      </c>
      <c r="C557" t="s">
        <v>815</v>
      </c>
      <c r="D557" t="s">
        <v>1328</v>
      </c>
      <c r="E557" t="s">
        <v>1333</v>
      </c>
    </row>
    <row r="558" spans="1:5">
      <c r="A558" s="2" t="s">
        <v>1335</v>
      </c>
      <c r="B558" t="s">
        <v>1327</v>
      </c>
      <c r="C558" t="s">
        <v>817</v>
      </c>
      <c r="D558" t="s">
        <v>1328</v>
      </c>
      <c r="E558" t="s">
        <v>1333</v>
      </c>
    </row>
    <row r="559" spans="1:5">
      <c r="A559" s="2" t="s">
        <v>1336</v>
      </c>
      <c r="B559" t="s">
        <v>1337</v>
      </c>
      <c r="C559" t="s">
        <v>254</v>
      </c>
      <c r="D559" t="s">
        <v>1328</v>
      </c>
      <c r="E559" t="s">
        <v>1338</v>
      </c>
    </row>
    <row r="560" spans="1:5">
      <c r="A560" s="2" t="s">
        <v>1339</v>
      </c>
      <c r="B560" t="s">
        <v>1337</v>
      </c>
      <c r="C560" t="s">
        <v>298</v>
      </c>
      <c r="D560" t="s">
        <v>1328</v>
      </c>
      <c r="E560" t="s">
        <v>1338</v>
      </c>
    </row>
    <row r="561" spans="1:5">
      <c r="A561" s="2" t="s">
        <v>1340</v>
      </c>
      <c r="B561" t="s">
        <v>1337</v>
      </c>
      <c r="C561" t="s">
        <v>530</v>
      </c>
      <c r="D561" t="s">
        <v>1328</v>
      </c>
      <c r="E561" t="s">
        <v>1338</v>
      </c>
    </row>
    <row r="562" spans="1:5">
      <c r="A562" s="2" t="s">
        <v>1341</v>
      </c>
      <c r="B562" t="s">
        <v>1337</v>
      </c>
      <c r="C562" t="s">
        <v>534</v>
      </c>
      <c r="D562" t="s">
        <v>1328</v>
      </c>
      <c r="E562" t="s">
        <v>1333</v>
      </c>
    </row>
    <row r="563" spans="1:5">
      <c r="A563" s="2" t="s">
        <v>1342</v>
      </c>
      <c r="B563" t="s">
        <v>1337</v>
      </c>
      <c r="C563" t="s">
        <v>556</v>
      </c>
      <c r="D563" t="s">
        <v>1328</v>
      </c>
      <c r="E563" t="s">
        <v>1343</v>
      </c>
    </row>
    <row r="564" spans="1:5">
      <c r="A564" s="2" t="s">
        <v>1344</v>
      </c>
      <c r="B564" t="s">
        <v>1337</v>
      </c>
      <c r="C564" t="s">
        <v>815</v>
      </c>
      <c r="D564" t="s">
        <v>1328</v>
      </c>
      <c r="E564" t="s">
        <v>1343</v>
      </c>
    </row>
    <row r="565" spans="1:5">
      <c r="A565" s="2" t="s">
        <v>1345</v>
      </c>
      <c r="B565" t="s">
        <v>1337</v>
      </c>
      <c r="C565" t="s">
        <v>817</v>
      </c>
      <c r="D565" t="s">
        <v>1328</v>
      </c>
      <c r="E565" t="s">
        <v>1343</v>
      </c>
    </row>
    <row r="566" spans="1:5">
      <c r="A566" s="2" t="s">
        <v>1346</v>
      </c>
      <c r="B566" t="s">
        <v>1337</v>
      </c>
      <c r="C566" t="s">
        <v>870</v>
      </c>
      <c r="D566" t="s">
        <v>1328</v>
      </c>
      <c r="E566" t="s">
        <v>1343</v>
      </c>
    </row>
    <row r="567" spans="1:5">
      <c r="A567" s="2" t="s">
        <v>1347</v>
      </c>
      <c r="B567" t="s">
        <v>1337</v>
      </c>
      <c r="C567" t="s">
        <v>872</v>
      </c>
      <c r="D567" t="s">
        <v>1328</v>
      </c>
      <c r="E567" t="s">
        <v>1343</v>
      </c>
    </row>
    <row r="568" spans="1:5">
      <c r="A568" s="2" t="s">
        <v>1348</v>
      </c>
      <c r="B568" t="s">
        <v>1349</v>
      </c>
      <c r="C568" t="s">
        <v>254</v>
      </c>
      <c r="D568" t="s">
        <v>1328</v>
      </c>
      <c r="E568" t="s">
        <v>1350</v>
      </c>
    </row>
    <row r="569" spans="1:5">
      <c r="A569" s="2" t="s">
        <v>1351</v>
      </c>
      <c r="B569" t="s">
        <v>1349</v>
      </c>
      <c r="C569" t="s">
        <v>530</v>
      </c>
      <c r="D569" t="s">
        <v>1328</v>
      </c>
      <c r="E569" t="s">
        <v>1350</v>
      </c>
    </row>
    <row r="570" spans="1:5">
      <c r="A570" s="2" t="s">
        <v>1352</v>
      </c>
      <c r="B570" t="s">
        <v>1349</v>
      </c>
      <c r="C570" t="s">
        <v>556</v>
      </c>
      <c r="D570" t="s">
        <v>1328</v>
      </c>
      <c r="E570" t="s">
        <v>1350</v>
      </c>
    </row>
    <row r="571" spans="1:5">
      <c r="A571" s="2" t="s">
        <v>1353</v>
      </c>
      <c r="B571" t="s">
        <v>1349</v>
      </c>
      <c r="C571" t="s">
        <v>815</v>
      </c>
      <c r="D571" t="s">
        <v>1328</v>
      </c>
      <c r="E571" t="s">
        <v>1350</v>
      </c>
    </row>
    <row r="572" spans="1:5">
      <c r="A572" s="2" t="s">
        <v>1354</v>
      </c>
      <c r="B572" t="s">
        <v>1349</v>
      </c>
      <c r="C572" t="s">
        <v>817</v>
      </c>
      <c r="D572" t="s">
        <v>1328</v>
      </c>
      <c r="E572" t="s">
        <v>1350</v>
      </c>
    </row>
    <row r="573" spans="1:5">
      <c r="A573" s="2" t="s">
        <v>1355</v>
      </c>
      <c r="B573" t="s">
        <v>1356</v>
      </c>
      <c r="C573" t="s">
        <v>298</v>
      </c>
      <c r="D573" t="s">
        <v>1328</v>
      </c>
      <c r="E573" t="s">
        <v>1357</v>
      </c>
    </row>
    <row r="574" spans="1:5">
      <c r="A574" s="2" t="s">
        <v>1358</v>
      </c>
      <c r="B574" t="s">
        <v>1356</v>
      </c>
      <c r="C574" t="s">
        <v>530</v>
      </c>
      <c r="D574" t="s">
        <v>1328</v>
      </c>
      <c r="E574" t="s">
        <v>1357</v>
      </c>
    </row>
    <row r="575" spans="1:5">
      <c r="A575" s="2" t="s">
        <v>1359</v>
      </c>
      <c r="B575" t="s">
        <v>1356</v>
      </c>
      <c r="C575" t="s">
        <v>534</v>
      </c>
      <c r="D575" t="s">
        <v>1328</v>
      </c>
      <c r="E575" t="s">
        <v>1350</v>
      </c>
    </row>
    <row r="576" spans="1:5">
      <c r="A576" s="2" t="s">
        <v>1360</v>
      </c>
      <c r="B576" t="s">
        <v>1356</v>
      </c>
      <c r="C576" t="s">
        <v>556</v>
      </c>
      <c r="D576" t="s">
        <v>1328</v>
      </c>
      <c r="E576" t="s">
        <v>1357</v>
      </c>
    </row>
    <row r="577" spans="1:5">
      <c r="A577" s="2" t="s">
        <v>1361</v>
      </c>
      <c r="B577" t="s">
        <v>1356</v>
      </c>
      <c r="C577" t="s">
        <v>815</v>
      </c>
      <c r="D577" t="s">
        <v>1328</v>
      </c>
      <c r="E577" t="s">
        <v>1357</v>
      </c>
    </row>
    <row r="578" spans="1:5">
      <c r="A578" s="2" t="s">
        <v>1362</v>
      </c>
      <c r="B578" t="s">
        <v>1356</v>
      </c>
      <c r="C578" t="s">
        <v>817</v>
      </c>
      <c r="D578" t="s">
        <v>1328</v>
      </c>
      <c r="E578" t="s">
        <v>1357</v>
      </c>
    </row>
    <row r="579" spans="1:5">
      <c r="A579" s="2" t="s">
        <v>1363</v>
      </c>
      <c r="B579" t="s">
        <v>1356</v>
      </c>
      <c r="C579" t="s">
        <v>870</v>
      </c>
      <c r="D579" t="s">
        <v>1328</v>
      </c>
      <c r="E579" t="s">
        <v>1357</v>
      </c>
    </row>
    <row r="580" spans="1:5">
      <c r="A580" s="2" t="s">
        <v>1364</v>
      </c>
      <c r="B580" t="s">
        <v>1356</v>
      </c>
      <c r="C580" t="s">
        <v>872</v>
      </c>
      <c r="D580" t="s">
        <v>1328</v>
      </c>
      <c r="E580" t="s">
        <v>1357</v>
      </c>
    </row>
    <row r="581" spans="1:5">
      <c r="A581" s="2" t="s">
        <v>1365</v>
      </c>
      <c r="B581" t="s">
        <v>1356</v>
      </c>
      <c r="C581" t="s">
        <v>254</v>
      </c>
      <c r="D581" t="s">
        <v>1328</v>
      </c>
      <c r="E581" t="s">
        <v>1357</v>
      </c>
    </row>
    <row r="582" spans="1:5">
      <c r="A582" s="2" t="s">
        <v>1366</v>
      </c>
      <c r="B582" t="s">
        <v>1367</v>
      </c>
      <c r="C582" t="s">
        <v>254</v>
      </c>
      <c r="D582" t="s">
        <v>1328</v>
      </c>
      <c r="E582" t="s">
        <v>1343</v>
      </c>
    </row>
    <row r="583" spans="1:5">
      <c r="A583" s="2" t="s">
        <v>1368</v>
      </c>
      <c r="B583" t="s">
        <v>1367</v>
      </c>
      <c r="C583" t="s">
        <v>581</v>
      </c>
      <c r="D583" t="s">
        <v>1328</v>
      </c>
      <c r="E583" t="s">
        <v>1343</v>
      </c>
    </row>
    <row r="584" spans="1:5">
      <c r="A584" s="2" t="s">
        <v>1369</v>
      </c>
      <c r="B584" t="s">
        <v>1367</v>
      </c>
      <c r="C584" t="s">
        <v>530</v>
      </c>
      <c r="D584" t="s">
        <v>1328</v>
      </c>
      <c r="E584" t="s">
        <v>1343</v>
      </c>
    </row>
    <row r="585" spans="1:5">
      <c r="A585" s="2" t="s">
        <v>1370</v>
      </c>
      <c r="B585" t="s">
        <v>1367</v>
      </c>
      <c r="C585" t="s">
        <v>974</v>
      </c>
      <c r="D585" t="s">
        <v>1328</v>
      </c>
      <c r="E585" t="s">
        <v>1343</v>
      </c>
    </row>
    <row r="586" spans="1:5">
      <c r="A586" s="2" t="s">
        <v>1371</v>
      </c>
      <c r="B586" t="s">
        <v>1367</v>
      </c>
      <c r="C586" t="s">
        <v>1063</v>
      </c>
      <c r="D586" t="s">
        <v>1328</v>
      </c>
      <c r="E586" t="s">
        <v>1343</v>
      </c>
    </row>
    <row r="587" spans="1:5">
      <c r="A587" s="2" t="s">
        <v>1372</v>
      </c>
      <c r="B587" t="s">
        <v>1367</v>
      </c>
      <c r="C587" t="s">
        <v>556</v>
      </c>
      <c r="D587" t="s">
        <v>1328</v>
      </c>
      <c r="E587" t="s">
        <v>1343</v>
      </c>
    </row>
    <row r="588" spans="1:5">
      <c r="A588" s="2" t="s">
        <v>1373</v>
      </c>
      <c r="B588" t="s">
        <v>1367</v>
      </c>
      <c r="C588" t="s">
        <v>638</v>
      </c>
      <c r="D588" t="s">
        <v>1328</v>
      </c>
      <c r="E588" t="s">
        <v>1343</v>
      </c>
    </row>
    <row r="589" spans="1:5">
      <c r="A589" s="2" t="s">
        <v>1374</v>
      </c>
      <c r="B589" t="s">
        <v>1367</v>
      </c>
      <c r="C589" t="s">
        <v>606</v>
      </c>
      <c r="D589" t="s">
        <v>1328</v>
      </c>
      <c r="E589" t="s">
        <v>1343</v>
      </c>
    </row>
    <row r="590" spans="1:5">
      <c r="A590" s="2" t="s">
        <v>1375</v>
      </c>
      <c r="B590" t="s">
        <v>1367</v>
      </c>
      <c r="C590" t="s">
        <v>1376</v>
      </c>
      <c r="D590" t="s">
        <v>1328</v>
      </c>
      <c r="E590" t="s">
        <v>1343</v>
      </c>
    </row>
    <row r="591" spans="1:5">
      <c r="A591" s="2" t="s">
        <v>1377</v>
      </c>
      <c r="B591" t="s">
        <v>1367</v>
      </c>
      <c r="C591" t="s">
        <v>573</v>
      </c>
      <c r="D591" t="s">
        <v>1328</v>
      </c>
      <c r="E591" t="s">
        <v>1343</v>
      </c>
    </row>
    <row r="592" spans="1:5">
      <c r="A592" s="2" t="s">
        <v>1378</v>
      </c>
      <c r="B592" t="s">
        <v>1367</v>
      </c>
      <c r="C592" t="s">
        <v>550</v>
      </c>
      <c r="D592" t="s">
        <v>1328</v>
      </c>
      <c r="E592" t="s">
        <v>1343</v>
      </c>
    </row>
    <row r="593" spans="1:5">
      <c r="A593" s="2" t="s">
        <v>1379</v>
      </c>
      <c r="B593" t="s">
        <v>1367</v>
      </c>
      <c r="C593" t="s">
        <v>815</v>
      </c>
      <c r="D593" t="s">
        <v>1328</v>
      </c>
      <c r="E593" t="s">
        <v>1343</v>
      </c>
    </row>
    <row r="594" spans="1:5">
      <c r="A594" s="2" t="s">
        <v>1380</v>
      </c>
      <c r="B594" t="s">
        <v>1367</v>
      </c>
      <c r="C594" t="s">
        <v>566</v>
      </c>
      <c r="D594" t="s">
        <v>1328</v>
      </c>
      <c r="E594" t="s">
        <v>1343</v>
      </c>
    </row>
    <row r="595" spans="1:5">
      <c r="A595" s="2" t="s">
        <v>1381</v>
      </c>
      <c r="B595" t="s">
        <v>1367</v>
      </c>
      <c r="C595" t="s">
        <v>552</v>
      </c>
      <c r="D595" t="s">
        <v>1328</v>
      </c>
      <c r="E595" t="s">
        <v>1343</v>
      </c>
    </row>
    <row r="596" spans="1:5">
      <c r="A596" s="2" t="s">
        <v>1382</v>
      </c>
      <c r="B596" t="s">
        <v>1383</v>
      </c>
      <c r="C596" t="s">
        <v>254</v>
      </c>
      <c r="D596" t="s">
        <v>1328</v>
      </c>
      <c r="E596" t="s">
        <v>1333</v>
      </c>
    </row>
    <row r="597" spans="1:5">
      <c r="A597" s="2" t="s">
        <v>1384</v>
      </c>
      <c r="B597" t="s">
        <v>1383</v>
      </c>
      <c r="C597" t="s">
        <v>530</v>
      </c>
      <c r="D597" t="s">
        <v>1328</v>
      </c>
      <c r="E597" t="s">
        <v>1333</v>
      </c>
    </row>
    <row r="598" spans="1:5">
      <c r="A598" s="2" t="s">
        <v>1385</v>
      </c>
      <c r="B598" t="s">
        <v>1383</v>
      </c>
      <c r="C598" t="s">
        <v>974</v>
      </c>
      <c r="D598" t="s">
        <v>1328</v>
      </c>
      <c r="E598" t="s">
        <v>1333</v>
      </c>
    </row>
    <row r="599" spans="1:5">
      <c r="A599" s="2" t="s">
        <v>1386</v>
      </c>
      <c r="B599" t="s">
        <v>1383</v>
      </c>
      <c r="C599" t="s">
        <v>1063</v>
      </c>
      <c r="D599" t="s">
        <v>1328</v>
      </c>
      <c r="E599" t="s">
        <v>1333</v>
      </c>
    </row>
    <row r="600" spans="1:5">
      <c r="A600" s="2" t="s">
        <v>1387</v>
      </c>
      <c r="B600" t="s">
        <v>1383</v>
      </c>
      <c r="C600" t="s">
        <v>556</v>
      </c>
      <c r="D600" t="s">
        <v>1328</v>
      </c>
      <c r="E600" t="s">
        <v>1333</v>
      </c>
    </row>
    <row r="601" spans="1:5">
      <c r="A601" s="2" t="s">
        <v>1388</v>
      </c>
      <c r="B601" t="s">
        <v>1383</v>
      </c>
      <c r="C601" t="s">
        <v>1376</v>
      </c>
      <c r="D601" t="s">
        <v>1328</v>
      </c>
      <c r="E601" t="s">
        <v>1333</v>
      </c>
    </row>
    <row r="602" spans="1:5">
      <c r="A602" s="2" t="s">
        <v>1389</v>
      </c>
      <c r="B602" t="s">
        <v>1390</v>
      </c>
      <c r="C602" t="s">
        <v>254</v>
      </c>
      <c r="D602" t="s">
        <v>1328</v>
      </c>
      <c r="E602" t="s">
        <v>1357</v>
      </c>
    </row>
    <row r="603" spans="1:5">
      <c r="A603" s="2" t="s">
        <v>1391</v>
      </c>
      <c r="B603" t="s">
        <v>1390</v>
      </c>
      <c r="C603" t="s">
        <v>554</v>
      </c>
      <c r="D603" t="s">
        <v>1328</v>
      </c>
      <c r="E603" t="s">
        <v>1357</v>
      </c>
    </row>
    <row r="604" spans="1:5">
      <c r="A604" s="2" t="s">
        <v>1392</v>
      </c>
      <c r="B604" t="s">
        <v>1390</v>
      </c>
      <c r="C604" t="s">
        <v>581</v>
      </c>
      <c r="D604" t="s">
        <v>1328</v>
      </c>
      <c r="E604" t="s">
        <v>1357</v>
      </c>
    </row>
    <row r="605" spans="1:5">
      <c r="A605" s="2" t="s">
        <v>1393</v>
      </c>
      <c r="B605" t="s">
        <v>1390</v>
      </c>
      <c r="C605" t="s">
        <v>530</v>
      </c>
      <c r="D605" t="s">
        <v>1328</v>
      </c>
      <c r="E605" t="s">
        <v>1357</v>
      </c>
    </row>
    <row r="606" spans="1:5">
      <c r="A606" s="2" t="s">
        <v>1394</v>
      </c>
      <c r="B606" t="s">
        <v>1390</v>
      </c>
      <c r="C606" t="s">
        <v>974</v>
      </c>
      <c r="D606" t="s">
        <v>1328</v>
      </c>
      <c r="E606" t="s">
        <v>1357</v>
      </c>
    </row>
    <row r="607" spans="1:5">
      <c r="A607" s="2" t="s">
        <v>1395</v>
      </c>
      <c r="B607" t="s">
        <v>1390</v>
      </c>
      <c r="C607" t="s">
        <v>1063</v>
      </c>
      <c r="D607" t="s">
        <v>1328</v>
      </c>
      <c r="E607" t="s">
        <v>1357</v>
      </c>
    </row>
    <row r="608" spans="1:5">
      <c r="A608" s="2" t="s">
        <v>1396</v>
      </c>
      <c r="B608" t="s">
        <v>1390</v>
      </c>
      <c r="C608" t="s">
        <v>556</v>
      </c>
      <c r="D608" t="s">
        <v>1328</v>
      </c>
      <c r="E608" t="s">
        <v>1357</v>
      </c>
    </row>
    <row r="609" spans="1:5">
      <c r="A609" s="2" t="s">
        <v>1397</v>
      </c>
      <c r="B609" s="6" t="s">
        <v>1390</v>
      </c>
      <c r="C609" s="6" t="s">
        <v>638</v>
      </c>
      <c r="D609" t="s">
        <v>1328</v>
      </c>
      <c r="E609" t="s">
        <v>1357</v>
      </c>
    </row>
    <row r="610" ht="13.5" customHeight="1" spans="1:5">
      <c r="A610" s="2" t="s">
        <v>1398</v>
      </c>
      <c r="B610" t="s">
        <v>1390</v>
      </c>
      <c r="C610" t="s">
        <v>606</v>
      </c>
      <c r="D610" t="s">
        <v>1328</v>
      </c>
      <c r="E610" t="s">
        <v>1357</v>
      </c>
    </row>
    <row r="611" ht="13.5" customHeight="1" spans="1:5">
      <c r="A611" s="2" t="s">
        <v>1399</v>
      </c>
      <c r="B611" t="s">
        <v>1390</v>
      </c>
      <c r="C611" t="s">
        <v>1376</v>
      </c>
      <c r="D611" t="s">
        <v>1328</v>
      </c>
      <c r="E611" t="s">
        <v>1357</v>
      </c>
    </row>
    <row r="612" ht="13.5" customHeight="1" spans="1:5">
      <c r="A612" s="2" t="s">
        <v>1400</v>
      </c>
      <c r="B612" t="s">
        <v>1390</v>
      </c>
      <c r="C612" t="s">
        <v>573</v>
      </c>
      <c r="D612" t="s">
        <v>1328</v>
      </c>
      <c r="E612" t="s">
        <v>1357</v>
      </c>
    </row>
    <row r="613" ht="13.5" customHeight="1" spans="1:5">
      <c r="A613" s="2" t="s">
        <v>1401</v>
      </c>
      <c r="B613" t="s">
        <v>1390</v>
      </c>
      <c r="C613" t="s">
        <v>550</v>
      </c>
      <c r="D613" t="s">
        <v>1328</v>
      </c>
      <c r="E613" t="s">
        <v>1357</v>
      </c>
    </row>
    <row r="614" ht="13.5" customHeight="1" spans="1:5">
      <c r="A614" s="2" t="s">
        <v>1402</v>
      </c>
      <c r="B614" t="s">
        <v>1390</v>
      </c>
      <c r="C614" t="s">
        <v>815</v>
      </c>
      <c r="D614" t="s">
        <v>1328</v>
      </c>
      <c r="E614" t="s">
        <v>1357</v>
      </c>
    </row>
    <row r="615" ht="13.5" customHeight="1" spans="1:5">
      <c r="A615" s="2" t="s">
        <v>1403</v>
      </c>
      <c r="B615" t="s">
        <v>1390</v>
      </c>
      <c r="C615" t="s">
        <v>566</v>
      </c>
      <c r="D615" t="s">
        <v>1328</v>
      </c>
      <c r="E615" t="s">
        <v>1357</v>
      </c>
    </row>
    <row r="616" spans="1:5">
      <c r="A616" s="2" t="s">
        <v>1404</v>
      </c>
      <c r="B616" t="s">
        <v>1390</v>
      </c>
      <c r="C616" t="s">
        <v>552</v>
      </c>
      <c r="D616" t="s">
        <v>1328</v>
      </c>
      <c r="E616" t="s">
        <v>1357</v>
      </c>
    </row>
    <row r="617" spans="1:5">
      <c r="A617" s="2" t="s">
        <v>1405</v>
      </c>
      <c r="B617" t="s">
        <v>1390</v>
      </c>
      <c r="C617" t="s">
        <v>1406</v>
      </c>
      <c r="D617" t="s">
        <v>1328</v>
      </c>
      <c r="E617" t="s">
        <v>1357</v>
      </c>
    </row>
    <row r="618" spans="1:5">
      <c r="A618" s="2" t="s">
        <v>1407</v>
      </c>
      <c r="B618" t="s">
        <v>1408</v>
      </c>
      <c r="C618" t="s">
        <v>254</v>
      </c>
      <c r="D618" t="s">
        <v>1328</v>
      </c>
      <c r="E618" t="s">
        <v>1350</v>
      </c>
    </row>
    <row r="619" spans="1:5">
      <c r="A619" s="2" t="s">
        <v>1409</v>
      </c>
      <c r="B619" t="s">
        <v>1408</v>
      </c>
      <c r="C619" t="s">
        <v>548</v>
      </c>
      <c r="D619" t="s">
        <v>1328</v>
      </c>
      <c r="E619" t="s">
        <v>1350</v>
      </c>
    </row>
    <row r="620" spans="1:5">
      <c r="A620" s="2" t="s">
        <v>1410</v>
      </c>
      <c r="B620" t="s">
        <v>1408</v>
      </c>
      <c r="C620" t="s">
        <v>558</v>
      </c>
      <c r="D620" t="s">
        <v>1328</v>
      </c>
      <c r="E620" t="s">
        <v>1350</v>
      </c>
    </row>
    <row r="621" spans="1:5">
      <c r="A621" s="2" t="s">
        <v>1411</v>
      </c>
      <c r="B621" t="s">
        <v>1408</v>
      </c>
      <c r="C621" t="s">
        <v>530</v>
      </c>
      <c r="D621" t="s">
        <v>1328</v>
      </c>
      <c r="E621" t="s">
        <v>1350</v>
      </c>
    </row>
    <row r="622" spans="1:5">
      <c r="A622" s="2" t="s">
        <v>1412</v>
      </c>
      <c r="B622" t="s">
        <v>1408</v>
      </c>
      <c r="C622" t="s">
        <v>974</v>
      </c>
      <c r="D622" t="s">
        <v>1328</v>
      </c>
      <c r="E622" t="s">
        <v>1350</v>
      </c>
    </row>
    <row r="623" spans="1:5">
      <c r="A623" s="2" t="s">
        <v>1413</v>
      </c>
      <c r="B623" t="s">
        <v>1408</v>
      </c>
      <c r="C623" t="s">
        <v>1063</v>
      </c>
      <c r="D623" t="s">
        <v>1328</v>
      </c>
      <c r="E623" t="s">
        <v>1350</v>
      </c>
    </row>
    <row r="624" spans="1:5">
      <c r="A624" s="2" t="s">
        <v>1414</v>
      </c>
      <c r="B624" t="s">
        <v>1408</v>
      </c>
      <c r="C624" t="s">
        <v>556</v>
      </c>
      <c r="D624" t="s">
        <v>1328</v>
      </c>
      <c r="E624" t="s">
        <v>1350</v>
      </c>
    </row>
    <row r="625" spans="1:5">
      <c r="A625" s="2" t="s">
        <v>1415</v>
      </c>
      <c r="B625" t="s">
        <v>1408</v>
      </c>
      <c r="C625" t="s">
        <v>1376</v>
      </c>
      <c r="D625" t="s">
        <v>1328</v>
      </c>
      <c r="E625" t="s">
        <v>1350</v>
      </c>
    </row>
    <row r="626" spans="1:5">
      <c r="A626" s="2" t="s">
        <v>1416</v>
      </c>
      <c r="B626" s="5" t="s">
        <v>1417</v>
      </c>
      <c r="C626" s="5" t="s">
        <v>254</v>
      </c>
      <c r="D626" s="5" t="s">
        <v>207</v>
      </c>
      <c r="E626" s="5" t="s">
        <v>1418</v>
      </c>
    </row>
    <row r="627" spans="1:5">
      <c r="A627" s="2" t="s">
        <v>1419</v>
      </c>
      <c r="B627" s="5" t="s">
        <v>1417</v>
      </c>
      <c r="C627" s="5" t="s">
        <v>562</v>
      </c>
      <c r="D627" s="5" t="s">
        <v>207</v>
      </c>
      <c r="E627" s="5" t="s">
        <v>1418</v>
      </c>
    </row>
    <row r="628" spans="1:5">
      <c r="A628" s="2" t="s">
        <v>1420</v>
      </c>
      <c r="B628" s="5" t="s">
        <v>1417</v>
      </c>
      <c r="C628" s="5">
        <v>22</v>
      </c>
      <c r="D628" s="5" t="s">
        <v>207</v>
      </c>
      <c r="E628" s="5" t="s">
        <v>1418</v>
      </c>
    </row>
    <row r="629" spans="1:5">
      <c r="A629" s="2" t="s">
        <v>1421</v>
      </c>
      <c r="B629" s="5" t="s">
        <v>1417</v>
      </c>
      <c r="C629" s="5">
        <v>18</v>
      </c>
      <c r="D629" s="5" t="s">
        <v>207</v>
      </c>
      <c r="E629" s="5" t="s">
        <v>1418</v>
      </c>
    </row>
    <row r="630" spans="1:5">
      <c r="A630" s="2" t="s">
        <v>1422</v>
      </c>
      <c r="B630" s="5" t="s">
        <v>1417</v>
      </c>
      <c r="C630" s="5">
        <v>23</v>
      </c>
      <c r="D630" s="5" t="s">
        <v>207</v>
      </c>
      <c r="E630" s="5" t="s">
        <v>1418</v>
      </c>
    </row>
    <row r="631" spans="1:5">
      <c r="A631" s="2" t="s">
        <v>1423</v>
      </c>
      <c r="B631" s="5" t="s">
        <v>1417</v>
      </c>
      <c r="C631" s="5">
        <v>14</v>
      </c>
      <c r="D631" s="5" t="s">
        <v>207</v>
      </c>
      <c r="E631" s="5" t="s">
        <v>1418</v>
      </c>
    </row>
    <row r="632" spans="1:5">
      <c r="A632" s="2" t="s">
        <v>1424</v>
      </c>
      <c r="B632" s="5" t="s">
        <v>1417</v>
      </c>
      <c r="C632" s="5">
        <v>19</v>
      </c>
      <c r="D632" s="5" t="s">
        <v>207</v>
      </c>
      <c r="E632" s="5" t="s">
        <v>1418</v>
      </c>
    </row>
    <row r="633" spans="1:5">
      <c r="A633" s="2" t="s">
        <v>1425</v>
      </c>
      <c r="B633" s="5" t="s">
        <v>1417</v>
      </c>
      <c r="C633" s="5" t="s">
        <v>298</v>
      </c>
      <c r="D633" s="5" t="s">
        <v>207</v>
      </c>
      <c r="E633" s="5" t="s">
        <v>1418</v>
      </c>
    </row>
    <row r="634" spans="1:5">
      <c r="A634" s="2" t="s">
        <v>1426</v>
      </c>
      <c r="B634" s="5" t="s">
        <v>1417</v>
      </c>
      <c r="C634" s="5" t="s">
        <v>330</v>
      </c>
      <c r="D634" s="5" t="s">
        <v>207</v>
      </c>
      <c r="E634" s="5" t="s">
        <v>1418</v>
      </c>
    </row>
    <row r="635" spans="1:5">
      <c r="A635" s="2" t="s">
        <v>1427</v>
      </c>
      <c r="B635" s="5" t="s">
        <v>1417</v>
      </c>
      <c r="C635" s="5" t="s">
        <v>527</v>
      </c>
      <c r="D635" s="5" t="s">
        <v>207</v>
      </c>
      <c r="E635" s="5" t="s">
        <v>1418</v>
      </c>
    </row>
    <row r="636" spans="1:5">
      <c r="A636" s="2" t="s">
        <v>1428</v>
      </c>
      <c r="B636" s="5" t="s">
        <v>1417</v>
      </c>
      <c r="C636" s="5" t="s">
        <v>1026</v>
      </c>
      <c r="D636" s="5" t="s">
        <v>207</v>
      </c>
      <c r="E636" s="5" t="s">
        <v>1418</v>
      </c>
    </row>
    <row r="637" spans="1:5">
      <c r="A637" s="2" t="s">
        <v>1429</v>
      </c>
      <c r="B637" s="5" t="s">
        <v>1417</v>
      </c>
      <c r="C637" s="5" t="s">
        <v>1223</v>
      </c>
      <c r="D637" s="5" t="s">
        <v>207</v>
      </c>
      <c r="E637" s="5" t="s">
        <v>1418</v>
      </c>
    </row>
    <row r="638" spans="1:5">
      <c r="A638" s="2" t="s">
        <v>1430</v>
      </c>
      <c r="B638" s="5" t="s">
        <v>1417</v>
      </c>
      <c r="C638" s="5" t="s">
        <v>1210</v>
      </c>
      <c r="D638" s="5" t="s">
        <v>207</v>
      </c>
      <c r="E638" s="5" t="s">
        <v>1418</v>
      </c>
    </row>
    <row r="639" spans="1:5">
      <c r="A639" s="2" t="s">
        <v>1431</v>
      </c>
      <c r="B639" s="5" t="s">
        <v>1417</v>
      </c>
      <c r="C639" s="5" t="s">
        <v>1212</v>
      </c>
      <c r="D639" s="5" t="s">
        <v>207</v>
      </c>
      <c r="E639" s="5" t="s">
        <v>1418</v>
      </c>
    </row>
    <row r="640" spans="1:5">
      <c r="A640" s="2" t="s">
        <v>1432</v>
      </c>
      <c r="B640" s="3" t="s">
        <v>1417</v>
      </c>
      <c r="C640" s="3" t="s">
        <v>313</v>
      </c>
      <c r="D640" s="3" t="s">
        <v>207</v>
      </c>
      <c r="E640" s="3" t="s">
        <v>1418</v>
      </c>
    </row>
    <row r="641" spans="1:5">
      <c r="A641" s="2" t="s">
        <v>1433</v>
      </c>
      <c r="B641" s="3" t="s">
        <v>1417</v>
      </c>
      <c r="C641" s="3" t="s">
        <v>1434</v>
      </c>
      <c r="D641" s="3" t="s">
        <v>207</v>
      </c>
      <c r="E641" s="3" t="s">
        <v>1418</v>
      </c>
    </row>
    <row r="642" spans="1:5">
      <c r="A642" s="2" t="s">
        <v>1435</v>
      </c>
      <c r="B642" s="3" t="s">
        <v>1417</v>
      </c>
      <c r="C642" s="3" t="s">
        <v>530</v>
      </c>
      <c r="D642" s="3" t="s">
        <v>207</v>
      </c>
      <c r="E642" s="3" t="s">
        <v>1418</v>
      </c>
    </row>
    <row r="643" spans="1:5">
      <c r="A643" s="2" t="s">
        <v>1436</v>
      </c>
      <c r="B643" s="3" t="s">
        <v>1417</v>
      </c>
      <c r="C643" s="3" t="s">
        <v>534</v>
      </c>
      <c r="D643" s="3" t="s">
        <v>207</v>
      </c>
      <c r="E643" s="3" t="s">
        <v>1418</v>
      </c>
    </row>
    <row r="644" spans="1:5">
      <c r="A644" s="2" t="s">
        <v>1437</v>
      </c>
      <c r="B644" t="s">
        <v>1417</v>
      </c>
      <c r="C644" t="s">
        <v>532</v>
      </c>
      <c r="D644" t="s">
        <v>207</v>
      </c>
      <c r="E644" t="s">
        <v>1418</v>
      </c>
    </row>
    <row r="645" spans="1:5">
      <c r="A645" s="2" t="s">
        <v>1438</v>
      </c>
      <c r="B645" t="s">
        <v>1417</v>
      </c>
      <c r="C645" t="s">
        <v>536</v>
      </c>
      <c r="D645" t="s">
        <v>207</v>
      </c>
      <c r="E645" t="s">
        <v>1418</v>
      </c>
    </row>
    <row r="646" spans="1:5">
      <c r="A646" s="2" t="s">
        <v>1423</v>
      </c>
      <c r="B646" t="s">
        <v>1417</v>
      </c>
      <c r="C646" t="s">
        <v>1439</v>
      </c>
      <c r="D646" t="s">
        <v>207</v>
      </c>
      <c r="E646" t="s">
        <v>1418</v>
      </c>
    </row>
    <row r="647" spans="1:5">
      <c r="A647" s="2" t="s">
        <v>1440</v>
      </c>
      <c r="B647" t="s">
        <v>1417</v>
      </c>
      <c r="C647" t="s">
        <v>1441</v>
      </c>
      <c r="D647" t="s">
        <v>207</v>
      </c>
      <c r="E647" t="s">
        <v>1418</v>
      </c>
    </row>
    <row r="648" spans="1:5">
      <c r="A648" s="2" t="s">
        <v>1442</v>
      </c>
      <c r="B648" t="s">
        <v>1417</v>
      </c>
      <c r="C648" t="s">
        <v>558</v>
      </c>
      <c r="D648" t="s">
        <v>207</v>
      </c>
      <c r="E648" t="s">
        <v>1418</v>
      </c>
    </row>
    <row r="649" spans="1:5">
      <c r="A649" s="2" t="s">
        <v>1443</v>
      </c>
      <c r="B649" t="s">
        <v>1417</v>
      </c>
      <c r="C649" t="s">
        <v>573</v>
      </c>
      <c r="D649" t="s">
        <v>207</v>
      </c>
      <c r="E649" t="s">
        <v>1418</v>
      </c>
    </row>
    <row r="650" spans="1:5">
      <c r="A650" s="2" t="s">
        <v>1444</v>
      </c>
      <c r="B650" t="s">
        <v>1417</v>
      </c>
      <c r="C650" t="s">
        <v>566</v>
      </c>
      <c r="D650" t="s">
        <v>207</v>
      </c>
      <c r="E650" t="s">
        <v>1418</v>
      </c>
    </row>
    <row r="651" spans="1:5">
      <c r="A651" s="2" t="s">
        <v>1445</v>
      </c>
      <c r="B651" t="s">
        <v>1417</v>
      </c>
      <c r="C651" t="s">
        <v>581</v>
      </c>
      <c r="D651" t="s">
        <v>207</v>
      </c>
      <c r="E651" t="s">
        <v>1418</v>
      </c>
    </row>
    <row r="652" spans="1:5">
      <c r="A652" s="2" t="s">
        <v>1446</v>
      </c>
      <c r="B652" s="5" t="s">
        <v>1447</v>
      </c>
      <c r="C652" s="5" t="s">
        <v>254</v>
      </c>
      <c r="D652" s="5" t="s">
        <v>207</v>
      </c>
      <c r="E652" s="5" t="s">
        <v>1448</v>
      </c>
    </row>
    <row r="653" spans="1:5">
      <c r="A653" s="2" t="s">
        <v>1449</v>
      </c>
      <c r="B653" s="5" t="s">
        <v>1447</v>
      </c>
      <c r="C653" s="5" t="s">
        <v>298</v>
      </c>
      <c r="D653" s="5" t="s">
        <v>207</v>
      </c>
      <c r="E653" s="5" t="s">
        <v>1448</v>
      </c>
    </row>
    <row r="654" spans="1:5">
      <c r="A654" s="2" t="s">
        <v>1450</v>
      </c>
      <c r="B654" s="5" t="s">
        <v>1447</v>
      </c>
      <c r="C654" s="5" t="s">
        <v>330</v>
      </c>
      <c r="D654" s="5" t="s">
        <v>207</v>
      </c>
      <c r="E654" s="5" t="s">
        <v>1448</v>
      </c>
    </row>
    <row r="655" spans="1:5">
      <c r="A655" s="2" t="s">
        <v>1451</v>
      </c>
      <c r="B655" s="5" t="s">
        <v>1447</v>
      </c>
      <c r="C655" s="5" t="s">
        <v>527</v>
      </c>
      <c r="D655" s="5" t="s">
        <v>207</v>
      </c>
      <c r="E655" s="5" t="s">
        <v>1448</v>
      </c>
    </row>
    <row r="656" spans="1:5">
      <c r="A656" s="2" t="s">
        <v>1452</v>
      </c>
      <c r="B656" s="5" t="s">
        <v>1453</v>
      </c>
      <c r="C656" s="5" t="s">
        <v>254</v>
      </c>
      <c r="D656" s="5" t="s">
        <v>207</v>
      </c>
      <c r="E656" s="5" t="s">
        <v>1454</v>
      </c>
    </row>
    <row r="657" spans="1:5">
      <c r="A657" s="2" t="s">
        <v>1455</v>
      </c>
      <c r="B657" s="5" t="s">
        <v>1453</v>
      </c>
      <c r="C657" s="5">
        <v>15</v>
      </c>
      <c r="D657" s="5" t="s">
        <v>207</v>
      </c>
      <c r="E657" s="5" t="s">
        <v>1454</v>
      </c>
    </row>
    <row r="658" spans="1:5">
      <c r="A658" s="2" t="s">
        <v>1456</v>
      </c>
      <c r="B658" s="5" t="s">
        <v>1453</v>
      </c>
      <c r="C658" s="5">
        <v>14</v>
      </c>
      <c r="D658" s="5" t="s">
        <v>207</v>
      </c>
      <c r="E658" s="5" t="s">
        <v>1454</v>
      </c>
    </row>
    <row r="659" spans="1:5">
      <c r="A659" s="2" t="s">
        <v>1457</v>
      </c>
      <c r="B659" s="5" t="s">
        <v>1453</v>
      </c>
      <c r="C659" s="5" t="s">
        <v>298</v>
      </c>
      <c r="D659" s="5" t="s">
        <v>207</v>
      </c>
      <c r="E659" s="5" t="s">
        <v>1458</v>
      </c>
    </row>
    <row r="660" spans="1:5">
      <c r="A660" s="2" t="s">
        <v>1459</v>
      </c>
      <c r="B660" s="3" t="s">
        <v>1453</v>
      </c>
      <c r="C660" s="3" t="s">
        <v>330</v>
      </c>
      <c r="D660" s="3" t="s">
        <v>207</v>
      </c>
      <c r="E660" s="3" t="s">
        <v>1458</v>
      </c>
    </row>
    <row r="661" spans="1:5">
      <c r="A661" s="2" t="s">
        <v>1460</v>
      </c>
      <c r="B661" s="3" t="s">
        <v>1453</v>
      </c>
      <c r="C661" s="3" t="s">
        <v>527</v>
      </c>
      <c r="D661" s="3" t="s">
        <v>207</v>
      </c>
      <c r="E661" s="3" t="s">
        <v>1458</v>
      </c>
    </row>
    <row r="662" spans="1:5">
      <c r="A662" s="2" t="s">
        <v>1461</v>
      </c>
      <c r="B662" s="3" t="s">
        <v>1453</v>
      </c>
      <c r="C662" s="3" t="s">
        <v>1026</v>
      </c>
      <c r="D662" s="3" t="s">
        <v>207</v>
      </c>
      <c r="E662" s="3" t="s">
        <v>1458</v>
      </c>
    </row>
    <row r="663" spans="1:5">
      <c r="A663" s="2" t="s">
        <v>1462</v>
      </c>
      <c r="B663" s="3" t="s">
        <v>1453</v>
      </c>
      <c r="C663" s="3" t="s">
        <v>1223</v>
      </c>
      <c r="D663" s="3" t="s">
        <v>207</v>
      </c>
      <c r="E663" s="3" t="s">
        <v>1458</v>
      </c>
    </row>
    <row r="664" spans="1:5">
      <c r="A664" s="2" t="s">
        <v>1463</v>
      </c>
      <c r="B664" t="s">
        <v>1453</v>
      </c>
      <c r="C664" t="s">
        <v>1212</v>
      </c>
      <c r="D664" t="s">
        <v>207</v>
      </c>
      <c r="E664" t="s">
        <v>1458</v>
      </c>
    </row>
    <row r="665" spans="1:5">
      <c r="A665" s="2" t="s">
        <v>1464</v>
      </c>
      <c r="B665" t="s">
        <v>1453</v>
      </c>
      <c r="C665" t="s">
        <v>1210</v>
      </c>
      <c r="D665" t="s">
        <v>207</v>
      </c>
      <c r="E665" t="s">
        <v>1458</v>
      </c>
    </row>
    <row r="666" spans="1:5">
      <c r="A666" s="2" t="s">
        <v>1465</v>
      </c>
      <c r="B666" t="s">
        <v>1453</v>
      </c>
      <c r="C666" t="s">
        <v>1216</v>
      </c>
      <c r="D666" t="s">
        <v>207</v>
      </c>
      <c r="E666" t="s">
        <v>1458</v>
      </c>
    </row>
    <row r="667" spans="1:5">
      <c r="A667" s="2" t="s">
        <v>1466</v>
      </c>
      <c r="B667" t="s">
        <v>1453</v>
      </c>
      <c r="C667" t="s">
        <v>1219</v>
      </c>
      <c r="D667" t="s">
        <v>207</v>
      </c>
      <c r="E667" t="s">
        <v>1458</v>
      </c>
    </row>
    <row r="668" spans="1:5">
      <c r="A668" s="2" t="s">
        <v>1467</v>
      </c>
      <c r="B668" t="s">
        <v>1453</v>
      </c>
      <c r="C668" t="s">
        <v>558</v>
      </c>
      <c r="D668" t="s">
        <v>207</v>
      </c>
      <c r="E668" t="s">
        <v>1458</v>
      </c>
    </row>
    <row r="669" spans="1:5">
      <c r="A669" s="2" t="s">
        <v>1468</v>
      </c>
      <c r="B669" t="s">
        <v>1453</v>
      </c>
      <c r="C669" t="s">
        <v>573</v>
      </c>
      <c r="D669" t="s">
        <v>207</v>
      </c>
      <c r="E669" t="s">
        <v>1458</v>
      </c>
    </row>
    <row r="670" spans="1:5">
      <c r="A670" s="2" t="s">
        <v>1469</v>
      </c>
      <c r="B670" t="s">
        <v>1453</v>
      </c>
      <c r="C670" t="s">
        <v>566</v>
      </c>
      <c r="D670" t="s">
        <v>207</v>
      </c>
      <c r="E670" t="s">
        <v>1458</v>
      </c>
    </row>
    <row r="671" spans="1:5">
      <c r="A671" s="2" t="s">
        <v>1470</v>
      </c>
      <c r="B671" t="s">
        <v>1453</v>
      </c>
      <c r="C671" t="s">
        <v>581</v>
      </c>
      <c r="D671" t="s">
        <v>207</v>
      </c>
      <c r="E671" t="s">
        <v>1458</v>
      </c>
    </row>
    <row r="672" spans="1:5">
      <c r="A672" s="2" t="s">
        <v>1471</v>
      </c>
      <c r="B672" t="s">
        <v>277</v>
      </c>
      <c r="C672" t="s">
        <v>254</v>
      </c>
      <c r="D672" t="s">
        <v>190</v>
      </c>
      <c r="E672" t="s">
        <v>1472</v>
      </c>
    </row>
    <row r="673" spans="1:5">
      <c r="A673" s="2" t="s">
        <v>1473</v>
      </c>
      <c r="B673" t="s">
        <v>277</v>
      </c>
      <c r="C673">
        <v>10</v>
      </c>
      <c r="D673" t="s">
        <v>190</v>
      </c>
      <c r="E673" t="s">
        <v>1472</v>
      </c>
    </row>
    <row r="674" spans="1:5">
      <c r="A674" s="2" t="s">
        <v>1474</v>
      </c>
      <c r="B674" t="s">
        <v>277</v>
      </c>
      <c r="C674" s="632" t="s">
        <v>298</v>
      </c>
      <c r="D674" t="s">
        <v>190</v>
      </c>
      <c r="E674" t="s">
        <v>1472</v>
      </c>
    </row>
    <row r="675" spans="1:5">
      <c r="A675" s="2" t="s">
        <v>1475</v>
      </c>
      <c r="B675" t="s">
        <v>277</v>
      </c>
      <c r="C675" s="632" t="s">
        <v>1476</v>
      </c>
      <c r="D675" t="s">
        <v>190</v>
      </c>
      <c r="E675" t="s">
        <v>1472</v>
      </c>
    </row>
    <row r="676" spans="1:5">
      <c r="A676" s="2" t="s">
        <v>1477</v>
      </c>
      <c r="B676" t="s">
        <v>277</v>
      </c>
      <c r="C676" s="632" t="s">
        <v>330</v>
      </c>
      <c r="D676" t="s">
        <v>190</v>
      </c>
      <c r="E676" t="s">
        <v>1472</v>
      </c>
    </row>
    <row r="677" spans="1:5">
      <c r="A677" s="2" t="s">
        <v>1474</v>
      </c>
      <c r="B677" t="s">
        <v>277</v>
      </c>
      <c r="C677" t="s">
        <v>298</v>
      </c>
      <c r="D677" t="s">
        <v>190</v>
      </c>
      <c r="E677" t="s">
        <v>1472</v>
      </c>
    </row>
    <row r="678" spans="1:5">
      <c r="A678" s="2" t="s">
        <v>1478</v>
      </c>
      <c r="B678" t="s">
        <v>277</v>
      </c>
      <c r="C678">
        <v>21</v>
      </c>
      <c r="D678" t="s">
        <v>190</v>
      </c>
      <c r="E678" t="s">
        <v>1472</v>
      </c>
    </row>
    <row r="679" spans="1:5">
      <c r="A679" s="2" t="s">
        <v>1479</v>
      </c>
      <c r="B679" t="s">
        <v>1480</v>
      </c>
      <c r="C679" t="s">
        <v>298</v>
      </c>
      <c r="D679" t="s">
        <v>190</v>
      </c>
      <c r="E679" t="s">
        <v>1472</v>
      </c>
    </row>
    <row r="680" spans="1:5">
      <c r="A680" s="2" t="s">
        <v>1481</v>
      </c>
      <c r="B680" t="s">
        <v>1480</v>
      </c>
      <c r="C680" t="s">
        <v>254</v>
      </c>
      <c r="D680" t="s">
        <v>190</v>
      </c>
      <c r="E680" t="s">
        <v>1472</v>
      </c>
    </row>
    <row r="681" spans="1:5">
      <c r="A681" s="2" t="s">
        <v>1482</v>
      </c>
      <c r="B681" t="s">
        <v>1483</v>
      </c>
      <c r="C681" t="s">
        <v>254</v>
      </c>
      <c r="D681" t="s">
        <v>174</v>
      </c>
      <c r="E681" t="s">
        <v>1484</v>
      </c>
    </row>
    <row r="682" spans="1:5">
      <c r="A682" s="2" t="s">
        <v>1485</v>
      </c>
      <c r="B682" t="s">
        <v>1483</v>
      </c>
      <c r="C682" t="s">
        <v>530</v>
      </c>
      <c r="D682" t="s">
        <v>174</v>
      </c>
      <c r="E682" t="s">
        <v>1484</v>
      </c>
    </row>
    <row r="683" spans="1:5">
      <c r="A683" s="2" t="s">
        <v>1486</v>
      </c>
      <c r="B683" t="s">
        <v>1483</v>
      </c>
      <c r="C683" t="s">
        <v>534</v>
      </c>
      <c r="D683" t="s">
        <v>174</v>
      </c>
      <c r="E683" t="s">
        <v>1484</v>
      </c>
    </row>
    <row r="684" spans="1:5">
      <c r="A684" s="2" t="s">
        <v>1487</v>
      </c>
      <c r="B684" t="s">
        <v>1483</v>
      </c>
      <c r="C684" t="s">
        <v>556</v>
      </c>
      <c r="D684" t="s">
        <v>174</v>
      </c>
      <c r="E684" t="s">
        <v>1484</v>
      </c>
    </row>
    <row r="685" spans="1:5">
      <c r="A685" s="2" t="s">
        <v>1488</v>
      </c>
      <c r="B685" t="s">
        <v>1483</v>
      </c>
      <c r="C685" t="s">
        <v>590</v>
      </c>
      <c r="D685" t="s">
        <v>174</v>
      </c>
      <c r="E685" t="s">
        <v>1484</v>
      </c>
    </row>
    <row r="686" spans="1:5">
      <c r="A686" s="2" t="s">
        <v>1489</v>
      </c>
      <c r="B686" t="s">
        <v>1483</v>
      </c>
      <c r="C686" t="s">
        <v>815</v>
      </c>
      <c r="D686" t="s">
        <v>174</v>
      </c>
      <c r="E686" t="s">
        <v>1484</v>
      </c>
    </row>
    <row r="687" spans="1:5">
      <c r="A687" s="2" t="s">
        <v>1490</v>
      </c>
      <c r="B687" t="s">
        <v>1483</v>
      </c>
      <c r="C687" t="s">
        <v>817</v>
      </c>
      <c r="D687" t="s">
        <v>174</v>
      </c>
      <c r="E687" t="s">
        <v>1484</v>
      </c>
    </row>
    <row r="688" spans="1:5">
      <c r="A688" s="2" t="s">
        <v>1491</v>
      </c>
      <c r="B688" t="s">
        <v>1483</v>
      </c>
      <c r="C688" t="s">
        <v>1492</v>
      </c>
      <c r="D688" t="s">
        <v>174</v>
      </c>
      <c r="E688" t="s">
        <v>1484</v>
      </c>
    </row>
    <row r="689" spans="1:5">
      <c r="A689" s="2" t="s">
        <v>1493</v>
      </c>
      <c r="B689" t="s">
        <v>1494</v>
      </c>
      <c r="C689" t="s">
        <v>254</v>
      </c>
      <c r="D689" t="s">
        <v>174</v>
      </c>
      <c r="E689" t="s">
        <v>1495</v>
      </c>
    </row>
    <row r="690" spans="1:5">
      <c r="A690" s="2" t="s">
        <v>1496</v>
      </c>
      <c r="B690" t="s">
        <v>1494</v>
      </c>
      <c r="C690" t="s">
        <v>298</v>
      </c>
      <c r="D690" t="s">
        <v>174</v>
      </c>
      <c r="E690" t="s">
        <v>1495</v>
      </c>
    </row>
    <row r="691" spans="1:5">
      <c r="A691" s="2" t="s">
        <v>1497</v>
      </c>
      <c r="B691" t="s">
        <v>1494</v>
      </c>
      <c r="C691" t="s">
        <v>1498</v>
      </c>
      <c r="D691" t="s">
        <v>174</v>
      </c>
      <c r="E691" t="s">
        <v>1495</v>
      </c>
    </row>
    <row r="692" spans="1:5">
      <c r="A692" s="2" t="s">
        <v>1499</v>
      </c>
      <c r="B692" t="s">
        <v>1500</v>
      </c>
      <c r="C692" t="s">
        <v>530</v>
      </c>
      <c r="D692" t="s">
        <v>174</v>
      </c>
      <c r="E692" t="s">
        <v>1495</v>
      </c>
    </row>
    <row r="693" spans="1:5">
      <c r="A693" s="2" t="s">
        <v>1501</v>
      </c>
      <c r="B693" t="s">
        <v>1500</v>
      </c>
      <c r="C693" t="s">
        <v>534</v>
      </c>
      <c r="D693" t="s">
        <v>174</v>
      </c>
      <c r="E693" t="s">
        <v>1495</v>
      </c>
    </row>
    <row r="694" spans="1:5">
      <c r="A694" s="2" t="s">
        <v>1502</v>
      </c>
      <c r="B694" t="s">
        <v>1500</v>
      </c>
      <c r="C694" t="s">
        <v>1492</v>
      </c>
      <c r="D694" t="s">
        <v>174</v>
      </c>
      <c r="E694" t="s">
        <v>1495</v>
      </c>
    </row>
    <row r="695" spans="1:5">
      <c r="A695" s="2" t="s">
        <v>1503</v>
      </c>
      <c r="B695" t="s">
        <v>1500</v>
      </c>
      <c r="C695" t="s">
        <v>254</v>
      </c>
      <c r="D695" t="s">
        <v>174</v>
      </c>
      <c r="E695" t="s">
        <v>1495</v>
      </c>
    </row>
    <row r="696" spans="1:5">
      <c r="A696" s="2" t="s">
        <v>1504</v>
      </c>
      <c r="B696" t="s">
        <v>1500</v>
      </c>
      <c r="C696" t="s">
        <v>298</v>
      </c>
      <c r="D696" t="s">
        <v>174</v>
      </c>
      <c r="E696" t="s">
        <v>1495</v>
      </c>
    </row>
    <row r="697" spans="1:5">
      <c r="A697" s="2" t="s">
        <v>1505</v>
      </c>
      <c r="B697" t="s">
        <v>1500</v>
      </c>
      <c r="C697" t="s">
        <v>556</v>
      </c>
      <c r="D697" t="s">
        <v>174</v>
      </c>
      <c r="E697" t="s">
        <v>1495</v>
      </c>
    </row>
    <row r="698" spans="1:5">
      <c r="A698" s="2" t="s">
        <v>1506</v>
      </c>
      <c r="B698" t="s">
        <v>1500</v>
      </c>
      <c r="C698" t="s">
        <v>590</v>
      </c>
      <c r="D698" t="s">
        <v>174</v>
      </c>
      <c r="E698" t="s">
        <v>1495</v>
      </c>
    </row>
    <row r="699" spans="1:5">
      <c r="A699" s="2" t="s">
        <v>1507</v>
      </c>
      <c r="B699" t="s">
        <v>1500</v>
      </c>
      <c r="C699" t="s">
        <v>1498</v>
      </c>
      <c r="D699" t="s">
        <v>174</v>
      </c>
      <c r="E699" t="s">
        <v>1495</v>
      </c>
    </row>
    <row r="700" spans="1:5">
      <c r="A700" s="2" t="s">
        <v>1508</v>
      </c>
      <c r="B700" t="s">
        <v>1509</v>
      </c>
      <c r="C700" t="s">
        <v>254</v>
      </c>
      <c r="D700" t="s">
        <v>200</v>
      </c>
      <c r="E700" t="s">
        <v>1510</v>
      </c>
    </row>
    <row r="701" spans="1:5">
      <c r="A701" s="2" t="s">
        <v>1511</v>
      </c>
      <c r="B701" t="s">
        <v>1512</v>
      </c>
      <c r="C701" t="s">
        <v>254</v>
      </c>
      <c r="D701" t="s">
        <v>200</v>
      </c>
      <c r="E701" t="s">
        <v>1510</v>
      </c>
    </row>
    <row r="702" spans="1:5">
      <c r="A702" s="2" t="s">
        <v>1513</v>
      </c>
      <c r="B702" t="s">
        <v>1514</v>
      </c>
      <c r="C702" t="s">
        <v>254</v>
      </c>
      <c r="D702" t="s">
        <v>200</v>
      </c>
      <c r="E702" t="s">
        <v>1515</v>
      </c>
    </row>
    <row r="703" spans="1:5">
      <c r="A703" s="2" t="s">
        <v>1516</v>
      </c>
      <c r="B703" s="3" t="s">
        <v>1517</v>
      </c>
      <c r="C703" s="3" t="s">
        <v>254</v>
      </c>
      <c r="D703" s="3" t="s">
        <v>1518</v>
      </c>
      <c r="E703" s="3" t="s">
        <v>1519</v>
      </c>
    </row>
    <row r="704" spans="1:5">
      <c r="A704" s="2" t="s">
        <v>1520</v>
      </c>
      <c r="B704" s="5" t="s">
        <v>1521</v>
      </c>
      <c r="C704" s="5" t="s">
        <v>254</v>
      </c>
      <c r="D704" s="5" t="s">
        <v>1522</v>
      </c>
      <c r="E704" s="5" t="s">
        <v>1523</v>
      </c>
    </row>
    <row r="705" spans="1:5">
      <c r="A705" s="2" t="s">
        <v>1524</v>
      </c>
      <c r="B705" s="5" t="s">
        <v>1521</v>
      </c>
      <c r="C705" s="5" t="s">
        <v>298</v>
      </c>
      <c r="D705" s="5" t="s">
        <v>1522</v>
      </c>
      <c r="E705" s="5" t="s">
        <v>1523</v>
      </c>
    </row>
    <row r="706" spans="1:5">
      <c r="A706" s="2" t="s">
        <v>1525</v>
      </c>
      <c r="B706" s="5" t="s">
        <v>1521</v>
      </c>
      <c r="C706" s="5" t="s">
        <v>530</v>
      </c>
      <c r="D706" s="5" t="s">
        <v>1522</v>
      </c>
      <c r="E706" s="5" t="s">
        <v>1523</v>
      </c>
    </row>
    <row r="707" spans="1:5">
      <c r="A707" s="2" t="s">
        <v>1526</v>
      </c>
      <c r="B707" t="s">
        <v>1521</v>
      </c>
      <c r="C707" t="s">
        <v>534</v>
      </c>
      <c r="D707" t="s">
        <v>1522</v>
      </c>
      <c r="E707" t="s">
        <v>1523</v>
      </c>
    </row>
    <row r="708" spans="1:5">
      <c r="A708" s="2" t="s">
        <v>1527</v>
      </c>
      <c r="B708" t="s">
        <v>1528</v>
      </c>
      <c r="C708" t="s">
        <v>254</v>
      </c>
      <c r="D708" t="s">
        <v>180</v>
      </c>
      <c r="E708" t="s">
        <v>1529</v>
      </c>
    </row>
    <row r="709" spans="1:5">
      <c r="A709" s="2" t="s">
        <v>1530</v>
      </c>
      <c r="B709" t="s">
        <v>1528</v>
      </c>
      <c r="C709" t="s">
        <v>530</v>
      </c>
      <c r="D709" t="s">
        <v>180</v>
      </c>
      <c r="E709" t="s">
        <v>1529</v>
      </c>
    </row>
    <row r="710" spans="1:5">
      <c r="A710" s="2" t="s">
        <v>1531</v>
      </c>
      <c r="B710" t="s">
        <v>1528</v>
      </c>
      <c r="C710" t="s">
        <v>767</v>
      </c>
      <c r="D710" t="s">
        <v>180</v>
      </c>
      <c r="E710" t="s">
        <v>1529</v>
      </c>
    </row>
    <row r="711" spans="1:5">
      <c r="A711" s="2" t="s">
        <v>1532</v>
      </c>
      <c r="B711" s="5" t="s">
        <v>1533</v>
      </c>
      <c r="C711" s="5" t="s">
        <v>254</v>
      </c>
      <c r="D711" s="5" t="s">
        <v>185</v>
      </c>
      <c r="E711" s="5" t="s">
        <v>1534</v>
      </c>
    </row>
    <row r="712" spans="1:5">
      <c r="A712" s="2" t="s">
        <v>1535</v>
      </c>
      <c r="B712" s="4" t="s">
        <v>1533</v>
      </c>
      <c r="C712" s="4" t="s">
        <v>530</v>
      </c>
      <c r="D712" s="4" t="s">
        <v>185</v>
      </c>
      <c r="E712" s="4" t="s">
        <v>1534</v>
      </c>
    </row>
    <row r="713" spans="1:5">
      <c r="A713" s="2" t="s">
        <v>1536</v>
      </c>
      <c r="B713" t="s">
        <v>1533</v>
      </c>
      <c r="C713" t="s">
        <v>556</v>
      </c>
      <c r="D713" t="s">
        <v>185</v>
      </c>
      <c r="E713" t="s">
        <v>1534</v>
      </c>
    </row>
    <row r="714" spans="1:5">
      <c r="A714" s="2" t="s">
        <v>1537</v>
      </c>
      <c r="B714" t="s">
        <v>1533</v>
      </c>
      <c r="C714" t="s">
        <v>590</v>
      </c>
      <c r="D714" t="s">
        <v>185</v>
      </c>
      <c r="E714" t="s">
        <v>1534</v>
      </c>
    </row>
    <row r="715" spans="1:5">
      <c r="A715" s="2" t="s">
        <v>1538</v>
      </c>
      <c r="B715" t="s">
        <v>1533</v>
      </c>
      <c r="C715" t="s">
        <v>326</v>
      </c>
      <c r="D715" t="s">
        <v>185</v>
      </c>
      <c r="E715" t="s">
        <v>1534</v>
      </c>
    </row>
    <row r="716" spans="1:5">
      <c r="A716" s="2" t="s">
        <v>1539</v>
      </c>
      <c r="B716" t="s">
        <v>322</v>
      </c>
      <c r="C716" t="s">
        <v>254</v>
      </c>
      <c r="D716" t="s">
        <v>185</v>
      </c>
      <c r="E716" t="s">
        <v>1534</v>
      </c>
    </row>
    <row r="717" spans="1:5">
      <c r="A717" s="2" t="s">
        <v>1540</v>
      </c>
      <c r="B717" t="s">
        <v>322</v>
      </c>
      <c r="C717" t="s">
        <v>1541</v>
      </c>
      <c r="D717" t="s">
        <v>185</v>
      </c>
      <c r="E717" t="s">
        <v>1534</v>
      </c>
    </row>
    <row r="718" spans="1:5">
      <c r="A718" s="2" t="s">
        <v>1542</v>
      </c>
      <c r="B718" t="s">
        <v>1543</v>
      </c>
      <c r="C718" t="s">
        <v>254</v>
      </c>
      <c r="D718" t="s">
        <v>191</v>
      </c>
      <c r="E718" t="s">
        <v>1544</v>
      </c>
    </row>
    <row r="719" spans="1:5">
      <c r="A719" s="2" t="s">
        <v>1545</v>
      </c>
      <c r="B719" t="s">
        <v>1543</v>
      </c>
      <c r="C719" s="632" t="s">
        <v>530</v>
      </c>
      <c r="D719" t="s">
        <v>191</v>
      </c>
      <c r="E719" t="s">
        <v>1544</v>
      </c>
    </row>
    <row r="720" spans="1:5">
      <c r="A720" s="2" t="s">
        <v>1546</v>
      </c>
      <c r="B720" t="s">
        <v>1543</v>
      </c>
      <c r="C720" t="s">
        <v>815</v>
      </c>
      <c r="D720" t="s">
        <v>191</v>
      </c>
      <c r="E720" t="s">
        <v>1544</v>
      </c>
    </row>
    <row r="721" spans="1:5">
      <c r="A721" s="2" t="s">
        <v>1547</v>
      </c>
      <c r="B721" t="s">
        <v>1543</v>
      </c>
      <c r="C721" t="s">
        <v>556</v>
      </c>
      <c r="D721" t="s">
        <v>191</v>
      </c>
      <c r="E721" t="s">
        <v>1544</v>
      </c>
    </row>
    <row r="722" spans="1:5">
      <c r="A722" s="2" t="s">
        <v>1548</v>
      </c>
      <c r="B722" t="s">
        <v>1549</v>
      </c>
      <c r="C722" t="s">
        <v>254</v>
      </c>
      <c r="D722" t="s">
        <v>191</v>
      </c>
      <c r="E722" t="s">
        <v>1544</v>
      </c>
    </row>
    <row r="723" spans="1:5">
      <c r="A723" s="2" t="s">
        <v>1550</v>
      </c>
      <c r="B723" t="s">
        <v>1549</v>
      </c>
      <c r="C723" t="s">
        <v>1541</v>
      </c>
      <c r="D723" t="s">
        <v>191</v>
      </c>
      <c r="E723" t="s">
        <v>1544</v>
      </c>
    </row>
    <row r="724" spans="1:5">
      <c r="A724" s="2" t="s">
        <v>1551</v>
      </c>
      <c r="B724" t="s">
        <v>1552</v>
      </c>
      <c r="C724" t="s">
        <v>1541</v>
      </c>
      <c r="D724" t="s">
        <v>203</v>
      </c>
      <c r="E724" t="s">
        <v>1553</v>
      </c>
    </row>
    <row r="725" spans="1:5">
      <c r="A725" s="2" t="s">
        <v>1554</v>
      </c>
      <c r="B725" t="s">
        <v>1552</v>
      </c>
      <c r="C725" t="s">
        <v>534</v>
      </c>
      <c r="D725" t="s">
        <v>203</v>
      </c>
      <c r="E725" t="s">
        <v>1553</v>
      </c>
    </row>
    <row r="726" spans="1:5">
      <c r="A726" s="2" t="s">
        <v>1555</v>
      </c>
      <c r="B726" t="s">
        <v>1552</v>
      </c>
      <c r="C726" t="s">
        <v>1556</v>
      </c>
      <c r="D726" t="s">
        <v>203</v>
      </c>
      <c r="E726" t="s">
        <v>1553</v>
      </c>
    </row>
    <row r="727" spans="1:5">
      <c r="A727" s="2" t="s">
        <v>1557</v>
      </c>
      <c r="B727" t="s">
        <v>1552</v>
      </c>
      <c r="C727" t="s">
        <v>254</v>
      </c>
      <c r="D727" t="s">
        <v>203</v>
      </c>
      <c r="E727" t="s">
        <v>1553</v>
      </c>
    </row>
    <row r="728" spans="1:5">
      <c r="A728" s="2" t="s">
        <v>1558</v>
      </c>
      <c r="B728" t="s">
        <v>1552</v>
      </c>
      <c r="C728" t="s">
        <v>298</v>
      </c>
      <c r="D728" t="s">
        <v>203</v>
      </c>
      <c r="E728" t="s">
        <v>1553</v>
      </c>
    </row>
    <row r="729" spans="1:5">
      <c r="A729" s="2" t="s">
        <v>1559</v>
      </c>
      <c r="B729" t="s">
        <v>1552</v>
      </c>
      <c r="C729" t="s">
        <v>1560</v>
      </c>
      <c r="D729" t="s">
        <v>203</v>
      </c>
      <c r="E729" t="s">
        <v>1553</v>
      </c>
    </row>
    <row r="730" spans="1:5">
      <c r="A730" s="2" t="s">
        <v>1561</v>
      </c>
      <c r="B730" t="s">
        <v>1562</v>
      </c>
      <c r="C730" t="s">
        <v>298</v>
      </c>
      <c r="D730" t="s">
        <v>184</v>
      </c>
      <c r="E730" t="s">
        <v>1563</v>
      </c>
    </row>
    <row r="731" spans="1:5">
      <c r="A731" s="2" t="s">
        <v>1564</v>
      </c>
      <c r="B731" t="s">
        <v>1562</v>
      </c>
      <c r="C731" t="s">
        <v>1560</v>
      </c>
      <c r="D731" t="s">
        <v>184</v>
      </c>
      <c r="E731" t="s">
        <v>1563</v>
      </c>
    </row>
    <row r="732" spans="1:5">
      <c r="A732" s="2" t="s">
        <v>1565</v>
      </c>
      <c r="B732" t="s">
        <v>1562</v>
      </c>
      <c r="C732" t="s">
        <v>254</v>
      </c>
      <c r="D732" t="s">
        <v>184</v>
      </c>
      <c r="E732" t="s">
        <v>1563</v>
      </c>
    </row>
    <row r="733" spans="1:5">
      <c r="A733" s="2" t="s">
        <v>1566</v>
      </c>
      <c r="B733" s="5" t="s">
        <v>1562</v>
      </c>
      <c r="C733" s="5" t="s">
        <v>1541</v>
      </c>
      <c r="D733" s="5" t="s">
        <v>184</v>
      </c>
      <c r="E733" s="5" t="s">
        <v>1563</v>
      </c>
    </row>
    <row r="734" spans="1:5">
      <c r="A734" s="2" t="s">
        <v>1567</v>
      </c>
      <c r="B734" s="5" t="s">
        <v>1562</v>
      </c>
      <c r="C734" s="5" t="s">
        <v>534</v>
      </c>
      <c r="D734" s="5" t="s">
        <v>184</v>
      </c>
      <c r="E734" s="5" t="s">
        <v>1563</v>
      </c>
    </row>
    <row r="735" spans="1:5">
      <c r="A735" s="2" t="s">
        <v>1568</v>
      </c>
      <c r="B735" s="12" t="s">
        <v>1562</v>
      </c>
      <c r="C735" s="12" t="s">
        <v>1556</v>
      </c>
      <c r="D735" s="12" t="s">
        <v>184</v>
      </c>
      <c r="E735" s="12" t="s">
        <v>1563</v>
      </c>
    </row>
    <row r="736" spans="1:5">
      <c r="A736" s="2" t="s">
        <v>1569</v>
      </c>
      <c r="B736" s="9" t="s">
        <v>1570</v>
      </c>
      <c r="C736" s="9" t="s">
        <v>254</v>
      </c>
      <c r="D736" s="9" t="s">
        <v>184</v>
      </c>
      <c r="E736" s="9" t="s">
        <v>1563</v>
      </c>
    </row>
    <row r="737" spans="1:5">
      <c r="A737" s="2" t="s">
        <v>1571</v>
      </c>
      <c r="B737" s="5" t="s">
        <v>1570</v>
      </c>
      <c r="C737" s="5" t="s">
        <v>1541</v>
      </c>
      <c r="D737" s="5" t="s">
        <v>184</v>
      </c>
      <c r="E737" s="5" t="s">
        <v>1563</v>
      </c>
    </row>
    <row r="738" spans="1:5">
      <c r="A738" s="2" t="s">
        <v>1572</v>
      </c>
      <c r="B738" s="5" t="s">
        <v>1570</v>
      </c>
      <c r="C738" s="5" t="s">
        <v>530</v>
      </c>
      <c r="D738" s="5" t="s">
        <v>184</v>
      </c>
      <c r="E738" s="5" t="s">
        <v>1563</v>
      </c>
    </row>
    <row r="739" spans="1:5">
      <c r="A739" s="2" t="s">
        <v>1573</v>
      </c>
      <c r="B739" s="5" t="s">
        <v>1570</v>
      </c>
      <c r="C739" s="5" t="s">
        <v>767</v>
      </c>
      <c r="D739" s="5" t="s">
        <v>184</v>
      </c>
      <c r="E739" s="5" t="s">
        <v>1563</v>
      </c>
    </row>
    <row r="740" spans="1:5">
      <c r="A740" s="2" t="s">
        <v>1574</v>
      </c>
      <c r="B740" t="s">
        <v>1570</v>
      </c>
      <c r="C740" t="s">
        <v>534</v>
      </c>
      <c r="D740" t="s">
        <v>184</v>
      </c>
      <c r="E740" t="s">
        <v>1563</v>
      </c>
    </row>
    <row r="741" spans="1:5">
      <c r="A741" s="2" t="s">
        <v>1575</v>
      </c>
      <c r="B741" t="s">
        <v>1570</v>
      </c>
      <c r="C741" t="s">
        <v>1556</v>
      </c>
      <c r="D741" t="s">
        <v>184</v>
      </c>
      <c r="E741" t="s">
        <v>1563</v>
      </c>
    </row>
    <row r="742" spans="1:5">
      <c r="A742" s="2" t="s">
        <v>1576</v>
      </c>
      <c r="B742" t="s">
        <v>1570</v>
      </c>
      <c r="C742" t="s">
        <v>590</v>
      </c>
      <c r="D742" t="s">
        <v>1577</v>
      </c>
      <c r="E742" t="s">
        <v>1563</v>
      </c>
    </row>
    <row r="743" spans="1:5">
      <c r="A743" s="2" t="s">
        <v>1578</v>
      </c>
      <c r="B743" t="s">
        <v>1570</v>
      </c>
      <c r="C743" s="632" t="s">
        <v>902</v>
      </c>
      <c r="D743" t="s">
        <v>1577</v>
      </c>
      <c r="E743" t="s">
        <v>1563</v>
      </c>
    </row>
    <row r="744" spans="1:5">
      <c r="A744" s="2" t="s">
        <v>1579</v>
      </c>
      <c r="B744" t="s">
        <v>1570</v>
      </c>
      <c r="C744" t="s">
        <v>883</v>
      </c>
      <c r="D744" t="s">
        <v>1577</v>
      </c>
      <c r="E744" t="s">
        <v>1563</v>
      </c>
    </row>
    <row r="745" spans="1:5">
      <c r="A745" s="2" t="s">
        <v>1580</v>
      </c>
      <c r="B745" t="s">
        <v>1570</v>
      </c>
      <c r="C745" t="s">
        <v>556</v>
      </c>
      <c r="D745" t="s">
        <v>184</v>
      </c>
      <c r="E745" t="s">
        <v>1563</v>
      </c>
    </row>
    <row r="746" spans="1:5">
      <c r="A746" s="2" t="s">
        <v>1581</v>
      </c>
      <c r="B746" t="s">
        <v>1570</v>
      </c>
      <c r="C746" t="s">
        <v>815</v>
      </c>
      <c r="D746" t="s">
        <v>184</v>
      </c>
      <c r="E746" t="s">
        <v>1563</v>
      </c>
    </row>
    <row r="747" spans="1:5">
      <c r="A747" s="2" t="s">
        <v>1582</v>
      </c>
      <c r="B747" t="s">
        <v>1570</v>
      </c>
      <c r="C747" t="s">
        <v>817</v>
      </c>
      <c r="D747" t="s">
        <v>184</v>
      </c>
      <c r="E747" t="s">
        <v>1563</v>
      </c>
    </row>
    <row r="748" spans="1:5">
      <c r="A748" s="2" t="s">
        <v>1583</v>
      </c>
      <c r="B748" s="9" t="s">
        <v>1570</v>
      </c>
      <c r="C748" s="9">
        <v>40</v>
      </c>
      <c r="D748" s="9" t="s">
        <v>184</v>
      </c>
      <c r="E748" s="9" t="s">
        <v>1563</v>
      </c>
    </row>
    <row r="749" spans="1:5">
      <c r="A749" s="2" t="s">
        <v>1584</v>
      </c>
      <c r="B749" s="3" t="s">
        <v>1585</v>
      </c>
      <c r="C749" s="3" t="s">
        <v>298</v>
      </c>
      <c r="D749" s="3" t="s">
        <v>184</v>
      </c>
      <c r="E749" s="3" t="s">
        <v>1586</v>
      </c>
    </row>
    <row r="750" spans="1:5">
      <c r="A750" s="2" t="s">
        <v>1587</v>
      </c>
      <c r="B750" s="9" t="s">
        <v>1585</v>
      </c>
      <c r="C750" s="9" t="s">
        <v>1560</v>
      </c>
      <c r="D750" s="9" t="s">
        <v>184</v>
      </c>
      <c r="E750" s="9" t="s">
        <v>1586</v>
      </c>
    </row>
    <row r="751" spans="1:5">
      <c r="A751" s="2" t="s">
        <v>1588</v>
      </c>
      <c r="B751" s="5" t="s">
        <v>1585</v>
      </c>
      <c r="C751" s="5" t="s">
        <v>254</v>
      </c>
      <c r="D751" s="5" t="s">
        <v>184</v>
      </c>
      <c r="E751" s="5" t="s">
        <v>1586</v>
      </c>
    </row>
    <row r="752" spans="1:5">
      <c r="A752" s="2" t="s">
        <v>1589</v>
      </c>
      <c r="B752" t="s">
        <v>1585</v>
      </c>
      <c r="C752" t="s">
        <v>1541</v>
      </c>
      <c r="D752" t="s">
        <v>184</v>
      </c>
      <c r="E752" t="s">
        <v>1586</v>
      </c>
    </row>
    <row r="753" spans="1:5">
      <c r="A753" s="2" t="s">
        <v>1590</v>
      </c>
      <c r="B753" t="s">
        <v>1585</v>
      </c>
      <c r="C753" t="s">
        <v>534</v>
      </c>
      <c r="D753" t="s">
        <v>184</v>
      </c>
      <c r="E753" t="s">
        <v>1586</v>
      </c>
    </row>
    <row r="754" spans="1:5">
      <c r="A754" s="2" t="s">
        <v>1591</v>
      </c>
      <c r="B754" t="s">
        <v>1585</v>
      </c>
      <c r="C754" t="s">
        <v>1556</v>
      </c>
      <c r="D754" t="s">
        <v>184</v>
      </c>
      <c r="E754" t="s">
        <v>1586</v>
      </c>
    </row>
    <row r="755" spans="1:5">
      <c r="A755" s="2" t="s">
        <v>1592</v>
      </c>
      <c r="B755" t="s">
        <v>1593</v>
      </c>
      <c r="C755" s="632" t="s">
        <v>254</v>
      </c>
      <c r="D755" t="s">
        <v>184</v>
      </c>
      <c r="E755" t="s">
        <v>1586</v>
      </c>
    </row>
    <row r="756" spans="1:5">
      <c r="A756" s="2" t="s">
        <v>1594</v>
      </c>
      <c r="B756" s="9" t="s">
        <v>1593</v>
      </c>
      <c r="C756" s="9" t="s">
        <v>1541</v>
      </c>
      <c r="D756" s="9" t="s">
        <v>184</v>
      </c>
      <c r="E756" s="9" t="s">
        <v>1586</v>
      </c>
    </row>
    <row r="757" spans="1:5">
      <c r="A757" s="2" t="s">
        <v>1595</v>
      </c>
      <c r="B757" s="5" t="s">
        <v>1593</v>
      </c>
      <c r="C757" s="5" t="s">
        <v>530</v>
      </c>
      <c r="D757" s="5" t="s">
        <v>184</v>
      </c>
      <c r="E757" s="5" t="s">
        <v>1586</v>
      </c>
    </row>
    <row r="758" spans="1:5">
      <c r="A758" s="2" t="s">
        <v>1596</v>
      </c>
      <c r="B758" s="9" t="s">
        <v>1593</v>
      </c>
      <c r="C758" s="9" t="s">
        <v>767</v>
      </c>
      <c r="D758" s="9" t="s">
        <v>184</v>
      </c>
      <c r="E758" s="9" t="s">
        <v>1586</v>
      </c>
    </row>
    <row r="759" spans="1:5">
      <c r="A759" s="2" t="s">
        <v>1597</v>
      </c>
      <c r="B759" s="9" t="s">
        <v>1593</v>
      </c>
      <c r="C759" s="9" t="s">
        <v>556</v>
      </c>
      <c r="D759" s="9" t="s">
        <v>184</v>
      </c>
      <c r="E759" s="9" t="s">
        <v>1586</v>
      </c>
    </row>
    <row r="760" spans="1:5">
      <c r="A760" s="2" t="s">
        <v>1598</v>
      </c>
      <c r="B760" t="s">
        <v>1593</v>
      </c>
      <c r="C760" t="s">
        <v>1599</v>
      </c>
      <c r="D760" t="s">
        <v>184</v>
      </c>
      <c r="E760" t="s">
        <v>1586</v>
      </c>
    </row>
    <row r="761" spans="1:5">
      <c r="A761" s="2" t="s">
        <v>1600</v>
      </c>
      <c r="B761" t="s">
        <v>1601</v>
      </c>
      <c r="C761" t="s">
        <v>254</v>
      </c>
      <c r="D761" t="s">
        <v>184</v>
      </c>
      <c r="E761" t="s">
        <v>1602</v>
      </c>
    </row>
    <row r="762" spans="1:5">
      <c r="A762" s="2" t="s">
        <v>1603</v>
      </c>
      <c r="B762" t="s">
        <v>1601</v>
      </c>
      <c r="C762" t="s">
        <v>1541</v>
      </c>
      <c r="D762" t="s">
        <v>184</v>
      </c>
      <c r="E762" t="s">
        <v>1602</v>
      </c>
    </row>
    <row r="763" spans="1:5">
      <c r="A763" s="2" t="s">
        <v>1604</v>
      </c>
      <c r="B763" t="s">
        <v>1601</v>
      </c>
      <c r="C763" s="632" t="s">
        <v>530</v>
      </c>
      <c r="D763" t="s">
        <v>184</v>
      </c>
      <c r="E763" t="s">
        <v>1602</v>
      </c>
    </row>
    <row r="764" spans="1:5">
      <c r="A764" s="2" t="s">
        <v>1605</v>
      </c>
      <c r="B764" t="s">
        <v>1601</v>
      </c>
      <c r="C764" t="s">
        <v>767</v>
      </c>
      <c r="D764" t="s">
        <v>184</v>
      </c>
      <c r="E764" t="s">
        <v>1602</v>
      </c>
    </row>
    <row r="765" spans="1:5">
      <c r="A765" s="2" t="s">
        <v>1606</v>
      </c>
      <c r="B765" t="s">
        <v>1601</v>
      </c>
      <c r="C765" t="s">
        <v>556</v>
      </c>
      <c r="D765" t="s">
        <v>184</v>
      </c>
      <c r="E765" t="s">
        <v>1602</v>
      </c>
    </row>
    <row r="766" spans="1:5">
      <c r="A766" s="2" t="s">
        <v>1607</v>
      </c>
      <c r="B766" t="s">
        <v>1601</v>
      </c>
      <c r="C766" t="s">
        <v>815</v>
      </c>
      <c r="D766" t="s">
        <v>184</v>
      </c>
      <c r="E766" t="s">
        <v>1602</v>
      </c>
    </row>
    <row r="767" spans="1:5">
      <c r="A767" s="2" t="s">
        <v>1608</v>
      </c>
      <c r="B767" t="s">
        <v>1601</v>
      </c>
      <c r="C767" t="s">
        <v>883</v>
      </c>
      <c r="D767" t="s">
        <v>184</v>
      </c>
      <c r="E767" t="s">
        <v>1602</v>
      </c>
    </row>
    <row r="768" spans="1:5">
      <c r="A768" s="2" t="s">
        <v>1609</v>
      </c>
      <c r="B768" s="2" t="s">
        <v>1601</v>
      </c>
      <c r="C768" s="2">
        <v>40</v>
      </c>
      <c r="D768" s="2" t="s">
        <v>184</v>
      </c>
      <c r="E768" s="2" t="s">
        <v>1602</v>
      </c>
    </row>
    <row r="769" spans="1:5">
      <c r="A769" s="2" t="s">
        <v>1610</v>
      </c>
      <c r="B769" s="2" t="s">
        <v>1611</v>
      </c>
      <c r="C769" s="2" t="s">
        <v>298</v>
      </c>
      <c r="D769" s="2" t="s">
        <v>184</v>
      </c>
      <c r="E769" s="2" t="s">
        <v>1602</v>
      </c>
    </row>
    <row r="770" spans="1:5">
      <c r="A770" s="2" t="s">
        <v>1612</v>
      </c>
      <c r="B770" s="2" t="s">
        <v>1611</v>
      </c>
      <c r="C770" s="2" t="s">
        <v>1560</v>
      </c>
      <c r="D770" s="2" t="s">
        <v>184</v>
      </c>
      <c r="E770" s="2" t="s">
        <v>1602</v>
      </c>
    </row>
    <row r="771" spans="1:5">
      <c r="A771" s="2" t="s">
        <v>1613</v>
      </c>
      <c r="B771" t="s">
        <v>1611</v>
      </c>
      <c r="C771" t="s">
        <v>254</v>
      </c>
      <c r="D771" t="s">
        <v>184</v>
      </c>
      <c r="E771" t="s">
        <v>1602</v>
      </c>
    </row>
    <row r="772" spans="1:5">
      <c r="A772" s="2" t="s">
        <v>1614</v>
      </c>
      <c r="B772" t="s">
        <v>1611</v>
      </c>
      <c r="C772" t="s">
        <v>1541</v>
      </c>
      <c r="D772" t="s">
        <v>184</v>
      </c>
      <c r="E772" t="s">
        <v>1602</v>
      </c>
    </row>
    <row r="773" spans="1:5">
      <c r="A773" s="2" t="s">
        <v>1615</v>
      </c>
      <c r="B773" t="s">
        <v>1611</v>
      </c>
      <c r="C773" t="s">
        <v>534</v>
      </c>
      <c r="D773" t="s">
        <v>184</v>
      </c>
      <c r="E773" t="s">
        <v>1602</v>
      </c>
    </row>
    <row r="774" spans="1:5">
      <c r="A774" s="2" t="s">
        <v>1616</v>
      </c>
      <c r="B774" t="s">
        <v>1611</v>
      </c>
      <c r="C774" t="s">
        <v>1556</v>
      </c>
      <c r="D774" t="s">
        <v>184</v>
      </c>
      <c r="E774" t="s">
        <v>1602</v>
      </c>
    </row>
    <row r="775" spans="1:5">
      <c r="A775" s="2" t="s">
        <v>1617</v>
      </c>
      <c r="B775" t="s">
        <v>268</v>
      </c>
      <c r="C775" t="s">
        <v>254</v>
      </c>
      <c r="D775" t="s">
        <v>184</v>
      </c>
      <c r="E775" t="s">
        <v>1618</v>
      </c>
    </row>
    <row r="776" spans="1:5">
      <c r="A776" s="2" t="s">
        <v>1619</v>
      </c>
      <c r="B776" t="s">
        <v>268</v>
      </c>
      <c r="C776" t="s">
        <v>298</v>
      </c>
      <c r="D776" t="s">
        <v>184</v>
      </c>
      <c r="E776" t="s">
        <v>1618</v>
      </c>
    </row>
    <row r="777" spans="1:5">
      <c r="A777" s="2" t="s">
        <v>1620</v>
      </c>
      <c r="B777" t="s">
        <v>268</v>
      </c>
      <c r="C777" t="s">
        <v>330</v>
      </c>
      <c r="D777" t="s">
        <v>1621</v>
      </c>
      <c r="E777" t="s">
        <v>1618</v>
      </c>
    </row>
    <row r="778" spans="1:5">
      <c r="A778" s="2" t="s">
        <v>1620</v>
      </c>
      <c r="B778" t="s">
        <v>268</v>
      </c>
      <c r="C778" t="s">
        <v>330</v>
      </c>
      <c r="D778" t="s">
        <v>1621</v>
      </c>
      <c r="E778" t="s">
        <v>1618</v>
      </c>
    </row>
    <row r="779" spans="1:5">
      <c r="A779" s="2" t="s">
        <v>1620</v>
      </c>
      <c r="B779" t="s">
        <v>268</v>
      </c>
      <c r="C779" t="s">
        <v>330</v>
      </c>
      <c r="D779" t="s">
        <v>1621</v>
      </c>
      <c r="E779" t="s">
        <v>1618</v>
      </c>
    </row>
    <row r="780" spans="1:5">
      <c r="A780" s="2" t="s">
        <v>1622</v>
      </c>
      <c r="B780" t="s">
        <v>1623</v>
      </c>
      <c r="C780" t="s">
        <v>254</v>
      </c>
      <c r="D780" t="s">
        <v>391</v>
      </c>
      <c r="E780" t="s">
        <v>1624</v>
      </c>
    </row>
    <row r="781" spans="1:5">
      <c r="A781" s="2" t="s">
        <v>1625</v>
      </c>
      <c r="B781" t="s">
        <v>1623</v>
      </c>
      <c r="C781" t="s">
        <v>298</v>
      </c>
      <c r="D781" t="s">
        <v>391</v>
      </c>
      <c r="E781" t="s">
        <v>1626</v>
      </c>
    </row>
    <row r="782" spans="1:5">
      <c r="A782" s="2" t="s">
        <v>1627</v>
      </c>
      <c r="B782" t="s">
        <v>1623</v>
      </c>
      <c r="C782" t="s">
        <v>1063</v>
      </c>
      <c r="D782" t="s">
        <v>391</v>
      </c>
      <c r="E782" t="s">
        <v>1624</v>
      </c>
    </row>
    <row r="783" spans="1:5">
      <c r="A783" s="2" t="s">
        <v>1628</v>
      </c>
      <c r="B783" t="s">
        <v>1623</v>
      </c>
      <c r="C783" t="s">
        <v>1065</v>
      </c>
      <c r="D783" t="s">
        <v>391</v>
      </c>
      <c r="E783" t="s">
        <v>1626</v>
      </c>
    </row>
    <row r="784" spans="1:5">
      <c r="A784" s="2" t="s">
        <v>1629</v>
      </c>
      <c r="B784" t="s">
        <v>1623</v>
      </c>
      <c r="C784" t="s">
        <v>530</v>
      </c>
      <c r="D784" t="s">
        <v>391</v>
      </c>
      <c r="E784" t="s">
        <v>1624</v>
      </c>
    </row>
    <row r="785" spans="1:5">
      <c r="A785" s="2" t="s">
        <v>1630</v>
      </c>
      <c r="B785" t="s">
        <v>1623</v>
      </c>
      <c r="C785" t="s">
        <v>534</v>
      </c>
      <c r="D785" t="s">
        <v>391</v>
      </c>
      <c r="E785" t="s">
        <v>1626</v>
      </c>
    </row>
    <row r="786" spans="1:5">
      <c r="A786" s="2" t="s">
        <v>1631</v>
      </c>
      <c r="B786" t="s">
        <v>1623</v>
      </c>
      <c r="C786" t="s">
        <v>556</v>
      </c>
      <c r="D786" t="s">
        <v>391</v>
      </c>
      <c r="E786" t="s">
        <v>1624</v>
      </c>
    </row>
    <row r="787" spans="1:5">
      <c r="A787" s="2" t="s">
        <v>1632</v>
      </c>
      <c r="B787" t="s">
        <v>1623</v>
      </c>
      <c r="C787" t="s">
        <v>590</v>
      </c>
      <c r="D787" t="s">
        <v>391</v>
      </c>
      <c r="E787" t="s">
        <v>1626</v>
      </c>
    </row>
    <row r="788" spans="1:5">
      <c r="A788" s="2" t="s">
        <v>1633</v>
      </c>
      <c r="B788" t="s">
        <v>1634</v>
      </c>
      <c r="C788" t="s">
        <v>532</v>
      </c>
      <c r="D788" t="s">
        <v>391</v>
      </c>
      <c r="E788" t="s">
        <v>1626</v>
      </c>
    </row>
    <row r="789" spans="1:5">
      <c r="A789" s="2" t="s">
        <v>1635</v>
      </c>
      <c r="B789" t="s">
        <v>1634</v>
      </c>
      <c r="C789" t="s">
        <v>326</v>
      </c>
      <c r="D789" t="s">
        <v>391</v>
      </c>
      <c r="E789" t="s">
        <v>1626</v>
      </c>
    </row>
    <row r="790" spans="1:5">
      <c r="A790" s="2" t="s">
        <v>1636</v>
      </c>
      <c r="B790" t="s">
        <v>1634</v>
      </c>
      <c r="C790" t="s">
        <v>254</v>
      </c>
      <c r="D790" t="s">
        <v>391</v>
      </c>
      <c r="E790" t="s">
        <v>1637</v>
      </c>
    </row>
    <row r="791" spans="1:5">
      <c r="A791" s="2" t="s">
        <v>1638</v>
      </c>
      <c r="B791" t="s">
        <v>1634</v>
      </c>
      <c r="C791" t="s">
        <v>1639</v>
      </c>
      <c r="D791" t="s">
        <v>391</v>
      </c>
      <c r="E791" t="s">
        <v>1637</v>
      </c>
    </row>
    <row r="792" spans="1:5">
      <c r="A792" s="2" t="s">
        <v>1640</v>
      </c>
      <c r="B792" t="s">
        <v>1634</v>
      </c>
      <c r="C792" t="s">
        <v>330</v>
      </c>
      <c r="D792" t="s">
        <v>391</v>
      </c>
      <c r="E792" t="s">
        <v>1626</v>
      </c>
    </row>
    <row r="793" spans="1:5">
      <c r="A793" s="2" t="s">
        <v>1641</v>
      </c>
      <c r="B793" t="s">
        <v>1634</v>
      </c>
      <c r="C793" t="s">
        <v>1642</v>
      </c>
      <c r="D793" t="s">
        <v>391</v>
      </c>
      <c r="E793" t="s">
        <v>1626</v>
      </c>
    </row>
    <row r="794" spans="1:5">
      <c r="A794" s="2" t="s">
        <v>1643</v>
      </c>
      <c r="B794" t="s">
        <v>1634</v>
      </c>
      <c r="C794" t="s">
        <v>1203</v>
      </c>
      <c r="D794" t="s">
        <v>391</v>
      </c>
      <c r="E794" t="s">
        <v>1626</v>
      </c>
    </row>
    <row r="795" spans="1:5">
      <c r="A795" s="2" t="s">
        <v>1644</v>
      </c>
      <c r="B795" t="s">
        <v>1634</v>
      </c>
      <c r="C795" t="s">
        <v>1645</v>
      </c>
      <c r="D795" t="s">
        <v>391</v>
      </c>
      <c r="E795" t="s">
        <v>1626</v>
      </c>
    </row>
    <row r="796" spans="1:5">
      <c r="A796" s="2" t="s">
        <v>1646</v>
      </c>
      <c r="B796" t="s">
        <v>1647</v>
      </c>
      <c r="C796" t="s">
        <v>530</v>
      </c>
      <c r="D796" t="s">
        <v>391</v>
      </c>
      <c r="E796" t="s">
        <v>1624</v>
      </c>
    </row>
    <row r="797" spans="1:5">
      <c r="A797" s="2" t="s">
        <v>1648</v>
      </c>
      <c r="B797" t="s">
        <v>1647</v>
      </c>
      <c r="C797" t="s">
        <v>1649</v>
      </c>
      <c r="D797" t="s">
        <v>391</v>
      </c>
      <c r="E797" t="s">
        <v>1624</v>
      </c>
    </row>
    <row r="798" spans="1:5">
      <c r="A798" s="2" t="s">
        <v>1650</v>
      </c>
      <c r="B798" t="s">
        <v>1647</v>
      </c>
      <c r="C798" t="s">
        <v>1651</v>
      </c>
      <c r="D798" t="s">
        <v>391</v>
      </c>
      <c r="E798" t="s">
        <v>1624</v>
      </c>
    </row>
    <row r="799" spans="1:5">
      <c r="A799" s="2" t="s">
        <v>1652</v>
      </c>
      <c r="B799" t="s">
        <v>1647</v>
      </c>
      <c r="C799" t="s">
        <v>534</v>
      </c>
      <c r="D799" t="s">
        <v>391</v>
      </c>
      <c r="E799" t="s">
        <v>1624</v>
      </c>
    </row>
    <row r="800" spans="1:5">
      <c r="A800" s="2" t="s">
        <v>1653</v>
      </c>
      <c r="B800" t="s">
        <v>1647</v>
      </c>
      <c r="C800" t="s">
        <v>536</v>
      </c>
      <c r="D800" t="s">
        <v>391</v>
      </c>
      <c r="E800" t="s">
        <v>1624</v>
      </c>
    </row>
    <row r="801" spans="1:5">
      <c r="A801" s="2" t="s">
        <v>1654</v>
      </c>
      <c r="B801" t="s">
        <v>1647</v>
      </c>
      <c r="C801" t="s">
        <v>1439</v>
      </c>
      <c r="D801" t="s">
        <v>391</v>
      </c>
      <c r="E801" t="s">
        <v>1624</v>
      </c>
    </row>
    <row r="802" spans="1:5">
      <c r="A802" s="2" t="s">
        <v>1655</v>
      </c>
      <c r="B802" t="s">
        <v>1647</v>
      </c>
      <c r="C802" t="s">
        <v>592</v>
      </c>
      <c r="D802" t="s">
        <v>391</v>
      </c>
      <c r="E802" t="s">
        <v>1624</v>
      </c>
    </row>
    <row r="803" spans="1:5">
      <c r="A803" s="2" t="s">
        <v>1656</v>
      </c>
      <c r="B803" t="s">
        <v>1647</v>
      </c>
      <c r="C803" t="s">
        <v>1216</v>
      </c>
      <c r="D803" t="s">
        <v>391</v>
      </c>
      <c r="E803" t="s">
        <v>1624</v>
      </c>
    </row>
    <row r="804" spans="1:5">
      <c r="A804" s="2" t="s">
        <v>1657</v>
      </c>
      <c r="B804" t="s">
        <v>1647</v>
      </c>
      <c r="C804" t="s">
        <v>254</v>
      </c>
      <c r="D804" t="s">
        <v>391</v>
      </c>
      <c r="E804" t="s">
        <v>1624</v>
      </c>
    </row>
    <row r="805" spans="1:5">
      <c r="A805" s="2" t="s">
        <v>1658</v>
      </c>
      <c r="B805" t="s">
        <v>1647</v>
      </c>
      <c r="C805" t="s">
        <v>1639</v>
      </c>
      <c r="D805" t="s">
        <v>391</v>
      </c>
      <c r="E805" t="s">
        <v>1624</v>
      </c>
    </row>
    <row r="806" spans="1:5">
      <c r="A806" s="2" t="s">
        <v>1659</v>
      </c>
      <c r="B806" t="s">
        <v>1647</v>
      </c>
      <c r="C806" t="s">
        <v>298</v>
      </c>
      <c r="D806" t="s">
        <v>391</v>
      </c>
      <c r="E806" t="s">
        <v>1624</v>
      </c>
    </row>
    <row r="807" spans="1:5">
      <c r="A807" s="2" t="s">
        <v>1660</v>
      </c>
      <c r="B807" t="s">
        <v>1647</v>
      </c>
      <c r="C807" t="s">
        <v>1030</v>
      </c>
      <c r="D807" t="s">
        <v>391</v>
      </c>
      <c r="E807" t="s">
        <v>1624</v>
      </c>
    </row>
    <row r="808" spans="1:5">
      <c r="A808" s="2" t="s">
        <v>1661</v>
      </c>
      <c r="B808" t="s">
        <v>1647</v>
      </c>
      <c r="C808" t="s">
        <v>1662</v>
      </c>
      <c r="D808" t="s">
        <v>391</v>
      </c>
      <c r="E808" t="s">
        <v>1624</v>
      </c>
    </row>
    <row r="809" spans="1:5">
      <c r="A809" s="2" t="s">
        <v>1663</v>
      </c>
      <c r="B809" t="s">
        <v>1647</v>
      </c>
      <c r="C809" t="s">
        <v>1664</v>
      </c>
      <c r="D809" t="s">
        <v>391</v>
      </c>
      <c r="E809" t="s">
        <v>1624</v>
      </c>
    </row>
    <row r="810" spans="1:5">
      <c r="A810" s="2" t="s">
        <v>1665</v>
      </c>
      <c r="B810" s="5" t="s">
        <v>1647</v>
      </c>
      <c r="C810" s="5" t="s">
        <v>1219</v>
      </c>
      <c r="D810" s="5" t="s">
        <v>391</v>
      </c>
      <c r="E810" s="5" t="s">
        <v>1624</v>
      </c>
    </row>
    <row r="811" spans="1:5">
      <c r="A811" s="2" t="s">
        <v>1666</v>
      </c>
      <c r="B811" s="5" t="s">
        <v>1647</v>
      </c>
      <c r="C811" s="5" t="s">
        <v>1667</v>
      </c>
      <c r="D811" s="5" t="s">
        <v>391</v>
      </c>
      <c r="E811" s="5" t="s">
        <v>1624</v>
      </c>
    </row>
    <row r="812" spans="1:5">
      <c r="A812" s="2" t="s">
        <v>1668</v>
      </c>
      <c r="B812" s="5" t="s">
        <v>1647</v>
      </c>
      <c r="C812" s="5" t="s">
        <v>1669</v>
      </c>
      <c r="D812" s="5" t="s">
        <v>391</v>
      </c>
      <c r="E812" s="5" t="s">
        <v>1624</v>
      </c>
    </row>
    <row r="813" spans="1:5">
      <c r="A813" s="2" t="s">
        <v>1670</v>
      </c>
      <c r="B813" t="s">
        <v>1671</v>
      </c>
      <c r="C813" t="s">
        <v>254</v>
      </c>
      <c r="D813" t="s">
        <v>391</v>
      </c>
      <c r="E813" t="s">
        <v>1672</v>
      </c>
    </row>
    <row r="814" spans="1:5">
      <c r="A814" s="2" t="s">
        <v>1673</v>
      </c>
      <c r="B814" t="s">
        <v>1671</v>
      </c>
      <c r="C814" t="s">
        <v>1674</v>
      </c>
      <c r="D814" t="s">
        <v>391</v>
      </c>
      <c r="E814" t="s">
        <v>1672</v>
      </c>
    </row>
    <row r="815" spans="1:5">
      <c r="A815" s="2" t="s">
        <v>1675</v>
      </c>
      <c r="B815" t="s">
        <v>1671</v>
      </c>
      <c r="C815" t="s">
        <v>1093</v>
      </c>
      <c r="D815" t="s">
        <v>391</v>
      </c>
      <c r="E815" t="s">
        <v>1672</v>
      </c>
    </row>
    <row r="816" spans="1:5">
      <c r="A816" s="2" t="s">
        <v>1676</v>
      </c>
      <c r="B816" t="s">
        <v>1671</v>
      </c>
      <c r="C816">
        <v>30</v>
      </c>
      <c r="D816" t="s">
        <v>391</v>
      </c>
      <c r="E816" t="s">
        <v>1672</v>
      </c>
    </row>
    <row r="817" spans="1:5">
      <c r="A817" s="2" t="s">
        <v>1677</v>
      </c>
      <c r="B817" t="s">
        <v>1671</v>
      </c>
      <c r="C817" t="s">
        <v>1063</v>
      </c>
      <c r="D817" t="s">
        <v>391</v>
      </c>
      <c r="E817" t="s">
        <v>1672</v>
      </c>
    </row>
    <row r="818" spans="1:5">
      <c r="A818" s="2" t="s">
        <v>1678</v>
      </c>
      <c r="B818" t="s">
        <v>1671</v>
      </c>
      <c r="C818" t="s">
        <v>530</v>
      </c>
      <c r="D818" t="s">
        <v>391</v>
      </c>
      <c r="E818" t="s">
        <v>1672</v>
      </c>
    </row>
    <row r="819" spans="1:5">
      <c r="A819" s="2" t="s">
        <v>1679</v>
      </c>
      <c r="B819" t="s">
        <v>1671</v>
      </c>
      <c r="C819" t="s">
        <v>638</v>
      </c>
      <c r="D819" t="s">
        <v>391</v>
      </c>
      <c r="E819" t="s">
        <v>1672</v>
      </c>
    </row>
    <row r="820" spans="1:5">
      <c r="A820" s="2" t="s">
        <v>1680</v>
      </c>
      <c r="B820" t="s">
        <v>1671</v>
      </c>
      <c r="C820" t="s">
        <v>606</v>
      </c>
      <c r="D820" t="s">
        <v>391</v>
      </c>
      <c r="E820" t="s">
        <v>1672</v>
      </c>
    </row>
    <row r="821" spans="1:5">
      <c r="A821" s="2" t="s">
        <v>1681</v>
      </c>
      <c r="B821" t="s">
        <v>1671</v>
      </c>
      <c r="C821" t="s">
        <v>556</v>
      </c>
      <c r="D821" t="s">
        <v>391</v>
      </c>
      <c r="E821" t="s">
        <v>1672</v>
      </c>
    </row>
    <row r="822" spans="1:5">
      <c r="A822" s="2" t="s">
        <v>1682</v>
      </c>
      <c r="B822" t="s">
        <v>1671</v>
      </c>
      <c r="C822" t="s">
        <v>558</v>
      </c>
      <c r="D822" t="s">
        <v>391</v>
      </c>
      <c r="E822" t="s">
        <v>1672</v>
      </c>
    </row>
    <row r="823" spans="1:5">
      <c r="A823" s="2" t="s">
        <v>1683</v>
      </c>
      <c r="B823" t="s">
        <v>1671</v>
      </c>
      <c r="C823" t="s">
        <v>548</v>
      </c>
      <c r="D823" t="s">
        <v>391</v>
      </c>
      <c r="E823" t="s">
        <v>1672</v>
      </c>
    </row>
    <row r="824" spans="1:5">
      <c r="A824" s="2" t="s">
        <v>1684</v>
      </c>
      <c r="B824" t="s">
        <v>1671</v>
      </c>
      <c r="C824" t="s">
        <v>562</v>
      </c>
      <c r="D824" t="s">
        <v>391</v>
      </c>
      <c r="E824" t="s">
        <v>1672</v>
      </c>
    </row>
    <row r="825" spans="1:5">
      <c r="A825" s="2" t="s">
        <v>1685</v>
      </c>
      <c r="B825" t="s">
        <v>325</v>
      </c>
      <c r="C825" t="s">
        <v>1649</v>
      </c>
      <c r="D825" t="s">
        <v>391</v>
      </c>
      <c r="E825" t="s">
        <v>1672</v>
      </c>
    </row>
    <row r="826" spans="1:5">
      <c r="A826" s="2" t="s">
        <v>1686</v>
      </c>
      <c r="B826" t="s">
        <v>325</v>
      </c>
      <c r="C826" t="s">
        <v>1651</v>
      </c>
      <c r="D826" t="s">
        <v>391</v>
      </c>
      <c r="E826" t="s">
        <v>1672</v>
      </c>
    </row>
    <row r="827" spans="1:5">
      <c r="A827" s="2" t="s">
        <v>1687</v>
      </c>
      <c r="B827" t="s">
        <v>325</v>
      </c>
      <c r="C827" t="s">
        <v>534</v>
      </c>
      <c r="D827" t="s">
        <v>391</v>
      </c>
      <c r="E827" t="s">
        <v>1672</v>
      </c>
    </row>
    <row r="828" spans="1:5">
      <c r="A828" s="2" t="s">
        <v>1688</v>
      </c>
      <c r="B828" t="s">
        <v>325</v>
      </c>
      <c r="C828" t="s">
        <v>530</v>
      </c>
      <c r="D828" t="s">
        <v>391</v>
      </c>
      <c r="E828" t="s">
        <v>1672</v>
      </c>
    </row>
    <row r="829" spans="1:5">
      <c r="A829" s="2" t="s">
        <v>1689</v>
      </c>
      <c r="B829" t="s">
        <v>325</v>
      </c>
      <c r="C829" t="s">
        <v>556</v>
      </c>
      <c r="D829" t="s">
        <v>391</v>
      </c>
      <c r="E829" t="s">
        <v>1672</v>
      </c>
    </row>
    <row r="830" spans="1:5">
      <c r="A830" s="2" t="s">
        <v>1690</v>
      </c>
      <c r="B830" t="s">
        <v>325</v>
      </c>
      <c r="C830" t="s">
        <v>590</v>
      </c>
      <c r="D830" t="s">
        <v>391</v>
      </c>
      <c r="E830" t="s">
        <v>1672</v>
      </c>
    </row>
    <row r="831" spans="1:5">
      <c r="A831" s="2" t="s">
        <v>1691</v>
      </c>
      <c r="B831" t="s">
        <v>325</v>
      </c>
      <c r="C831" t="s">
        <v>254</v>
      </c>
      <c r="D831" t="s">
        <v>391</v>
      </c>
      <c r="E831" t="s">
        <v>1672</v>
      </c>
    </row>
    <row r="832" spans="1:5">
      <c r="A832" s="2" t="s">
        <v>1692</v>
      </c>
      <c r="B832" t="s">
        <v>325</v>
      </c>
      <c r="C832" t="s">
        <v>1639</v>
      </c>
      <c r="D832" t="s">
        <v>391</v>
      </c>
      <c r="E832" t="s">
        <v>1672</v>
      </c>
    </row>
    <row r="833" spans="1:5">
      <c r="A833" s="2" t="s">
        <v>1693</v>
      </c>
      <c r="B833" t="s">
        <v>325</v>
      </c>
      <c r="C833" t="s">
        <v>298</v>
      </c>
      <c r="D833" t="s">
        <v>391</v>
      </c>
      <c r="E833" t="s">
        <v>1672</v>
      </c>
    </row>
    <row r="834" spans="1:5">
      <c r="A834" s="2" t="s">
        <v>1694</v>
      </c>
      <c r="B834" t="s">
        <v>325</v>
      </c>
      <c r="C834" t="s">
        <v>974</v>
      </c>
      <c r="D834" t="s">
        <v>391</v>
      </c>
      <c r="E834" t="s">
        <v>1672</v>
      </c>
    </row>
    <row r="835" spans="1:5">
      <c r="A835" s="2" t="s">
        <v>1695</v>
      </c>
      <c r="B835" t="s">
        <v>325</v>
      </c>
      <c r="C835" t="s">
        <v>1667</v>
      </c>
      <c r="D835" t="s">
        <v>391</v>
      </c>
      <c r="E835" t="s">
        <v>1672</v>
      </c>
    </row>
    <row r="836" spans="1:5">
      <c r="A836" s="2" t="s">
        <v>1696</v>
      </c>
      <c r="B836" t="s">
        <v>325</v>
      </c>
      <c r="C836" t="s">
        <v>1697</v>
      </c>
      <c r="D836" t="s">
        <v>391</v>
      </c>
      <c r="E836" t="s">
        <v>1672</v>
      </c>
    </row>
    <row r="837" spans="1:5">
      <c r="A837" s="2" t="s">
        <v>1698</v>
      </c>
      <c r="B837" t="s">
        <v>325</v>
      </c>
      <c r="C837" t="s">
        <v>1699</v>
      </c>
      <c r="D837" t="s">
        <v>391</v>
      </c>
      <c r="E837" t="s">
        <v>1672</v>
      </c>
    </row>
    <row r="838" spans="1:5">
      <c r="A838" s="2" t="s">
        <v>1700</v>
      </c>
      <c r="B838" t="s">
        <v>325</v>
      </c>
      <c r="C838" t="s">
        <v>326</v>
      </c>
      <c r="D838" t="s">
        <v>391</v>
      </c>
      <c r="E838" t="s">
        <v>1672</v>
      </c>
    </row>
    <row r="839" spans="1:5">
      <c r="A839" s="2" t="s">
        <v>1701</v>
      </c>
      <c r="B839" t="s">
        <v>325</v>
      </c>
      <c r="C839" t="s">
        <v>1669</v>
      </c>
      <c r="D839" t="s">
        <v>391</v>
      </c>
      <c r="E839" t="s">
        <v>1672</v>
      </c>
    </row>
    <row r="840" spans="1:5">
      <c r="A840" s="2" t="s">
        <v>1702</v>
      </c>
      <c r="B840" t="s">
        <v>1703</v>
      </c>
      <c r="C840" t="s">
        <v>254</v>
      </c>
      <c r="D840" t="s">
        <v>391</v>
      </c>
      <c r="E840" t="s">
        <v>1704</v>
      </c>
    </row>
    <row r="841" spans="1:5">
      <c r="A841" s="2" t="s">
        <v>1705</v>
      </c>
      <c r="B841" t="s">
        <v>1703</v>
      </c>
      <c r="C841" t="s">
        <v>298</v>
      </c>
      <c r="D841" t="s">
        <v>391</v>
      </c>
      <c r="E841" t="s">
        <v>1706</v>
      </c>
    </row>
    <row r="842" spans="1:5">
      <c r="A842" s="2" t="s">
        <v>1707</v>
      </c>
      <c r="B842" s="5" t="s">
        <v>1703</v>
      </c>
      <c r="C842" s="5" t="s">
        <v>532</v>
      </c>
      <c r="D842" s="5" t="s">
        <v>391</v>
      </c>
      <c r="E842" s="5" t="s">
        <v>1706</v>
      </c>
    </row>
    <row r="843" spans="1:5">
      <c r="A843" s="2" t="s">
        <v>1708</v>
      </c>
      <c r="B843" s="5" t="s">
        <v>1703</v>
      </c>
      <c r="C843" s="5" t="s">
        <v>1063</v>
      </c>
      <c r="D843" s="5" t="s">
        <v>391</v>
      </c>
      <c r="E843" s="5" t="s">
        <v>1704</v>
      </c>
    </row>
    <row r="844" spans="1:5">
      <c r="A844" s="2" t="s">
        <v>1709</v>
      </c>
      <c r="B844" s="5" t="s">
        <v>1703</v>
      </c>
      <c r="C844" s="5" t="s">
        <v>1065</v>
      </c>
      <c r="D844" s="5" t="s">
        <v>391</v>
      </c>
      <c r="E844" s="5" t="s">
        <v>1706</v>
      </c>
    </row>
    <row r="845" spans="1:5">
      <c r="A845" s="2" t="s">
        <v>1710</v>
      </c>
      <c r="B845" t="s">
        <v>1703</v>
      </c>
      <c r="C845" t="s">
        <v>530</v>
      </c>
      <c r="D845" t="s">
        <v>391</v>
      </c>
      <c r="E845" t="s">
        <v>1704</v>
      </c>
    </row>
    <row r="846" spans="1:5">
      <c r="A846" s="2" t="s">
        <v>1711</v>
      </c>
      <c r="B846" t="s">
        <v>1703</v>
      </c>
      <c r="C846" t="s">
        <v>534</v>
      </c>
      <c r="D846" t="s">
        <v>391</v>
      </c>
      <c r="E846" t="s">
        <v>1706</v>
      </c>
    </row>
    <row r="847" spans="1:5">
      <c r="A847" s="2" t="s">
        <v>1712</v>
      </c>
      <c r="B847" t="s">
        <v>1703</v>
      </c>
      <c r="C847" t="s">
        <v>638</v>
      </c>
      <c r="D847" t="s">
        <v>391</v>
      </c>
      <c r="E847" t="s">
        <v>1704</v>
      </c>
    </row>
    <row r="848" spans="1:5">
      <c r="A848" s="2" t="s">
        <v>1713</v>
      </c>
      <c r="B848" t="s">
        <v>1703</v>
      </c>
      <c r="C848" t="s">
        <v>606</v>
      </c>
      <c r="D848" t="s">
        <v>391</v>
      </c>
      <c r="E848" t="s">
        <v>1704</v>
      </c>
    </row>
    <row r="849" spans="1:5">
      <c r="A849" s="2" t="s">
        <v>1714</v>
      </c>
      <c r="B849" t="s">
        <v>1703</v>
      </c>
      <c r="C849" t="s">
        <v>556</v>
      </c>
      <c r="D849" t="s">
        <v>391</v>
      </c>
      <c r="E849" t="s">
        <v>1704</v>
      </c>
    </row>
    <row r="850" spans="1:5">
      <c r="A850" s="2" t="s">
        <v>1715</v>
      </c>
      <c r="B850" t="s">
        <v>1703</v>
      </c>
      <c r="C850" t="s">
        <v>590</v>
      </c>
      <c r="D850" t="s">
        <v>391</v>
      </c>
      <c r="E850" t="s">
        <v>1706</v>
      </c>
    </row>
    <row r="851" spans="1:5">
      <c r="A851" s="2" t="s">
        <v>1716</v>
      </c>
      <c r="B851" t="s">
        <v>1703</v>
      </c>
      <c r="C851" t="s">
        <v>558</v>
      </c>
      <c r="D851" t="s">
        <v>391</v>
      </c>
      <c r="E851" t="s">
        <v>1704</v>
      </c>
    </row>
    <row r="852" spans="1:5">
      <c r="A852" s="2" t="s">
        <v>1717</v>
      </c>
      <c r="B852" t="s">
        <v>1703</v>
      </c>
      <c r="C852" t="s">
        <v>548</v>
      </c>
      <c r="D852" t="s">
        <v>391</v>
      </c>
      <c r="E852" t="s">
        <v>1704</v>
      </c>
    </row>
    <row r="853" spans="1:5">
      <c r="A853" s="2" t="s">
        <v>1718</v>
      </c>
      <c r="B853" t="s">
        <v>1703</v>
      </c>
      <c r="C853" t="s">
        <v>562</v>
      </c>
      <c r="D853" t="s">
        <v>391</v>
      </c>
      <c r="E853" t="s">
        <v>1704</v>
      </c>
    </row>
    <row r="854" spans="1:5">
      <c r="A854" s="2" t="s">
        <v>1719</v>
      </c>
      <c r="B854" t="s">
        <v>1720</v>
      </c>
      <c r="C854" t="s">
        <v>532</v>
      </c>
      <c r="D854" t="s">
        <v>391</v>
      </c>
      <c r="E854" t="s">
        <v>1706</v>
      </c>
    </row>
    <row r="855" spans="1:5">
      <c r="A855" s="2" t="s">
        <v>1721</v>
      </c>
      <c r="B855" t="s">
        <v>1720</v>
      </c>
      <c r="C855" t="s">
        <v>326</v>
      </c>
      <c r="D855" t="s">
        <v>391</v>
      </c>
      <c r="E855" t="s">
        <v>1706</v>
      </c>
    </row>
    <row r="856" spans="1:5">
      <c r="A856" s="2" t="s">
        <v>1722</v>
      </c>
      <c r="B856" t="s">
        <v>1720</v>
      </c>
      <c r="C856" t="s">
        <v>254</v>
      </c>
      <c r="D856" t="s">
        <v>391</v>
      </c>
      <c r="E856" t="s">
        <v>1723</v>
      </c>
    </row>
    <row r="857" spans="1:5">
      <c r="A857" s="2" t="s">
        <v>1724</v>
      </c>
      <c r="B857" t="s">
        <v>1720</v>
      </c>
      <c r="C857" t="s">
        <v>1639</v>
      </c>
      <c r="D857" t="s">
        <v>391</v>
      </c>
      <c r="E857" t="s">
        <v>1723</v>
      </c>
    </row>
    <row r="858" spans="1:5">
      <c r="A858" s="2" t="s">
        <v>1725</v>
      </c>
      <c r="B858" t="s">
        <v>1720</v>
      </c>
      <c r="C858" t="s">
        <v>330</v>
      </c>
      <c r="D858" t="s">
        <v>391</v>
      </c>
      <c r="E858" t="s">
        <v>1706</v>
      </c>
    </row>
    <row r="859" spans="1:5">
      <c r="A859" s="2" t="s">
        <v>1726</v>
      </c>
      <c r="B859" t="s">
        <v>1720</v>
      </c>
      <c r="C859" t="s">
        <v>1203</v>
      </c>
      <c r="D859" t="s">
        <v>391</v>
      </c>
      <c r="E859" t="s">
        <v>1706</v>
      </c>
    </row>
    <row r="860" spans="1:5">
      <c r="A860" s="2" t="s">
        <v>1727</v>
      </c>
      <c r="B860" t="s">
        <v>1720</v>
      </c>
      <c r="C860" t="s">
        <v>1645</v>
      </c>
      <c r="D860" t="s">
        <v>391</v>
      </c>
      <c r="E860" t="s">
        <v>1706</v>
      </c>
    </row>
    <row r="861" spans="1:5">
      <c r="A861" s="2" t="s">
        <v>1728</v>
      </c>
      <c r="B861" t="s">
        <v>1720</v>
      </c>
      <c r="C861" t="s">
        <v>1642</v>
      </c>
      <c r="D861" t="s">
        <v>391</v>
      </c>
      <c r="E861" t="s">
        <v>1706</v>
      </c>
    </row>
    <row r="862" spans="1:5">
      <c r="A862" s="2" t="s">
        <v>1729</v>
      </c>
      <c r="B862" t="s">
        <v>1730</v>
      </c>
      <c r="C862" t="s">
        <v>530</v>
      </c>
      <c r="D862" t="s">
        <v>391</v>
      </c>
      <c r="E862" t="s">
        <v>1704</v>
      </c>
    </row>
    <row r="863" spans="1:5">
      <c r="A863" s="2" t="s">
        <v>1731</v>
      </c>
      <c r="B863" t="s">
        <v>1730</v>
      </c>
      <c r="C863" t="s">
        <v>1649</v>
      </c>
      <c r="D863" t="s">
        <v>391</v>
      </c>
      <c r="E863" t="s">
        <v>1704</v>
      </c>
    </row>
    <row r="864" spans="1:5">
      <c r="A864" s="2" t="s">
        <v>1732</v>
      </c>
      <c r="B864" t="s">
        <v>1730</v>
      </c>
      <c r="C864" t="s">
        <v>1651</v>
      </c>
      <c r="D864" t="s">
        <v>391</v>
      </c>
      <c r="E864" t="s">
        <v>1704</v>
      </c>
    </row>
    <row r="865" spans="1:5">
      <c r="A865" s="2" t="s">
        <v>1733</v>
      </c>
      <c r="B865" t="s">
        <v>1730</v>
      </c>
      <c r="C865" t="s">
        <v>534</v>
      </c>
      <c r="D865" t="s">
        <v>391</v>
      </c>
      <c r="E865" t="s">
        <v>1704</v>
      </c>
    </row>
    <row r="866" spans="1:5">
      <c r="A866" s="2" t="s">
        <v>1734</v>
      </c>
      <c r="B866" t="s">
        <v>1730</v>
      </c>
      <c r="C866" t="s">
        <v>536</v>
      </c>
      <c r="D866" t="s">
        <v>391</v>
      </c>
      <c r="E866" t="s">
        <v>1704</v>
      </c>
    </row>
    <row r="867" spans="1:5">
      <c r="A867" s="2" t="s">
        <v>1735</v>
      </c>
      <c r="B867" t="s">
        <v>1730</v>
      </c>
      <c r="C867" t="s">
        <v>1439</v>
      </c>
      <c r="D867" t="s">
        <v>391</v>
      </c>
      <c r="E867" t="s">
        <v>1704</v>
      </c>
    </row>
    <row r="868" spans="1:5">
      <c r="A868" s="2" t="s">
        <v>1736</v>
      </c>
      <c r="B868" t="s">
        <v>1730</v>
      </c>
      <c r="C868" t="s">
        <v>1216</v>
      </c>
      <c r="D868" t="s">
        <v>391</v>
      </c>
      <c r="E868" t="s">
        <v>1704</v>
      </c>
    </row>
    <row r="869" spans="1:5">
      <c r="A869" s="2" t="s">
        <v>1737</v>
      </c>
      <c r="B869" t="s">
        <v>1730</v>
      </c>
      <c r="C869" t="s">
        <v>592</v>
      </c>
      <c r="D869" t="s">
        <v>391</v>
      </c>
      <c r="E869" t="s">
        <v>1704</v>
      </c>
    </row>
    <row r="870" spans="1:5">
      <c r="A870" s="2" t="s">
        <v>1738</v>
      </c>
      <c r="B870" t="s">
        <v>1730</v>
      </c>
      <c r="C870" t="s">
        <v>254</v>
      </c>
      <c r="D870" t="s">
        <v>391</v>
      </c>
      <c r="E870" t="s">
        <v>1704</v>
      </c>
    </row>
    <row r="871" spans="1:5">
      <c r="A871" s="2" t="s">
        <v>1739</v>
      </c>
      <c r="B871" t="s">
        <v>1730</v>
      </c>
      <c r="C871" t="s">
        <v>1639</v>
      </c>
      <c r="D871" t="s">
        <v>391</v>
      </c>
      <c r="E871" t="s">
        <v>1704</v>
      </c>
    </row>
    <row r="872" spans="1:5">
      <c r="A872" s="2" t="s">
        <v>1740</v>
      </c>
      <c r="B872" t="s">
        <v>1730</v>
      </c>
      <c r="C872" t="s">
        <v>298</v>
      </c>
      <c r="D872" t="s">
        <v>391</v>
      </c>
      <c r="E872" t="s">
        <v>1704</v>
      </c>
    </row>
    <row r="873" spans="1:5">
      <c r="A873" s="2" t="s">
        <v>1741</v>
      </c>
      <c r="B873" t="s">
        <v>1730</v>
      </c>
      <c r="C873" t="s">
        <v>1030</v>
      </c>
      <c r="D873" t="s">
        <v>391</v>
      </c>
      <c r="E873" t="s">
        <v>1704</v>
      </c>
    </row>
    <row r="874" spans="1:5">
      <c r="A874" s="2" t="s">
        <v>1742</v>
      </c>
      <c r="B874" t="s">
        <v>1730</v>
      </c>
      <c r="C874" t="s">
        <v>1667</v>
      </c>
      <c r="D874" t="s">
        <v>391</v>
      </c>
      <c r="E874" t="s">
        <v>1704</v>
      </c>
    </row>
    <row r="875" spans="1:5">
      <c r="A875" s="2" t="s">
        <v>1743</v>
      </c>
      <c r="B875" t="s">
        <v>1730</v>
      </c>
      <c r="C875" t="s">
        <v>1662</v>
      </c>
      <c r="D875" t="s">
        <v>391</v>
      </c>
      <c r="E875" t="s">
        <v>1704</v>
      </c>
    </row>
    <row r="876" spans="1:5">
      <c r="A876" s="2" t="s">
        <v>1744</v>
      </c>
      <c r="B876" t="s">
        <v>1730</v>
      </c>
      <c r="C876" t="s">
        <v>1664</v>
      </c>
      <c r="D876" t="s">
        <v>391</v>
      </c>
      <c r="E876" t="s">
        <v>1704</v>
      </c>
    </row>
    <row r="877" spans="1:5">
      <c r="A877" s="2" t="s">
        <v>1745</v>
      </c>
      <c r="B877" s="5" t="s">
        <v>1730</v>
      </c>
      <c r="C877" s="5" t="s">
        <v>1219</v>
      </c>
      <c r="D877" s="5" t="s">
        <v>391</v>
      </c>
      <c r="E877" s="5" t="s">
        <v>1704</v>
      </c>
    </row>
    <row r="878" spans="1:5">
      <c r="A878" s="2" t="s">
        <v>1746</v>
      </c>
      <c r="B878" s="5" t="s">
        <v>1730</v>
      </c>
      <c r="C878" s="5" t="s">
        <v>1669</v>
      </c>
      <c r="D878" s="5" t="s">
        <v>391</v>
      </c>
      <c r="E878" s="5" t="s">
        <v>1704</v>
      </c>
    </row>
    <row r="879" spans="1:5">
      <c r="A879" s="2" t="s">
        <v>1747</v>
      </c>
      <c r="B879" s="5" t="s">
        <v>340</v>
      </c>
      <c r="C879" s="5" t="s">
        <v>254</v>
      </c>
      <c r="D879" s="5" t="s">
        <v>391</v>
      </c>
      <c r="E879" s="5" t="s">
        <v>1748</v>
      </c>
    </row>
    <row r="880" spans="1:5">
      <c r="A880" s="2" t="s">
        <v>1749</v>
      </c>
      <c r="B880" s="5" t="s">
        <v>340</v>
      </c>
      <c r="C880" s="5">
        <v>30</v>
      </c>
      <c r="D880" s="5" t="s">
        <v>391</v>
      </c>
      <c r="E880" s="5" t="s">
        <v>1748</v>
      </c>
    </row>
    <row r="881" spans="1:5">
      <c r="A881" s="2" t="s">
        <v>1750</v>
      </c>
      <c r="B881" s="5" t="s">
        <v>340</v>
      </c>
      <c r="C881" s="5" t="s">
        <v>1674</v>
      </c>
      <c r="D881" s="5" t="s">
        <v>391</v>
      </c>
      <c r="E881" s="5" t="s">
        <v>1748</v>
      </c>
    </row>
    <row r="882" spans="1:5">
      <c r="A882" s="2" t="s">
        <v>1751</v>
      </c>
      <c r="B882" s="5" t="s">
        <v>340</v>
      </c>
      <c r="C882" s="5" t="s">
        <v>1093</v>
      </c>
      <c r="D882" s="5" t="s">
        <v>391</v>
      </c>
      <c r="E882" s="5" t="s">
        <v>1748</v>
      </c>
    </row>
    <row r="883" spans="1:5">
      <c r="A883" s="2" t="s">
        <v>1752</v>
      </c>
      <c r="B883" t="s">
        <v>340</v>
      </c>
      <c r="C883" t="s">
        <v>577</v>
      </c>
      <c r="D883" t="s">
        <v>391</v>
      </c>
      <c r="E883" t="s">
        <v>1748</v>
      </c>
    </row>
    <row r="884" spans="1:5">
      <c r="A884" s="2" t="s">
        <v>1753</v>
      </c>
      <c r="B884" t="s">
        <v>340</v>
      </c>
      <c r="C884" t="s">
        <v>579</v>
      </c>
      <c r="D884" t="s">
        <v>391</v>
      </c>
      <c r="E884" t="s">
        <v>1748</v>
      </c>
    </row>
    <row r="885" spans="1:5">
      <c r="A885" s="2" t="s">
        <v>1754</v>
      </c>
      <c r="B885" t="s">
        <v>340</v>
      </c>
      <c r="C885" t="s">
        <v>564</v>
      </c>
      <c r="D885" t="s">
        <v>391</v>
      </c>
      <c r="E885" t="s">
        <v>1748</v>
      </c>
    </row>
    <row r="886" spans="1:5">
      <c r="A886" s="2" t="s">
        <v>1755</v>
      </c>
      <c r="B886" t="s">
        <v>340</v>
      </c>
      <c r="C886" t="s">
        <v>1063</v>
      </c>
      <c r="D886" t="s">
        <v>391</v>
      </c>
      <c r="E886" t="s">
        <v>1748</v>
      </c>
    </row>
    <row r="887" spans="1:5">
      <c r="A887" s="2" t="s">
        <v>1756</v>
      </c>
      <c r="B887" t="s">
        <v>340</v>
      </c>
      <c r="C887" t="s">
        <v>530</v>
      </c>
      <c r="D887" t="s">
        <v>391</v>
      </c>
      <c r="E887" t="s">
        <v>1748</v>
      </c>
    </row>
    <row r="888" spans="1:5">
      <c r="A888" s="2" t="s">
        <v>1757</v>
      </c>
      <c r="B888" t="s">
        <v>340</v>
      </c>
      <c r="C888" t="s">
        <v>638</v>
      </c>
      <c r="D888" t="s">
        <v>391</v>
      </c>
      <c r="E888" t="s">
        <v>1748</v>
      </c>
    </row>
    <row r="889" spans="1:5">
      <c r="A889" s="2" t="s">
        <v>1758</v>
      </c>
      <c r="B889" t="s">
        <v>340</v>
      </c>
      <c r="C889" t="s">
        <v>606</v>
      </c>
      <c r="D889" t="s">
        <v>391</v>
      </c>
      <c r="E889" t="s">
        <v>1748</v>
      </c>
    </row>
    <row r="890" spans="1:5">
      <c r="A890" s="2" t="s">
        <v>1759</v>
      </c>
      <c r="B890" t="s">
        <v>340</v>
      </c>
      <c r="C890" t="s">
        <v>556</v>
      </c>
      <c r="D890" t="s">
        <v>391</v>
      </c>
      <c r="E890" t="s">
        <v>1748</v>
      </c>
    </row>
    <row r="891" spans="1:5">
      <c r="A891" s="2" t="s">
        <v>1760</v>
      </c>
      <c r="B891" t="s">
        <v>340</v>
      </c>
      <c r="C891" t="s">
        <v>558</v>
      </c>
      <c r="D891" t="s">
        <v>391</v>
      </c>
      <c r="E891" t="s">
        <v>1748</v>
      </c>
    </row>
    <row r="892" spans="1:5">
      <c r="A892" s="2" t="s">
        <v>1761</v>
      </c>
      <c r="B892" t="s">
        <v>340</v>
      </c>
      <c r="C892" t="s">
        <v>548</v>
      </c>
      <c r="D892" t="s">
        <v>391</v>
      </c>
      <c r="E892" t="s">
        <v>1748</v>
      </c>
    </row>
    <row r="893" spans="1:5">
      <c r="A893" s="2" t="s">
        <v>1762</v>
      </c>
      <c r="B893" t="s">
        <v>340</v>
      </c>
      <c r="C893" t="s">
        <v>562</v>
      </c>
      <c r="D893" t="s">
        <v>391</v>
      </c>
      <c r="E893" t="s">
        <v>1748</v>
      </c>
    </row>
    <row r="894" spans="1:5">
      <c r="A894" s="2" t="s">
        <v>1763</v>
      </c>
      <c r="B894" t="s">
        <v>1764</v>
      </c>
      <c r="C894" t="s">
        <v>530</v>
      </c>
      <c r="D894" t="s">
        <v>391</v>
      </c>
      <c r="E894" t="s">
        <v>1748</v>
      </c>
    </row>
    <row r="895" spans="1:5">
      <c r="A895" s="2" t="s">
        <v>1765</v>
      </c>
      <c r="B895" t="s">
        <v>1764</v>
      </c>
      <c r="C895" t="s">
        <v>1649</v>
      </c>
      <c r="D895" t="s">
        <v>391</v>
      </c>
      <c r="E895" t="s">
        <v>1748</v>
      </c>
    </row>
    <row r="896" spans="1:5">
      <c r="A896" s="2" t="s">
        <v>1766</v>
      </c>
      <c r="B896" t="s">
        <v>1764</v>
      </c>
      <c r="C896" t="s">
        <v>1651</v>
      </c>
      <c r="D896" t="s">
        <v>391</v>
      </c>
      <c r="E896" t="s">
        <v>1748</v>
      </c>
    </row>
    <row r="897" spans="1:5">
      <c r="A897" s="2" t="s">
        <v>1767</v>
      </c>
      <c r="B897" t="s">
        <v>1764</v>
      </c>
      <c r="C897" t="s">
        <v>534</v>
      </c>
      <c r="D897" t="s">
        <v>391</v>
      </c>
      <c r="E897" t="s">
        <v>1748</v>
      </c>
    </row>
    <row r="898" spans="1:5">
      <c r="A898" s="2" t="s">
        <v>1768</v>
      </c>
      <c r="B898" t="s">
        <v>1764</v>
      </c>
      <c r="C898" t="s">
        <v>556</v>
      </c>
      <c r="D898" t="s">
        <v>391</v>
      </c>
      <c r="E898" t="s">
        <v>1748</v>
      </c>
    </row>
    <row r="899" spans="1:5">
      <c r="A899" s="2" t="s">
        <v>1769</v>
      </c>
      <c r="B899" t="s">
        <v>1764</v>
      </c>
      <c r="C899" t="s">
        <v>590</v>
      </c>
      <c r="D899" t="s">
        <v>391</v>
      </c>
      <c r="E899" t="s">
        <v>1748</v>
      </c>
    </row>
    <row r="900" spans="1:5">
      <c r="A900" s="2" t="s">
        <v>1770</v>
      </c>
      <c r="B900" t="s">
        <v>1764</v>
      </c>
      <c r="C900" t="s">
        <v>254</v>
      </c>
      <c r="D900" t="s">
        <v>391</v>
      </c>
      <c r="E900" t="s">
        <v>1748</v>
      </c>
    </row>
    <row r="901" spans="1:5">
      <c r="A901" s="2" t="s">
        <v>1771</v>
      </c>
      <c r="B901" t="s">
        <v>1764</v>
      </c>
      <c r="C901" t="s">
        <v>1639</v>
      </c>
      <c r="D901" t="s">
        <v>391</v>
      </c>
      <c r="E901" t="s">
        <v>1748</v>
      </c>
    </row>
    <row r="902" spans="1:5">
      <c r="A902" s="2" t="s">
        <v>1772</v>
      </c>
      <c r="B902" t="s">
        <v>1764</v>
      </c>
      <c r="C902" t="s">
        <v>298</v>
      </c>
      <c r="D902" t="s">
        <v>391</v>
      </c>
      <c r="E902" t="s">
        <v>1748</v>
      </c>
    </row>
    <row r="903" spans="1:5">
      <c r="A903" s="2" t="s">
        <v>1773</v>
      </c>
      <c r="B903" t="s">
        <v>1764</v>
      </c>
      <c r="C903" t="s">
        <v>974</v>
      </c>
      <c r="D903" t="s">
        <v>391</v>
      </c>
      <c r="E903" t="s">
        <v>1748</v>
      </c>
    </row>
    <row r="904" spans="1:5">
      <c r="A904" s="2" t="s">
        <v>1774</v>
      </c>
      <c r="B904" t="s">
        <v>1764</v>
      </c>
      <c r="C904" t="s">
        <v>1667</v>
      </c>
      <c r="D904" t="s">
        <v>391</v>
      </c>
      <c r="E904" t="s">
        <v>1748</v>
      </c>
    </row>
    <row r="905" spans="1:5">
      <c r="A905" s="2" t="s">
        <v>1775</v>
      </c>
      <c r="B905" t="s">
        <v>1764</v>
      </c>
      <c r="C905" t="s">
        <v>1669</v>
      </c>
      <c r="D905" t="s">
        <v>391</v>
      </c>
      <c r="E905" t="s">
        <v>1748</v>
      </c>
    </row>
    <row r="906" spans="1:5">
      <c r="A906" s="2" t="s">
        <v>1776</v>
      </c>
      <c r="B906" t="s">
        <v>1764</v>
      </c>
      <c r="C906" t="s">
        <v>1697</v>
      </c>
      <c r="D906" t="s">
        <v>391</v>
      </c>
      <c r="E906" t="s">
        <v>1748</v>
      </c>
    </row>
    <row r="907" spans="1:5">
      <c r="A907" s="2" t="s">
        <v>1777</v>
      </c>
      <c r="B907" t="s">
        <v>1764</v>
      </c>
      <c r="C907" t="s">
        <v>1699</v>
      </c>
      <c r="D907" t="s">
        <v>391</v>
      </c>
      <c r="E907" t="s">
        <v>1748</v>
      </c>
    </row>
    <row r="908" spans="1:5">
      <c r="A908" s="2" t="s">
        <v>1778</v>
      </c>
      <c r="B908" t="s">
        <v>1764</v>
      </c>
      <c r="C908" t="s">
        <v>326</v>
      </c>
      <c r="D908" t="s">
        <v>391</v>
      </c>
      <c r="E908" t="s">
        <v>1748</v>
      </c>
    </row>
    <row r="909" spans="1:5">
      <c r="A909" s="2" t="s">
        <v>1779</v>
      </c>
      <c r="B909" t="s">
        <v>1780</v>
      </c>
      <c r="C909" t="s">
        <v>1063</v>
      </c>
      <c r="D909" t="s">
        <v>182</v>
      </c>
      <c r="E909" t="s">
        <v>1781</v>
      </c>
    </row>
    <row r="910" spans="1:5">
      <c r="A910" s="2" t="s">
        <v>1782</v>
      </c>
      <c r="B910" t="s">
        <v>1780</v>
      </c>
      <c r="C910" t="s">
        <v>254</v>
      </c>
      <c r="D910" t="s">
        <v>182</v>
      </c>
      <c r="E910" t="s">
        <v>1781</v>
      </c>
    </row>
    <row r="911" spans="1:5">
      <c r="A911" s="2" t="s">
        <v>1783</v>
      </c>
      <c r="B911" t="s">
        <v>1780</v>
      </c>
      <c r="C911" t="s">
        <v>530</v>
      </c>
      <c r="D911" t="s">
        <v>182</v>
      </c>
      <c r="E911" t="s">
        <v>1781</v>
      </c>
    </row>
    <row r="912" spans="1:5">
      <c r="A912" s="2" t="s">
        <v>1784</v>
      </c>
      <c r="B912" t="s">
        <v>1785</v>
      </c>
      <c r="C912" t="s">
        <v>974</v>
      </c>
      <c r="D912" t="s">
        <v>182</v>
      </c>
      <c r="E912" t="s">
        <v>1781</v>
      </c>
    </row>
    <row r="913" spans="1:5">
      <c r="A913" s="2" t="s">
        <v>1786</v>
      </c>
      <c r="B913" t="s">
        <v>1785</v>
      </c>
      <c r="C913" t="s">
        <v>1697</v>
      </c>
      <c r="D913" t="s">
        <v>182</v>
      </c>
      <c r="E913" t="s">
        <v>1781</v>
      </c>
    </row>
    <row r="914" spans="1:5">
      <c r="A914" s="2" t="s">
        <v>1787</v>
      </c>
      <c r="B914" t="s">
        <v>1785</v>
      </c>
      <c r="C914" t="s">
        <v>556</v>
      </c>
      <c r="D914" t="s">
        <v>182</v>
      </c>
      <c r="E914" t="s">
        <v>1781</v>
      </c>
    </row>
    <row r="915" spans="1:5">
      <c r="A915" s="2" t="s">
        <v>1788</v>
      </c>
      <c r="B915" t="s">
        <v>1785</v>
      </c>
      <c r="C915" t="s">
        <v>530</v>
      </c>
      <c r="D915" t="s">
        <v>182</v>
      </c>
      <c r="E915" t="s">
        <v>1781</v>
      </c>
    </row>
    <row r="916" spans="1:5">
      <c r="A916" s="2" t="s">
        <v>1789</v>
      </c>
      <c r="B916" t="s">
        <v>1785</v>
      </c>
      <c r="C916" t="s">
        <v>1649</v>
      </c>
      <c r="D916" t="s">
        <v>182</v>
      </c>
      <c r="E916" t="s">
        <v>1781</v>
      </c>
    </row>
    <row r="917" spans="1:5">
      <c r="A917" s="2" t="s">
        <v>1790</v>
      </c>
      <c r="B917" t="s">
        <v>1785</v>
      </c>
      <c r="C917" t="s">
        <v>254</v>
      </c>
      <c r="D917" t="s">
        <v>182</v>
      </c>
      <c r="E917" t="s">
        <v>1781</v>
      </c>
    </row>
    <row r="918" spans="1:5">
      <c r="A918" s="2" t="s">
        <v>1791</v>
      </c>
      <c r="B918" t="s">
        <v>1785</v>
      </c>
      <c r="C918" t="s">
        <v>1667</v>
      </c>
      <c r="D918" t="s">
        <v>182</v>
      </c>
      <c r="E918" t="s">
        <v>1792</v>
      </c>
    </row>
    <row r="919" spans="1:5">
      <c r="A919" s="2" t="s">
        <v>1793</v>
      </c>
      <c r="B919" t="s">
        <v>1794</v>
      </c>
      <c r="C919" t="s">
        <v>974</v>
      </c>
      <c r="D919" t="s">
        <v>182</v>
      </c>
      <c r="E919" t="s">
        <v>1795</v>
      </c>
    </row>
    <row r="920" spans="1:5">
      <c r="A920" s="2" t="s">
        <v>1796</v>
      </c>
      <c r="B920" t="s">
        <v>1794</v>
      </c>
      <c r="C920" t="s">
        <v>1697</v>
      </c>
      <c r="D920" t="s">
        <v>182</v>
      </c>
      <c r="E920" t="s">
        <v>1795</v>
      </c>
    </row>
    <row r="921" spans="1:5">
      <c r="A921" s="2" t="s">
        <v>1797</v>
      </c>
      <c r="B921" t="s">
        <v>1794</v>
      </c>
      <c r="C921" t="s">
        <v>556</v>
      </c>
      <c r="D921" t="s">
        <v>182</v>
      </c>
      <c r="E921" t="s">
        <v>1795</v>
      </c>
    </row>
    <row r="922" spans="1:5">
      <c r="A922" s="2" t="s">
        <v>1798</v>
      </c>
      <c r="B922" s="3" t="s">
        <v>1794</v>
      </c>
      <c r="C922" s="3" t="s">
        <v>530</v>
      </c>
      <c r="D922" s="3" t="s">
        <v>182</v>
      </c>
      <c r="E922" s="3" t="s">
        <v>1795</v>
      </c>
    </row>
    <row r="923" spans="1:5">
      <c r="A923" s="2" t="s">
        <v>1799</v>
      </c>
      <c r="B923" s="3" t="s">
        <v>1794</v>
      </c>
      <c r="C923" s="3" t="s">
        <v>1649</v>
      </c>
      <c r="D923" s="3" t="s">
        <v>182</v>
      </c>
      <c r="E923" s="3" t="s">
        <v>1795</v>
      </c>
    </row>
    <row r="924" spans="1:5">
      <c r="A924" s="2" t="s">
        <v>1800</v>
      </c>
      <c r="B924" t="s">
        <v>1794</v>
      </c>
      <c r="C924" t="s">
        <v>254</v>
      </c>
      <c r="D924" t="s">
        <v>182</v>
      </c>
      <c r="E924" t="s">
        <v>1795</v>
      </c>
    </row>
    <row r="925" spans="1:5">
      <c r="A925" s="2" t="s">
        <v>1801</v>
      </c>
      <c r="B925" t="s">
        <v>1794</v>
      </c>
      <c r="C925" t="s">
        <v>298</v>
      </c>
      <c r="D925" t="s">
        <v>182</v>
      </c>
      <c r="E925" t="s">
        <v>1795</v>
      </c>
    </row>
    <row r="926" spans="1:5">
      <c r="A926" s="2" t="s">
        <v>1802</v>
      </c>
      <c r="B926" t="s">
        <v>1794</v>
      </c>
      <c r="C926" t="s">
        <v>1667</v>
      </c>
      <c r="D926" t="s">
        <v>182</v>
      </c>
      <c r="E926" t="s">
        <v>1795</v>
      </c>
    </row>
    <row r="927" spans="1:5">
      <c r="A927" s="2" t="s">
        <v>1803</v>
      </c>
      <c r="B927" t="s">
        <v>1804</v>
      </c>
      <c r="C927" t="s">
        <v>1063</v>
      </c>
      <c r="D927" t="s">
        <v>182</v>
      </c>
      <c r="E927" t="s">
        <v>1795</v>
      </c>
    </row>
    <row r="928" spans="1:5">
      <c r="A928" s="2" t="s">
        <v>1805</v>
      </c>
      <c r="B928" t="s">
        <v>1804</v>
      </c>
      <c r="C928" t="s">
        <v>254</v>
      </c>
      <c r="D928" t="s">
        <v>182</v>
      </c>
      <c r="E928" t="s">
        <v>1795</v>
      </c>
    </row>
    <row r="929" spans="1:5">
      <c r="A929" s="2" t="s">
        <v>1806</v>
      </c>
      <c r="B929" t="s">
        <v>1804</v>
      </c>
      <c r="C929" t="s">
        <v>530</v>
      </c>
      <c r="D929" t="s">
        <v>182</v>
      </c>
      <c r="E929" t="s">
        <v>1795</v>
      </c>
    </row>
    <row r="930" spans="1:5">
      <c r="A930" s="2" t="s">
        <v>1807</v>
      </c>
      <c r="B930" t="s">
        <v>1804</v>
      </c>
      <c r="C930" t="s">
        <v>556</v>
      </c>
      <c r="D930" t="s">
        <v>182</v>
      </c>
      <c r="E930" t="s">
        <v>1795</v>
      </c>
    </row>
    <row r="931" spans="1:5">
      <c r="A931" s="2" t="s">
        <v>1808</v>
      </c>
      <c r="B931" t="s">
        <v>1809</v>
      </c>
      <c r="C931" s="632" t="s">
        <v>298</v>
      </c>
      <c r="D931" t="s">
        <v>182</v>
      </c>
      <c r="E931" t="s">
        <v>1810</v>
      </c>
    </row>
    <row r="932" spans="1:5">
      <c r="A932" s="2" t="str">
        <f>B932&amp;C932</f>
        <v>GUN156R-SDTHXDEB</v>
      </c>
      <c r="B932" t="s">
        <v>1809</v>
      </c>
      <c r="C932" s="632" t="s">
        <v>579</v>
      </c>
      <c r="D932" t="s">
        <v>182</v>
      </c>
      <c r="E932" t="s">
        <v>1810</v>
      </c>
    </row>
    <row r="933" spans="1:5">
      <c r="A933" s="2" t="s">
        <v>1811</v>
      </c>
      <c r="B933" t="s">
        <v>1809</v>
      </c>
      <c r="C933" s="632" t="s">
        <v>568</v>
      </c>
      <c r="D933" t="s">
        <v>182</v>
      </c>
      <c r="E933" t="s">
        <v>1810</v>
      </c>
    </row>
    <row r="934" spans="1:5">
      <c r="A934" s="2" t="s">
        <v>1812</v>
      </c>
      <c r="B934" t="s">
        <v>1809</v>
      </c>
      <c r="C934">
        <v>34</v>
      </c>
      <c r="D934" t="s">
        <v>182</v>
      </c>
      <c r="E934" t="s">
        <v>1810</v>
      </c>
    </row>
    <row r="935" spans="1:5">
      <c r="A935" s="2" t="s">
        <v>1813</v>
      </c>
      <c r="B935" t="s">
        <v>1809</v>
      </c>
      <c r="C935" s="632" t="s">
        <v>583</v>
      </c>
      <c r="D935" t="s">
        <v>182</v>
      </c>
      <c r="E935" t="s">
        <v>1810</v>
      </c>
    </row>
    <row r="936" spans="1:5">
      <c r="A936" s="2" t="s">
        <v>1814</v>
      </c>
      <c r="B936" t="s">
        <v>1809</v>
      </c>
      <c r="C936" t="s">
        <v>1815</v>
      </c>
      <c r="D936" t="s">
        <v>182</v>
      </c>
      <c r="E936" t="s">
        <v>1810</v>
      </c>
    </row>
    <row r="937" spans="1:5">
      <c r="A937" s="2" t="s">
        <v>1816</v>
      </c>
      <c r="B937" t="s">
        <v>1809</v>
      </c>
      <c r="C937">
        <v>35</v>
      </c>
      <c r="D937" t="s">
        <v>182</v>
      </c>
      <c r="E937" t="s">
        <v>1810</v>
      </c>
    </row>
    <row r="938" spans="1:5">
      <c r="A938" s="2" t="s">
        <v>1817</v>
      </c>
      <c r="B938" t="s">
        <v>1809</v>
      </c>
      <c r="C938">
        <v>31</v>
      </c>
      <c r="D938" t="s">
        <v>182</v>
      </c>
      <c r="E938" t="s">
        <v>1810</v>
      </c>
    </row>
    <row r="939" spans="1:5">
      <c r="A939" s="2" t="s">
        <v>1818</v>
      </c>
      <c r="B939" t="s">
        <v>1809</v>
      </c>
      <c r="C939">
        <v>32</v>
      </c>
      <c r="D939" t="s">
        <v>182</v>
      </c>
      <c r="E939" t="s">
        <v>1810</v>
      </c>
    </row>
    <row r="940" spans="1:5">
      <c r="A940" s="2" t="s">
        <v>1819</v>
      </c>
      <c r="B940" t="s">
        <v>1809</v>
      </c>
      <c r="C940">
        <v>33</v>
      </c>
      <c r="D940" t="s">
        <v>182</v>
      </c>
      <c r="E940" t="s">
        <v>1810</v>
      </c>
    </row>
    <row r="941" spans="1:5">
      <c r="A941" s="2" t="s">
        <v>1820</v>
      </c>
      <c r="B941" t="s">
        <v>1809</v>
      </c>
      <c r="C941" t="s">
        <v>534</v>
      </c>
      <c r="D941" t="s">
        <v>182</v>
      </c>
      <c r="E941" t="s">
        <v>1810</v>
      </c>
    </row>
    <row r="942" spans="1:5">
      <c r="A942" s="2" t="s">
        <v>1821</v>
      </c>
      <c r="B942" t="s">
        <v>1809</v>
      </c>
      <c r="C942" t="s">
        <v>590</v>
      </c>
      <c r="D942" t="s">
        <v>182</v>
      </c>
      <c r="E942" t="s">
        <v>1810</v>
      </c>
    </row>
    <row r="943" spans="1:5">
      <c r="A943" s="2" t="s">
        <v>1822</v>
      </c>
      <c r="B943" t="s">
        <v>1809</v>
      </c>
      <c r="C943" t="s">
        <v>326</v>
      </c>
      <c r="D943" t="s">
        <v>182</v>
      </c>
      <c r="E943" t="s">
        <v>1810</v>
      </c>
    </row>
    <row r="944" spans="1:5">
      <c r="A944" s="2" t="s">
        <v>1823</v>
      </c>
      <c r="B944" t="s">
        <v>1824</v>
      </c>
      <c r="C944" t="s">
        <v>254</v>
      </c>
      <c r="D944" t="s">
        <v>392</v>
      </c>
      <c r="E944" t="s">
        <v>1825</v>
      </c>
    </row>
    <row r="945" spans="1:5">
      <c r="A945" s="2" t="s">
        <v>1826</v>
      </c>
      <c r="B945" t="s">
        <v>1824</v>
      </c>
      <c r="C945" t="s">
        <v>298</v>
      </c>
      <c r="D945" t="s">
        <v>392</v>
      </c>
      <c r="E945" t="s">
        <v>1825</v>
      </c>
    </row>
    <row r="946" spans="1:5">
      <c r="A946" s="2" t="s">
        <v>1827</v>
      </c>
      <c r="B946" t="s">
        <v>1824</v>
      </c>
      <c r="C946" t="s">
        <v>1649</v>
      </c>
      <c r="D946" t="s">
        <v>392</v>
      </c>
      <c r="E946" t="s">
        <v>1825</v>
      </c>
    </row>
    <row r="947" spans="1:5">
      <c r="A947" s="2" t="s">
        <v>1828</v>
      </c>
      <c r="B947" t="s">
        <v>1824</v>
      </c>
      <c r="C947" t="s">
        <v>530</v>
      </c>
      <c r="D947" t="s">
        <v>392</v>
      </c>
      <c r="E947" t="s">
        <v>1825</v>
      </c>
    </row>
    <row r="948" spans="1:5">
      <c r="A948" s="2" t="s">
        <v>1829</v>
      </c>
      <c r="B948" t="s">
        <v>1824</v>
      </c>
      <c r="C948" t="s">
        <v>556</v>
      </c>
      <c r="D948" t="s">
        <v>392</v>
      </c>
      <c r="E948" t="s">
        <v>1825</v>
      </c>
    </row>
    <row r="949" spans="1:5">
      <c r="A949" s="2" t="s">
        <v>1830</v>
      </c>
      <c r="B949" t="s">
        <v>1824</v>
      </c>
      <c r="C949" t="s">
        <v>1667</v>
      </c>
      <c r="D949" t="s">
        <v>392</v>
      </c>
      <c r="E949" t="s">
        <v>1825</v>
      </c>
    </row>
    <row r="950" spans="1:5">
      <c r="A950" s="2" t="s">
        <v>1831</v>
      </c>
      <c r="B950" t="s">
        <v>1824</v>
      </c>
      <c r="C950" t="s">
        <v>1697</v>
      </c>
      <c r="D950" t="s">
        <v>392</v>
      </c>
      <c r="E950" t="s">
        <v>1825</v>
      </c>
    </row>
    <row r="951" spans="1:5">
      <c r="A951" s="2" t="s">
        <v>1832</v>
      </c>
      <c r="B951" t="s">
        <v>1824</v>
      </c>
      <c r="C951" t="s">
        <v>974</v>
      </c>
      <c r="D951" t="s">
        <v>392</v>
      </c>
      <c r="E951" t="s">
        <v>1825</v>
      </c>
    </row>
    <row r="952" spans="1:5">
      <c r="A952" s="2" t="s">
        <v>1833</v>
      </c>
      <c r="B952" t="s">
        <v>1834</v>
      </c>
      <c r="C952" t="s">
        <v>254</v>
      </c>
      <c r="D952" t="s">
        <v>392</v>
      </c>
      <c r="E952" t="s">
        <v>1825</v>
      </c>
    </row>
    <row r="953" spans="1:5">
      <c r="A953" s="2" t="s">
        <v>1835</v>
      </c>
      <c r="B953" t="s">
        <v>1834</v>
      </c>
      <c r="C953">
        <v>30</v>
      </c>
      <c r="D953" t="s">
        <v>392</v>
      </c>
      <c r="E953" t="s">
        <v>1825</v>
      </c>
    </row>
    <row r="954" spans="1:5">
      <c r="A954" s="2" t="s">
        <v>1836</v>
      </c>
      <c r="B954" t="s">
        <v>1834</v>
      </c>
      <c r="C954" t="s">
        <v>1063</v>
      </c>
      <c r="D954" t="s">
        <v>392</v>
      </c>
      <c r="E954" t="s">
        <v>1825</v>
      </c>
    </row>
    <row r="955" spans="1:5">
      <c r="A955" s="2" t="s">
        <v>1837</v>
      </c>
      <c r="B955" s="5" t="s">
        <v>1834</v>
      </c>
      <c r="C955" s="5" t="s">
        <v>530</v>
      </c>
      <c r="D955" s="5" t="s">
        <v>392</v>
      </c>
      <c r="E955" s="5" t="s">
        <v>1825</v>
      </c>
    </row>
    <row r="956" spans="1:5">
      <c r="A956" s="2" t="s">
        <v>1838</v>
      </c>
      <c r="B956" t="s">
        <v>1834</v>
      </c>
      <c r="C956" t="s">
        <v>556</v>
      </c>
      <c r="D956" t="s">
        <v>392</v>
      </c>
      <c r="E956" t="s">
        <v>1825</v>
      </c>
    </row>
    <row r="957" spans="1:5">
      <c r="A957" s="2" t="s">
        <v>1839</v>
      </c>
      <c r="B957" t="s">
        <v>1840</v>
      </c>
      <c r="C957" t="s">
        <v>254</v>
      </c>
      <c r="D957" t="s">
        <v>392</v>
      </c>
      <c r="E957" t="s">
        <v>1841</v>
      </c>
    </row>
    <row r="958" spans="1:5">
      <c r="A958" s="2" t="s">
        <v>1842</v>
      </c>
      <c r="B958" t="s">
        <v>1840</v>
      </c>
      <c r="C958" t="s">
        <v>1063</v>
      </c>
      <c r="D958" t="s">
        <v>392</v>
      </c>
      <c r="E958" t="s">
        <v>1841</v>
      </c>
    </row>
    <row r="959" spans="1:5">
      <c r="A959" s="2" t="s">
        <v>1843</v>
      </c>
      <c r="B959" t="s">
        <v>1840</v>
      </c>
      <c r="C959" t="s">
        <v>1065</v>
      </c>
      <c r="D959" t="s">
        <v>392</v>
      </c>
      <c r="E959" t="s">
        <v>1841</v>
      </c>
    </row>
    <row r="960" spans="1:5">
      <c r="A960" s="2" t="s">
        <v>1844</v>
      </c>
      <c r="B960" t="s">
        <v>1840</v>
      </c>
      <c r="C960" t="s">
        <v>298</v>
      </c>
      <c r="D960" t="s">
        <v>392</v>
      </c>
      <c r="E960" t="s">
        <v>1841</v>
      </c>
    </row>
    <row r="961" spans="1:5">
      <c r="A961" s="2" t="s">
        <v>1845</v>
      </c>
      <c r="B961" t="s">
        <v>1840</v>
      </c>
      <c r="C961" t="s">
        <v>530</v>
      </c>
      <c r="D961" t="s">
        <v>392</v>
      </c>
      <c r="E961" t="s">
        <v>1841</v>
      </c>
    </row>
    <row r="962" spans="1:5">
      <c r="A962" s="2" t="s">
        <v>1846</v>
      </c>
      <c r="B962" t="s">
        <v>1840</v>
      </c>
      <c r="C962" t="s">
        <v>534</v>
      </c>
      <c r="D962" t="s">
        <v>392</v>
      </c>
      <c r="E962" t="s">
        <v>1841</v>
      </c>
    </row>
    <row r="963" spans="1:5">
      <c r="A963" s="2" t="s">
        <v>1847</v>
      </c>
      <c r="B963" t="s">
        <v>1840</v>
      </c>
      <c r="C963" t="s">
        <v>558</v>
      </c>
      <c r="D963" t="s">
        <v>392</v>
      </c>
      <c r="E963" t="s">
        <v>1841</v>
      </c>
    </row>
    <row r="964" spans="1:5">
      <c r="A964" s="2" t="s">
        <v>1848</v>
      </c>
      <c r="B964" t="s">
        <v>1840</v>
      </c>
      <c r="C964" t="s">
        <v>548</v>
      </c>
      <c r="D964" t="s">
        <v>392</v>
      </c>
      <c r="E964" t="s">
        <v>1841</v>
      </c>
    </row>
    <row r="965" spans="1:5">
      <c r="A965" s="2" t="s">
        <v>1849</v>
      </c>
      <c r="B965" t="s">
        <v>1840</v>
      </c>
      <c r="C965" t="s">
        <v>556</v>
      </c>
      <c r="D965" t="s">
        <v>392</v>
      </c>
      <c r="E965" t="s">
        <v>1841</v>
      </c>
    </row>
    <row r="966" spans="1:5">
      <c r="A966" s="2" t="s">
        <v>1850</v>
      </c>
      <c r="B966" t="s">
        <v>1840</v>
      </c>
      <c r="C966" t="s">
        <v>590</v>
      </c>
      <c r="D966" t="s">
        <v>392</v>
      </c>
      <c r="E966" t="s">
        <v>1841</v>
      </c>
    </row>
    <row r="967" spans="1:5">
      <c r="A967" s="2" t="s">
        <v>1851</v>
      </c>
      <c r="B967" t="s">
        <v>1840</v>
      </c>
      <c r="C967" t="s">
        <v>566</v>
      </c>
      <c r="D967" t="s">
        <v>392</v>
      </c>
      <c r="E967" t="s">
        <v>1841</v>
      </c>
    </row>
    <row r="968" spans="1:5">
      <c r="A968" s="2" t="s">
        <v>1852</v>
      </c>
      <c r="B968" t="s">
        <v>1840</v>
      </c>
      <c r="C968" t="s">
        <v>552</v>
      </c>
      <c r="D968" t="s">
        <v>392</v>
      </c>
      <c r="E968" t="s">
        <v>1841</v>
      </c>
    </row>
    <row r="969" spans="1:5">
      <c r="A969" s="2" t="s">
        <v>1853</v>
      </c>
      <c r="B969" t="s">
        <v>1840</v>
      </c>
      <c r="C969" t="s">
        <v>581</v>
      </c>
      <c r="D969" t="s">
        <v>392</v>
      </c>
      <c r="E969" t="s">
        <v>1841</v>
      </c>
    </row>
    <row r="970" spans="1:5">
      <c r="A970" s="2" t="s">
        <v>1854</v>
      </c>
      <c r="B970" t="s">
        <v>1840</v>
      </c>
      <c r="C970" t="s">
        <v>554</v>
      </c>
      <c r="D970" t="s">
        <v>392</v>
      </c>
      <c r="E970" t="s">
        <v>1841</v>
      </c>
    </row>
    <row r="971" spans="1:5">
      <c r="A971" s="2" t="s">
        <v>1855</v>
      </c>
      <c r="B971" t="s">
        <v>1840</v>
      </c>
      <c r="C971" t="s">
        <v>817</v>
      </c>
      <c r="D971" t="s">
        <v>392</v>
      </c>
      <c r="E971" t="s">
        <v>1841</v>
      </c>
    </row>
    <row r="972" spans="1:5">
      <c r="A972" s="2" t="s">
        <v>1856</v>
      </c>
      <c r="B972" t="s">
        <v>1857</v>
      </c>
      <c r="C972" t="s">
        <v>254</v>
      </c>
      <c r="D972" t="s">
        <v>392</v>
      </c>
      <c r="E972" t="s">
        <v>1841</v>
      </c>
    </row>
    <row r="973" spans="1:5">
      <c r="A973" s="2" t="s">
        <v>1858</v>
      </c>
      <c r="B973" t="s">
        <v>1857</v>
      </c>
      <c r="C973" t="s">
        <v>298</v>
      </c>
      <c r="D973" t="s">
        <v>392</v>
      </c>
      <c r="E973" t="s">
        <v>1841</v>
      </c>
    </row>
    <row r="974" spans="1:5">
      <c r="A974" s="2" t="s">
        <v>1859</v>
      </c>
      <c r="B974" t="s">
        <v>1857</v>
      </c>
      <c r="C974" t="s">
        <v>1649</v>
      </c>
      <c r="D974" t="s">
        <v>392</v>
      </c>
      <c r="E974" t="s">
        <v>1841</v>
      </c>
    </row>
    <row r="975" spans="1:5">
      <c r="A975" s="2" t="s">
        <v>1860</v>
      </c>
      <c r="B975" t="s">
        <v>1857</v>
      </c>
      <c r="C975" t="s">
        <v>530</v>
      </c>
      <c r="D975" t="s">
        <v>392</v>
      </c>
      <c r="E975" t="s">
        <v>1841</v>
      </c>
    </row>
    <row r="976" spans="1:5">
      <c r="A976" s="2" t="s">
        <v>1861</v>
      </c>
      <c r="B976" t="s">
        <v>1857</v>
      </c>
      <c r="C976" t="s">
        <v>534</v>
      </c>
      <c r="D976" t="s">
        <v>392</v>
      </c>
      <c r="E976" t="s">
        <v>1841</v>
      </c>
    </row>
    <row r="977" spans="1:5">
      <c r="A977" s="2" t="s">
        <v>1862</v>
      </c>
      <c r="B977" t="s">
        <v>1857</v>
      </c>
      <c r="C977" t="s">
        <v>556</v>
      </c>
      <c r="D977" t="s">
        <v>392</v>
      </c>
      <c r="E977" t="s">
        <v>1841</v>
      </c>
    </row>
    <row r="978" spans="1:5">
      <c r="A978" s="2" t="s">
        <v>1863</v>
      </c>
      <c r="B978" t="s">
        <v>1857</v>
      </c>
      <c r="C978" t="s">
        <v>590</v>
      </c>
      <c r="D978" t="s">
        <v>392</v>
      </c>
      <c r="E978" t="s">
        <v>1841</v>
      </c>
    </row>
    <row r="979" spans="1:5">
      <c r="A979" s="2" t="s">
        <v>1864</v>
      </c>
      <c r="B979" t="s">
        <v>1857</v>
      </c>
      <c r="C979" t="s">
        <v>1667</v>
      </c>
      <c r="D979" t="s">
        <v>392</v>
      </c>
      <c r="E979" t="s">
        <v>1841</v>
      </c>
    </row>
    <row r="980" spans="1:5">
      <c r="A980" s="2" t="s">
        <v>1865</v>
      </c>
      <c r="B980" t="s">
        <v>1857</v>
      </c>
      <c r="C980" t="s">
        <v>1669</v>
      </c>
      <c r="D980" t="s">
        <v>392</v>
      </c>
      <c r="E980" t="s">
        <v>1841</v>
      </c>
    </row>
    <row r="981" spans="1:5">
      <c r="A981" s="2" t="s">
        <v>1866</v>
      </c>
      <c r="B981" t="s">
        <v>1857</v>
      </c>
      <c r="C981" t="s">
        <v>326</v>
      </c>
      <c r="D981" t="s">
        <v>392</v>
      </c>
      <c r="E981" t="s">
        <v>1841</v>
      </c>
    </row>
    <row r="982" spans="1:5">
      <c r="A982" s="2" t="s">
        <v>1867</v>
      </c>
      <c r="B982" t="s">
        <v>1857</v>
      </c>
      <c r="C982" t="s">
        <v>1697</v>
      </c>
      <c r="D982" t="s">
        <v>392</v>
      </c>
      <c r="E982" t="s">
        <v>1841</v>
      </c>
    </row>
    <row r="983" spans="1:5">
      <c r="A983" s="2" t="s">
        <v>1868</v>
      </c>
      <c r="B983" t="s">
        <v>1857</v>
      </c>
      <c r="C983" t="s">
        <v>1699</v>
      </c>
      <c r="D983" t="s">
        <v>392</v>
      </c>
      <c r="E983" t="s">
        <v>1841</v>
      </c>
    </row>
    <row r="984" spans="1:5">
      <c r="A984" s="2" t="s">
        <v>1869</v>
      </c>
      <c r="B984" t="s">
        <v>1857</v>
      </c>
      <c r="C984" t="s">
        <v>1203</v>
      </c>
      <c r="D984" t="s">
        <v>392</v>
      </c>
      <c r="E984" t="s">
        <v>1841</v>
      </c>
    </row>
    <row r="985" spans="1:5">
      <c r="A985" s="2" t="s">
        <v>1870</v>
      </c>
      <c r="B985" t="s">
        <v>1857</v>
      </c>
      <c r="C985" t="s">
        <v>974</v>
      </c>
      <c r="D985" t="s">
        <v>392</v>
      </c>
      <c r="E985" t="s">
        <v>1841</v>
      </c>
    </row>
    <row r="986" spans="1:5">
      <c r="A986" s="2" t="s">
        <v>1871</v>
      </c>
      <c r="B986" s="10" t="s">
        <v>1872</v>
      </c>
      <c r="C986" s="10" t="s">
        <v>254</v>
      </c>
      <c r="D986" s="10" t="s">
        <v>392</v>
      </c>
      <c r="E986" s="10" t="s">
        <v>1873</v>
      </c>
    </row>
    <row r="987" spans="1:5">
      <c r="A987" s="2" t="s">
        <v>1874</v>
      </c>
      <c r="B987" s="10" t="s">
        <v>1872</v>
      </c>
      <c r="C987" s="10" t="s">
        <v>298</v>
      </c>
      <c r="D987" s="10" t="s">
        <v>392</v>
      </c>
      <c r="E987" s="10" t="s">
        <v>1873</v>
      </c>
    </row>
    <row r="988" spans="1:5">
      <c r="A988" s="2" t="s">
        <v>1875</v>
      </c>
      <c r="B988" s="10" t="s">
        <v>1872</v>
      </c>
      <c r="C988" s="10" t="s">
        <v>1649</v>
      </c>
      <c r="D988" s="10" t="s">
        <v>392</v>
      </c>
      <c r="E988" s="10" t="s">
        <v>1873</v>
      </c>
    </row>
    <row r="989" spans="1:5">
      <c r="A989" s="2" t="s">
        <v>1876</v>
      </c>
      <c r="B989" t="s">
        <v>1872</v>
      </c>
      <c r="C989" t="s">
        <v>530</v>
      </c>
      <c r="D989" t="s">
        <v>392</v>
      </c>
      <c r="E989" t="s">
        <v>1873</v>
      </c>
    </row>
    <row r="990" spans="1:5">
      <c r="A990" s="2" t="s">
        <v>1877</v>
      </c>
      <c r="B990" t="s">
        <v>1872</v>
      </c>
      <c r="C990" t="s">
        <v>556</v>
      </c>
      <c r="D990" t="s">
        <v>392</v>
      </c>
      <c r="E990" t="s">
        <v>1873</v>
      </c>
    </row>
    <row r="991" spans="1:5">
      <c r="A991" s="2" t="s">
        <v>1878</v>
      </c>
      <c r="B991" s="3" t="s">
        <v>1872</v>
      </c>
      <c r="C991" s="3" t="s">
        <v>1697</v>
      </c>
      <c r="D991" s="3" t="s">
        <v>392</v>
      </c>
      <c r="E991" s="3" t="s">
        <v>1873</v>
      </c>
    </row>
    <row r="992" spans="1:5">
      <c r="A992" s="2" t="s">
        <v>1879</v>
      </c>
      <c r="B992" s="3" t="s">
        <v>1872</v>
      </c>
      <c r="C992" s="3" t="s">
        <v>974</v>
      </c>
      <c r="D992" s="3" t="s">
        <v>392</v>
      </c>
      <c r="E992" s="3" t="s">
        <v>1873</v>
      </c>
    </row>
    <row r="993" spans="1:5">
      <c r="A993" s="2" t="s">
        <v>1880</v>
      </c>
      <c r="B993" s="3" t="s">
        <v>1872</v>
      </c>
      <c r="C993" s="3" t="s">
        <v>1667</v>
      </c>
      <c r="D993" s="3" t="s">
        <v>392</v>
      </c>
      <c r="E993" s="3" t="s">
        <v>1873</v>
      </c>
    </row>
    <row r="994" spans="1:5">
      <c r="A994" s="2" t="s">
        <v>1881</v>
      </c>
      <c r="B994" s="2" t="s">
        <v>1882</v>
      </c>
      <c r="C994" s="2" t="s">
        <v>254</v>
      </c>
      <c r="D994" s="2" t="s">
        <v>392</v>
      </c>
      <c r="E994" s="2" t="s">
        <v>1873</v>
      </c>
    </row>
    <row r="995" spans="1:5">
      <c r="A995" s="2" t="s">
        <v>1883</v>
      </c>
      <c r="B995" t="s">
        <v>1882</v>
      </c>
      <c r="C995">
        <v>30</v>
      </c>
      <c r="D995" t="s">
        <v>392</v>
      </c>
      <c r="E995" t="s">
        <v>1873</v>
      </c>
    </row>
    <row r="996" spans="1:5">
      <c r="A996" s="2" t="s">
        <v>1884</v>
      </c>
      <c r="B996" t="s">
        <v>1882</v>
      </c>
      <c r="C996" t="s">
        <v>1063</v>
      </c>
      <c r="D996" t="s">
        <v>392</v>
      </c>
      <c r="E996" t="s">
        <v>1873</v>
      </c>
    </row>
    <row r="997" spans="1:5">
      <c r="A997" s="2" t="s">
        <v>1885</v>
      </c>
      <c r="B997" t="s">
        <v>1882</v>
      </c>
      <c r="C997" t="s">
        <v>530</v>
      </c>
      <c r="D997" t="s">
        <v>392</v>
      </c>
      <c r="E997" t="s">
        <v>1873</v>
      </c>
    </row>
    <row r="998" spans="1:5">
      <c r="A998" s="2" t="s">
        <v>1886</v>
      </c>
      <c r="B998" t="s">
        <v>1882</v>
      </c>
      <c r="C998" t="s">
        <v>556</v>
      </c>
      <c r="D998" t="s">
        <v>392</v>
      </c>
      <c r="E998" t="s">
        <v>1873</v>
      </c>
    </row>
    <row r="999" spans="1:5">
      <c r="A999" s="2" t="s">
        <v>1887</v>
      </c>
      <c r="B999" t="s">
        <v>270</v>
      </c>
      <c r="C999" t="s">
        <v>298</v>
      </c>
      <c r="D999" t="s">
        <v>392</v>
      </c>
      <c r="E999" t="s">
        <v>1888</v>
      </c>
    </row>
    <row r="1000" spans="1:5">
      <c r="A1000" s="2" t="str">
        <f>B1000&amp;C1000</f>
        <v>GUN166R-SDTHXDHB</v>
      </c>
      <c r="B1000" t="s">
        <v>270</v>
      </c>
      <c r="C1000" t="s">
        <v>1889</v>
      </c>
      <c r="D1000" t="s">
        <v>392</v>
      </c>
      <c r="E1000" t="s">
        <v>1888</v>
      </c>
    </row>
    <row r="1001" spans="1:5">
      <c r="A1001" s="2" t="str">
        <f>B1001&amp;C1001</f>
        <v>GUN166R-SDTHXDHA</v>
      </c>
      <c r="B1001" t="s">
        <v>270</v>
      </c>
      <c r="C1001" t="s">
        <v>1674</v>
      </c>
      <c r="D1001" t="s">
        <v>392</v>
      </c>
      <c r="E1001" t="s">
        <v>1888</v>
      </c>
    </row>
    <row r="1002" spans="1:5">
      <c r="A1002" s="2" t="s">
        <v>1890</v>
      </c>
      <c r="B1002" t="s">
        <v>270</v>
      </c>
      <c r="C1002" t="s">
        <v>575</v>
      </c>
      <c r="D1002" t="s">
        <v>392</v>
      </c>
      <c r="E1002" t="s">
        <v>1888</v>
      </c>
    </row>
    <row r="1003" spans="1:5">
      <c r="A1003" s="2" t="s">
        <v>1891</v>
      </c>
      <c r="B1003" t="s">
        <v>270</v>
      </c>
      <c r="C1003" t="s">
        <v>568</v>
      </c>
      <c r="D1003" t="s">
        <v>392</v>
      </c>
      <c r="E1003" t="s">
        <v>1888</v>
      </c>
    </row>
    <row r="1004" spans="1:5">
      <c r="A1004" s="2" t="s">
        <v>1892</v>
      </c>
      <c r="B1004" t="s">
        <v>270</v>
      </c>
      <c r="C1004" t="s">
        <v>614</v>
      </c>
      <c r="D1004" t="s">
        <v>392</v>
      </c>
      <c r="E1004" t="s">
        <v>1888</v>
      </c>
    </row>
    <row r="1005" spans="1:5">
      <c r="A1005" s="2" t="s">
        <v>1893</v>
      </c>
      <c r="B1005" t="s">
        <v>270</v>
      </c>
      <c r="C1005" t="s">
        <v>583</v>
      </c>
      <c r="D1005" t="s">
        <v>392</v>
      </c>
      <c r="E1005" t="s">
        <v>1888</v>
      </c>
    </row>
    <row r="1006" spans="1:5">
      <c r="A1006" s="2" t="s">
        <v>1894</v>
      </c>
      <c r="B1006" t="s">
        <v>270</v>
      </c>
      <c r="C1006">
        <v>22</v>
      </c>
      <c r="D1006" t="s">
        <v>392</v>
      </c>
      <c r="E1006" t="s">
        <v>1888</v>
      </c>
    </row>
    <row r="1007" spans="1:5">
      <c r="A1007" s="2" t="s">
        <v>1895</v>
      </c>
      <c r="B1007" t="s">
        <v>270</v>
      </c>
      <c r="C1007" t="s">
        <v>622</v>
      </c>
      <c r="D1007" t="s">
        <v>392</v>
      </c>
      <c r="E1007" t="s">
        <v>1888</v>
      </c>
    </row>
    <row r="1008" spans="1:5">
      <c r="A1008" s="2" t="s">
        <v>1896</v>
      </c>
      <c r="B1008" t="s">
        <v>270</v>
      </c>
      <c r="C1008">
        <v>35</v>
      </c>
      <c r="D1008" t="s">
        <v>392</v>
      </c>
      <c r="E1008" t="s">
        <v>1888</v>
      </c>
    </row>
    <row r="1009" spans="1:5">
      <c r="A1009" s="2" t="s">
        <v>1897</v>
      </c>
      <c r="B1009" t="s">
        <v>270</v>
      </c>
      <c r="C1009">
        <v>34</v>
      </c>
      <c r="D1009" t="s">
        <v>392</v>
      </c>
      <c r="E1009" t="s">
        <v>1888</v>
      </c>
    </row>
    <row r="1010" spans="1:5">
      <c r="A1010" s="2" t="s">
        <v>1898</v>
      </c>
      <c r="B1010" t="s">
        <v>270</v>
      </c>
      <c r="C1010">
        <v>20</v>
      </c>
      <c r="D1010" t="s">
        <v>392</v>
      </c>
      <c r="E1010" t="s">
        <v>1888</v>
      </c>
    </row>
    <row r="1011" spans="1:5">
      <c r="A1011" s="2" t="s">
        <v>1899</v>
      </c>
      <c r="B1011" t="s">
        <v>270</v>
      </c>
      <c r="C1011" s="632" t="s">
        <v>330</v>
      </c>
      <c r="D1011" t="s">
        <v>392</v>
      </c>
      <c r="E1011" t="s">
        <v>1888</v>
      </c>
    </row>
    <row r="1012" spans="1:5">
      <c r="A1012" s="2" t="s">
        <v>1900</v>
      </c>
      <c r="B1012" t="s">
        <v>270</v>
      </c>
      <c r="C1012" t="s">
        <v>604</v>
      </c>
      <c r="D1012" t="s">
        <v>392</v>
      </c>
      <c r="E1012" t="s">
        <v>1888</v>
      </c>
    </row>
    <row r="1013" spans="1:5">
      <c r="A1013" s="2" t="s">
        <v>1901</v>
      </c>
      <c r="B1013" t="s">
        <v>270</v>
      </c>
      <c r="C1013">
        <v>31</v>
      </c>
      <c r="D1013" t="s">
        <v>392</v>
      </c>
      <c r="E1013" t="s">
        <v>1888</v>
      </c>
    </row>
    <row r="1014" spans="1:5">
      <c r="A1014" s="2" t="s">
        <v>1902</v>
      </c>
      <c r="B1014" t="s">
        <v>270</v>
      </c>
      <c r="C1014" s="632" t="s">
        <v>690</v>
      </c>
      <c r="D1014" t="s">
        <v>392</v>
      </c>
      <c r="E1014" t="s">
        <v>1888</v>
      </c>
    </row>
    <row r="1015" spans="1:5">
      <c r="A1015" s="2" t="s">
        <v>1903</v>
      </c>
      <c r="B1015" t="s">
        <v>270</v>
      </c>
      <c r="C1015">
        <v>32</v>
      </c>
      <c r="D1015" t="s">
        <v>392</v>
      </c>
      <c r="E1015" t="s">
        <v>1888</v>
      </c>
    </row>
    <row r="1016" spans="1:5">
      <c r="A1016" s="2" t="s">
        <v>1904</v>
      </c>
      <c r="B1016" t="s">
        <v>270</v>
      </c>
      <c r="C1016">
        <v>33</v>
      </c>
      <c r="D1016" t="s">
        <v>392</v>
      </c>
      <c r="E1016" t="s">
        <v>1888</v>
      </c>
    </row>
    <row r="1017" spans="1:5">
      <c r="A1017" s="2" t="s">
        <v>1905</v>
      </c>
      <c r="B1017" t="s">
        <v>270</v>
      </c>
      <c r="C1017" t="s">
        <v>254</v>
      </c>
      <c r="D1017" t="s">
        <v>392</v>
      </c>
      <c r="E1017" t="s">
        <v>1888</v>
      </c>
    </row>
    <row r="1018" spans="1:5">
      <c r="A1018" s="2" t="s">
        <v>1906</v>
      </c>
      <c r="B1018" t="s">
        <v>270</v>
      </c>
      <c r="C1018" t="s">
        <v>530</v>
      </c>
      <c r="D1018" t="s">
        <v>392</v>
      </c>
      <c r="E1018" t="s">
        <v>1888</v>
      </c>
    </row>
    <row r="1019" spans="1:5">
      <c r="A1019" s="2" t="s">
        <v>1907</v>
      </c>
      <c r="B1019" t="s">
        <v>270</v>
      </c>
      <c r="C1019" t="s">
        <v>534</v>
      </c>
      <c r="D1019" t="s">
        <v>392</v>
      </c>
      <c r="E1019" t="s">
        <v>1888</v>
      </c>
    </row>
    <row r="1020" spans="1:5">
      <c r="A1020" s="2" t="s">
        <v>1908</v>
      </c>
      <c r="B1020" t="s">
        <v>270</v>
      </c>
      <c r="C1020" t="s">
        <v>558</v>
      </c>
      <c r="D1020" t="s">
        <v>392</v>
      </c>
      <c r="E1020" t="s">
        <v>1909</v>
      </c>
    </row>
    <row r="1021" spans="1:5">
      <c r="A1021" s="2" t="s">
        <v>1910</v>
      </c>
      <c r="B1021" t="s">
        <v>270</v>
      </c>
      <c r="C1021" t="s">
        <v>548</v>
      </c>
      <c r="D1021" t="s">
        <v>392</v>
      </c>
      <c r="E1021" t="s">
        <v>1909</v>
      </c>
    </row>
    <row r="1022" spans="1:5">
      <c r="A1022" s="2" t="s">
        <v>1911</v>
      </c>
      <c r="B1022" t="s">
        <v>270</v>
      </c>
      <c r="C1022" t="s">
        <v>581</v>
      </c>
      <c r="D1022" t="s">
        <v>392</v>
      </c>
      <c r="E1022" t="s">
        <v>1909</v>
      </c>
    </row>
    <row r="1023" spans="1:5">
      <c r="A1023" s="2" t="s">
        <v>1912</v>
      </c>
      <c r="B1023" t="s">
        <v>270</v>
      </c>
      <c r="C1023" t="s">
        <v>573</v>
      </c>
      <c r="D1023" t="s">
        <v>392</v>
      </c>
      <c r="E1023" t="s">
        <v>1909</v>
      </c>
    </row>
    <row r="1024" spans="1:5">
      <c r="A1024" s="2" t="s">
        <v>1913</v>
      </c>
      <c r="B1024" t="s">
        <v>270</v>
      </c>
      <c r="C1024" t="s">
        <v>550</v>
      </c>
      <c r="D1024" t="s">
        <v>392</v>
      </c>
      <c r="E1024" t="s">
        <v>1909</v>
      </c>
    </row>
    <row r="1025" spans="1:5">
      <c r="A1025" s="2" t="s">
        <v>1914</v>
      </c>
      <c r="B1025" t="s">
        <v>270</v>
      </c>
      <c r="C1025" t="s">
        <v>590</v>
      </c>
      <c r="D1025" t="s">
        <v>392</v>
      </c>
      <c r="E1025" t="s">
        <v>1915</v>
      </c>
    </row>
    <row r="1026" spans="1:5">
      <c r="A1026" s="2" t="s">
        <v>1916</v>
      </c>
      <c r="B1026" t="s">
        <v>270</v>
      </c>
      <c r="C1026" t="s">
        <v>566</v>
      </c>
      <c r="D1026" t="s">
        <v>392</v>
      </c>
      <c r="E1026" t="s">
        <v>1909</v>
      </c>
    </row>
    <row r="1027" spans="1:5">
      <c r="A1027" s="2" t="s">
        <v>1917</v>
      </c>
      <c r="B1027" t="s">
        <v>270</v>
      </c>
      <c r="C1027" t="s">
        <v>552</v>
      </c>
      <c r="D1027" t="s">
        <v>392</v>
      </c>
      <c r="E1027" t="s">
        <v>1909</v>
      </c>
    </row>
    <row r="1028" spans="1:5">
      <c r="A1028" s="2" t="s">
        <v>1918</v>
      </c>
      <c r="B1028" t="s">
        <v>270</v>
      </c>
      <c r="C1028" t="s">
        <v>538</v>
      </c>
      <c r="D1028" t="s">
        <v>392</v>
      </c>
      <c r="E1028" t="s">
        <v>1909</v>
      </c>
    </row>
    <row r="1029" spans="1:5">
      <c r="A1029" s="2" t="s">
        <v>1919</v>
      </c>
      <c r="B1029" t="s">
        <v>1920</v>
      </c>
      <c r="C1029" t="s">
        <v>254</v>
      </c>
      <c r="D1029" t="s">
        <v>199</v>
      </c>
      <c r="E1029" t="s">
        <v>1921</v>
      </c>
    </row>
    <row r="1030" spans="1:5">
      <c r="A1030" s="2" t="s">
        <v>1922</v>
      </c>
      <c r="B1030" t="s">
        <v>1920</v>
      </c>
      <c r="C1030" t="s">
        <v>530</v>
      </c>
      <c r="D1030" t="s">
        <v>199</v>
      </c>
      <c r="E1030" t="s">
        <v>1921</v>
      </c>
    </row>
    <row r="1031" spans="1:5">
      <c r="A1031" s="2" t="s">
        <v>1923</v>
      </c>
      <c r="B1031" t="s">
        <v>1924</v>
      </c>
      <c r="C1031" t="s">
        <v>254</v>
      </c>
      <c r="D1031" t="s">
        <v>199</v>
      </c>
      <c r="E1031" t="s">
        <v>1921</v>
      </c>
    </row>
    <row r="1032" spans="1:5">
      <c r="A1032" s="7" t="s">
        <v>1925</v>
      </c>
      <c r="B1032" t="s">
        <v>1924</v>
      </c>
      <c r="C1032">
        <v>10</v>
      </c>
      <c r="D1032" t="s">
        <v>199</v>
      </c>
      <c r="E1032" t="s">
        <v>1921</v>
      </c>
    </row>
    <row r="1033" spans="1:5">
      <c r="A1033" s="2" t="s">
        <v>1926</v>
      </c>
      <c r="B1033" t="s">
        <v>1927</v>
      </c>
      <c r="C1033" t="s">
        <v>254</v>
      </c>
      <c r="D1033" t="s">
        <v>204</v>
      </c>
      <c r="E1033" t="s">
        <v>1928</v>
      </c>
    </row>
    <row r="1034" spans="1:5">
      <c r="A1034" s="2" t="s">
        <v>1929</v>
      </c>
      <c r="B1034" t="s">
        <v>1930</v>
      </c>
      <c r="C1034" t="s">
        <v>254</v>
      </c>
      <c r="D1034" t="s">
        <v>204</v>
      </c>
      <c r="E1034" t="s">
        <v>1931</v>
      </c>
    </row>
    <row r="1035" spans="1:5">
      <c r="A1035" s="2" t="s">
        <v>1932</v>
      </c>
      <c r="B1035" t="s">
        <v>1933</v>
      </c>
      <c r="C1035" t="s">
        <v>254</v>
      </c>
      <c r="D1035" t="s">
        <v>183</v>
      </c>
      <c r="E1035" t="s">
        <v>1934</v>
      </c>
    </row>
    <row r="1036" spans="1:5">
      <c r="A1036" s="2" t="s">
        <v>1935</v>
      </c>
      <c r="B1036" t="s">
        <v>1936</v>
      </c>
      <c r="C1036" t="s">
        <v>1002</v>
      </c>
      <c r="D1036" t="s">
        <v>183</v>
      </c>
      <c r="E1036" t="s">
        <v>1937</v>
      </c>
    </row>
    <row r="1037" spans="1:5">
      <c r="A1037" s="2" t="s">
        <v>1938</v>
      </c>
      <c r="B1037" t="s">
        <v>1939</v>
      </c>
      <c r="C1037" t="s">
        <v>1439</v>
      </c>
      <c r="D1037" t="s">
        <v>183</v>
      </c>
      <c r="E1037" t="s">
        <v>1940</v>
      </c>
    </row>
    <row r="1038" spans="1:5">
      <c r="A1038" s="2" t="s">
        <v>1941</v>
      </c>
      <c r="B1038" t="s">
        <v>1939</v>
      </c>
      <c r="C1038" t="s">
        <v>1441</v>
      </c>
      <c r="D1038" t="s">
        <v>183</v>
      </c>
      <c r="E1038" t="s">
        <v>1940</v>
      </c>
    </row>
    <row r="1039" spans="1:5">
      <c r="A1039" s="2" t="s">
        <v>1942</v>
      </c>
      <c r="B1039" t="s">
        <v>1939</v>
      </c>
      <c r="C1039" t="s">
        <v>254</v>
      </c>
      <c r="D1039" t="s">
        <v>183</v>
      </c>
      <c r="E1039" t="s">
        <v>1943</v>
      </c>
    </row>
    <row r="1040" spans="1:5">
      <c r="A1040" s="2" t="s">
        <v>1944</v>
      </c>
      <c r="B1040" t="s">
        <v>1939</v>
      </c>
      <c r="C1040" t="s">
        <v>298</v>
      </c>
      <c r="D1040" t="s">
        <v>183</v>
      </c>
      <c r="E1040" t="s">
        <v>1943</v>
      </c>
    </row>
    <row r="1041" spans="1:5">
      <c r="A1041" s="2" t="s">
        <v>1945</v>
      </c>
      <c r="B1041" t="s">
        <v>1939</v>
      </c>
      <c r="C1041" t="s">
        <v>330</v>
      </c>
      <c r="D1041" t="s">
        <v>183</v>
      </c>
      <c r="E1041" t="s">
        <v>1946</v>
      </c>
    </row>
    <row r="1042" spans="1:5">
      <c r="A1042" s="2" t="s">
        <v>1947</v>
      </c>
      <c r="B1042" t="s">
        <v>1939</v>
      </c>
      <c r="C1042" t="s">
        <v>527</v>
      </c>
      <c r="D1042" t="s">
        <v>183</v>
      </c>
      <c r="E1042" t="s">
        <v>1946</v>
      </c>
    </row>
    <row r="1043" spans="1:5">
      <c r="A1043" s="2" t="s">
        <v>1948</v>
      </c>
      <c r="B1043" t="s">
        <v>1939</v>
      </c>
      <c r="C1043" t="s">
        <v>532</v>
      </c>
      <c r="D1043" t="s">
        <v>183</v>
      </c>
      <c r="E1043" t="s">
        <v>1946</v>
      </c>
    </row>
    <row r="1044" spans="1:5">
      <c r="A1044" s="2" t="s">
        <v>1949</v>
      </c>
      <c r="B1044" t="s">
        <v>1939</v>
      </c>
      <c r="C1044" t="s">
        <v>536</v>
      </c>
      <c r="D1044" t="s">
        <v>183</v>
      </c>
      <c r="E1044" t="s">
        <v>1946</v>
      </c>
    </row>
    <row r="1045" spans="1:5">
      <c r="A1045" s="2" t="s">
        <v>1950</v>
      </c>
      <c r="B1045" t="s">
        <v>1939</v>
      </c>
      <c r="C1045" t="s">
        <v>530</v>
      </c>
      <c r="D1045" t="s">
        <v>183</v>
      </c>
      <c r="E1045" t="s">
        <v>1943</v>
      </c>
    </row>
    <row r="1046" spans="1:5">
      <c r="A1046" s="2" t="s">
        <v>1951</v>
      </c>
      <c r="B1046" t="s">
        <v>1939</v>
      </c>
      <c r="C1046" t="s">
        <v>534</v>
      </c>
      <c r="D1046" t="s">
        <v>183</v>
      </c>
      <c r="E1046" t="s">
        <v>1943</v>
      </c>
    </row>
    <row r="1047" spans="1:5">
      <c r="A1047" s="2" t="s">
        <v>1952</v>
      </c>
      <c r="B1047" t="s">
        <v>1939</v>
      </c>
      <c r="C1047" t="s">
        <v>556</v>
      </c>
      <c r="D1047" t="s">
        <v>183</v>
      </c>
      <c r="E1047" t="s">
        <v>1943</v>
      </c>
    </row>
    <row r="1048" spans="1:5">
      <c r="A1048" s="2" t="s">
        <v>1953</v>
      </c>
      <c r="B1048" t="s">
        <v>1939</v>
      </c>
      <c r="C1048" t="s">
        <v>590</v>
      </c>
      <c r="D1048" t="s">
        <v>183</v>
      </c>
      <c r="E1048" t="s">
        <v>1943</v>
      </c>
    </row>
    <row r="1049" spans="1:5">
      <c r="A1049" s="2" t="s">
        <v>1954</v>
      </c>
      <c r="B1049" t="s">
        <v>1939</v>
      </c>
      <c r="C1049" t="s">
        <v>1639</v>
      </c>
      <c r="D1049" t="s">
        <v>183</v>
      </c>
      <c r="E1049" t="s">
        <v>1955</v>
      </c>
    </row>
    <row r="1050" spans="1:5">
      <c r="A1050" s="2" t="s">
        <v>1956</v>
      </c>
      <c r="B1050" t="s">
        <v>1939</v>
      </c>
      <c r="C1050" t="s">
        <v>1599</v>
      </c>
      <c r="D1050" t="s">
        <v>183</v>
      </c>
      <c r="E1050" t="s">
        <v>1946</v>
      </c>
    </row>
    <row r="1051" spans="1:5">
      <c r="A1051" s="2" t="s">
        <v>1957</v>
      </c>
      <c r="B1051" t="s">
        <v>1939</v>
      </c>
      <c r="C1051" t="s">
        <v>1958</v>
      </c>
      <c r="D1051" t="s">
        <v>183</v>
      </c>
      <c r="E1051" t="s">
        <v>1959</v>
      </c>
    </row>
    <row r="1052" spans="1:5">
      <c r="A1052" s="2" t="s">
        <v>1960</v>
      </c>
      <c r="B1052" t="s">
        <v>1939</v>
      </c>
      <c r="C1052" t="s">
        <v>1961</v>
      </c>
      <c r="D1052" t="s">
        <v>183</v>
      </c>
      <c r="E1052" t="s">
        <v>1959</v>
      </c>
    </row>
    <row r="1053" spans="1:5">
      <c r="A1053" s="2" t="s">
        <v>1962</v>
      </c>
      <c r="B1053" t="s">
        <v>1939</v>
      </c>
      <c r="C1053" t="s">
        <v>1963</v>
      </c>
      <c r="D1053" t="s">
        <v>183</v>
      </c>
      <c r="E1053" t="s">
        <v>1946</v>
      </c>
    </row>
    <row r="1054" spans="1:5">
      <c r="A1054" s="2" t="s">
        <v>1964</v>
      </c>
      <c r="B1054" t="s">
        <v>1939</v>
      </c>
      <c r="C1054" t="s">
        <v>1965</v>
      </c>
      <c r="D1054" t="s">
        <v>183</v>
      </c>
      <c r="E1054" t="s">
        <v>1946</v>
      </c>
    </row>
    <row r="1055" spans="1:5">
      <c r="A1055" s="2" t="s">
        <v>1966</v>
      </c>
      <c r="B1055" t="s">
        <v>259</v>
      </c>
      <c r="C1055" t="s">
        <v>254</v>
      </c>
      <c r="D1055" t="s">
        <v>183</v>
      </c>
      <c r="E1055" t="s">
        <v>1946</v>
      </c>
    </row>
    <row r="1056" spans="1:5">
      <c r="A1056" s="2" t="str">
        <f>B1056&amp;C1056</f>
        <v>KDH223R-LEMDY10</v>
      </c>
      <c r="B1056" t="s">
        <v>259</v>
      </c>
      <c r="C1056" s="632" t="s">
        <v>530</v>
      </c>
      <c r="D1056" t="s">
        <v>183</v>
      </c>
      <c r="E1056" t="s">
        <v>1946</v>
      </c>
    </row>
    <row r="1057" spans="1:5">
      <c r="A1057" s="2" t="s">
        <v>1967</v>
      </c>
      <c r="B1057" t="s">
        <v>259</v>
      </c>
      <c r="C1057">
        <v>11</v>
      </c>
      <c r="D1057" t="s">
        <v>183</v>
      </c>
      <c r="E1057" t="s">
        <v>1946</v>
      </c>
    </row>
    <row r="1058" spans="1:5">
      <c r="A1058" s="2" t="s">
        <v>1968</v>
      </c>
      <c r="B1058" t="s">
        <v>1939</v>
      </c>
      <c r="C1058" t="s">
        <v>1969</v>
      </c>
      <c r="D1058" t="s">
        <v>183</v>
      </c>
      <c r="E1058" t="s">
        <v>1946</v>
      </c>
    </row>
    <row r="1059" spans="1:5">
      <c r="A1059" s="2" t="s">
        <v>1970</v>
      </c>
      <c r="B1059" t="s">
        <v>259</v>
      </c>
      <c r="C1059">
        <v>16</v>
      </c>
      <c r="D1059" t="s">
        <v>183</v>
      </c>
      <c r="E1059" t="s">
        <v>1946</v>
      </c>
    </row>
    <row r="1060" spans="1:5">
      <c r="A1060" s="2" t="s">
        <v>1971</v>
      </c>
      <c r="B1060" t="s">
        <v>259</v>
      </c>
      <c r="C1060" t="s">
        <v>298</v>
      </c>
      <c r="D1060" t="s">
        <v>183</v>
      </c>
      <c r="E1060" t="s">
        <v>1946</v>
      </c>
    </row>
    <row r="1061" spans="1:5">
      <c r="A1061" s="2" t="s">
        <v>1972</v>
      </c>
      <c r="B1061" t="s">
        <v>259</v>
      </c>
      <c r="C1061">
        <v>21</v>
      </c>
      <c r="D1061" t="s">
        <v>183</v>
      </c>
      <c r="E1061" t="s">
        <v>1946</v>
      </c>
    </row>
    <row r="1062" spans="1:5">
      <c r="A1062" s="2" t="s">
        <v>1973</v>
      </c>
      <c r="B1062" t="s">
        <v>1974</v>
      </c>
      <c r="C1062" t="s">
        <v>298</v>
      </c>
      <c r="D1062" t="s">
        <v>1975</v>
      </c>
      <c r="E1062" t="s">
        <v>1976</v>
      </c>
    </row>
    <row r="1063" spans="1:5">
      <c r="A1063" s="2" t="s">
        <v>1977</v>
      </c>
      <c r="B1063" t="s">
        <v>1978</v>
      </c>
      <c r="C1063" t="s">
        <v>254</v>
      </c>
      <c r="D1063" t="s">
        <v>1979</v>
      </c>
      <c r="E1063" t="s">
        <v>1980</v>
      </c>
    </row>
    <row r="1064" spans="1:5">
      <c r="A1064" s="2" t="s">
        <v>1981</v>
      </c>
      <c r="B1064" t="s">
        <v>1982</v>
      </c>
      <c r="C1064" t="s">
        <v>254</v>
      </c>
      <c r="D1064" t="s">
        <v>185</v>
      </c>
      <c r="E1064" t="s">
        <v>1983</v>
      </c>
    </row>
    <row r="1065" spans="1:5">
      <c r="A1065" s="2" t="s">
        <v>1984</v>
      </c>
      <c r="B1065" t="s">
        <v>1982</v>
      </c>
      <c r="C1065" t="s">
        <v>530</v>
      </c>
      <c r="D1065" t="s">
        <v>185</v>
      </c>
      <c r="E1065" t="s">
        <v>1983</v>
      </c>
    </row>
    <row r="1066" spans="1:5">
      <c r="A1066" s="2" t="s">
        <v>1985</v>
      </c>
      <c r="B1066" t="s">
        <v>1982</v>
      </c>
      <c r="C1066" t="s">
        <v>556</v>
      </c>
      <c r="D1066" t="s">
        <v>185</v>
      </c>
      <c r="E1066" t="s">
        <v>1983</v>
      </c>
    </row>
    <row r="1067" spans="1:5">
      <c r="A1067" s="2" t="s">
        <v>1986</v>
      </c>
      <c r="B1067" t="s">
        <v>1982</v>
      </c>
      <c r="C1067" t="s">
        <v>1541</v>
      </c>
      <c r="D1067" t="s">
        <v>185</v>
      </c>
      <c r="E1067" t="s">
        <v>1983</v>
      </c>
    </row>
    <row r="1068" spans="1:5">
      <c r="A1068" s="2" t="s">
        <v>1987</v>
      </c>
      <c r="B1068" t="s">
        <v>1988</v>
      </c>
      <c r="C1068" t="s">
        <v>530</v>
      </c>
      <c r="D1068" t="s">
        <v>185</v>
      </c>
      <c r="E1068" t="s">
        <v>1989</v>
      </c>
    </row>
    <row r="1069" spans="1:5">
      <c r="A1069" s="2" t="s">
        <v>1990</v>
      </c>
      <c r="B1069" t="s">
        <v>1988</v>
      </c>
      <c r="C1069" t="s">
        <v>254</v>
      </c>
      <c r="D1069" t="s">
        <v>185</v>
      </c>
      <c r="E1069" t="s">
        <v>1989</v>
      </c>
    </row>
    <row r="1070" spans="1:5">
      <c r="A1070" s="2" t="s">
        <v>1991</v>
      </c>
      <c r="B1070" t="s">
        <v>1988</v>
      </c>
      <c r="C1070" t="s">
        <v>1541</v>
      </c>
      <c r="D1070" t="s">
        <v>185</v>
      </c>
      <c r="E1070" t="s">
        <v>1989</v>
      </c>
    </row>
    <row r="1071" spans="1:5">
      <c r="A1071" s="2" t="s">
        <v>1992</v>
      </c>
      <c r="B1071" t="s">
        <v>1988</v>
      </c>
      <c r="C1071" t="s">
        <v>1697</v>
      </c>
      <c r="D1071" t="s">
        <v>185</v>
      </c>
      <c r="E1071" t="s">
        <v>1989</v>
      </c>
    </row>
    <row r="1072" spans="1:5">
      <c r="A1072" s="2" t="s">
        <v>1993</v>
      </c>
      <c r="B1072" t="s">
        <v>1994</v>
      </c>
      <c r="C1072" t="s">
        <v>254</v>
      </c>
      <c r="D1072" t="s">
        <v>203</v>
      </c>
      <c r="E1072" t="s">
        <v>1995</v>
      </c>
    </row>
    <row r="1073" spans="1:5">
      <c r="A1073" s="2" t="s">
        <v>1996</v>
      </c>
      <c r="B1073" t="s">
        <v>1994</v>
      </c>
      <c r="C1073" t="s">
        <v>1541</v>
      </c>
      <c r="D1073" t="s">
        <v>203</v>
      </c>
      <c r="E1073" t="s">
        <v>1995</v>
      </c>
    </row>
    <row r="1074" spans="1:5">
      <c r="A1074" s="2" t="s">
        <v>1997</v>
      </c>
      <c r="B1074" t="s">
        <v>1998</v>
      </c>
      <c r="C1074" t="s">
        <v>254</v>
      </c>
      <c r="D1074" t="s">
        <v>184</v>
      </c>
      <c r="E1074" t="s">
        <v>1999</v>
      </c>
    </row>
    <row r="1075" spans="1:5">
      <c r="A1075" s="2" t="s">
        <v>2000</v>
      </c>
      <c r="B1075" t="s">
        <v>1998</v>
      </c>
      <c r="C1075" t="s">
        <v>298</v>
      </c>
      <c r="D1075" t="s">
        <v>184</v>
      </c>
      <c r="E1075" t="s">
        <v>1999</v>
      </c>
    </row>
    <row r="1076" spans="1:5">
      <c r="A1076" s="2" t="s">
        <v>2001</v>
      </c>
      <c r="B1076" t="s">
        <v>1998</v>
      </c>
      <c r="C1076" t="s">
        <v>1541</v>
      </c>
      <c r="D1076" t="s">
        <v>184</v>
      </c>
      <c r="E1076" t="s">
        <v>1999</v>
      </c>
    </row>
    <row r="1077" spans="1:5">
      <c r="A1077" s="2" t="s">
        <v>2002</v>
      </c>
      <c r="B1077" t="s">
        <v>1998</v>
      </c>
      <c r="C1077" t="s">
        <v>1560</v>
      </c>
      <c r="D1077" t="s">
        <v>184</v>
      </c>
      <c r="E1077" t="s">
        <v>1999</v>
      </c>
    </row>
    <row r="1078" spans="1:5">
      <c r="A1078" s="2" t="s">
        <v>2003</v>
      </c>
      <c r="B1078" t="s">
        <v>2004</v>
      </c>
      <c r="C1078" t="s">
        <v>298</v>
      </c>
      <c r="D1078" t="s">
        <v>184</v>
      </c>
      <c r="E1078" t="s">
        <v>2005</v>
      </c>
    </row>
    <row r="1079" spans="1:5">
      <c r="A1079" s="2" t="s">
        <v>2006</v>
      </c>
      <c r="B1079" t="s">
        <v>2004</v>
      </c>
      <c r="C1079" t="s">
        <v>254</v>
      </c>
      <c r="D1079" t="s">
        <v>184</v>
      </c>
      <c r="E1079" t="s">
        <v>2005</v>
      </c>
    </row>
    <row r="1080" spans="1:5">
      <c r="A1080" s="2" t="s">
        <v>2007</v>
      </c>
      <c r="B1080" t="s">
        <v>2004</v>
      </c>
      <c r="C1080" t="s">
        <v>1541</v>
      </c>
      <c r="D1080" t="s">
        <v>184</v>
      </c>
      <c r="E1080" t="s">
        <v>2005</v>
      </c>
    </row>
    <row r="1081" spans="1:5">
      <c r="A1081" s="2" t="s">
        <v>2008</v>
      </c>
      <c r="B1081" t="s">
        <v>2009</v>
      </c>
      <c r="C1081" t="s">
        <v>254</v>
      </c>
      <c r="D1081" t="s">
        <v>184</v>
      </c>
      <c r="E1081" t="s">
        <v>2010</v>
      </c>
    </row>
    <row r="1082" spans="1:5">
      <c r="A1082" s="2" t="s">
        <v>2011</v>
      </c>
      <c r="B1082" t="s">
        <v>2009</v>
      </c>
      <c r="C1082" t="s">
        <v>298</v>
      </c>
      <c r="D1082" t="s">
        <v>184</v>
      </c>
      <c r="E1082" t="s">
        <v>2010</v>
      </c>
    </row>
    <row r="1083" spans="1:5">
      <c r="A1083" s="2" t="s">
        <v>2012</v>
      </c>
      <c r="B1083" t="s">
        <v>2009</v>
      </c>
      <c r="C1083" t="s">
        <v>1541</v>
      </c>
      <c r="D1083" t="s">
        <v>184</v>
      </c>
      <c r="E1083" t="s">
        <v>2010</v>
      </c>
    </row>
    <row r="1084" spans="1:5">
      <c r="A1084" s="2" t="s">
        <v>2013</v>
      </c>
      <c r="B1084" t="s">
        <v>2009</v>
      </c>
      <c r="C1084" t="s">
        <v>1560</v>
      </c>
      <c r="D1084" t="s">
        <v>184</v>
      </c>
      <c r="E1084" t="s">
        <v>2010</v>
      </c>
    </row>
    <row r="1085" spans="1:5">
      <c r="A1085" s="2" t="s">
        <v>2014</v>
      </c>
      <c r="B1085" t="s">
        <v>2015</v>
      </c>
      <c r="C1085" t="s">
        <v>254</v>
      </c>
      <c r="D1085" t="s">
        <v>184</v>
      </c>
      <c r="E1085" t="s">
        <v>2016</v>
      </c>
    </row>
    <row r="1086" spans="1:5">
      <c r="A1086" s="2" t="s">
        <v>2017</v>
      </c>
      <c r="B1086" t="s">
        <v>2015</v>
      </c>
      <c r="C1086" t="s">
        <v>298</v>
      </c>
      <c r="D1086" t="s">
        <v>184</v>
      </c>
      <c r="E1086" t="s">
        <v>2018</v>
      </c>
    </row>
    <row r="1087" spans="1:5">
      <c r="A1087" s="2" t="s">
        <v>2019</v>
      </c>
      <c r="B1087" t="s">
        <v>2015</v>
      </c>
      <c r="C1087" t="s">
        <v>1541</v>
      </c>
      <c r="D1087" t="s">
        <v>184</v>
      </c>
      <c r="E1087" t="s">
        <v>2016</v>
      </c>
    </row>
    <row r="1088" spans="1:5">
      <c r="A1088" s="2" t="s">
        <v>2020</v>
      </c>
      <c r="B1088" t="s">
        <v>2015</v>
      </c>
      <c r="C1088" t="s">
        <v>1560</v>
      </c>
      <c r="D1088" t="s">
        <v>184</v>
      </c>
      <c r="E1088" t="s">
        <v>2018</v>
      </c>
    </row>
    <row r="1089" spans="1:5">
      <c r="A1089" s="2" t="s">
        <v>2021</v>
      </c>
      <c r="B1089" t="s">
        <v>2015</v>
      </c>
      <c r="C1089" t="s">
        <v>530</v>
      </c>
      <c r="D1089" t="s">
        <v>184</v>
      </c>
      <c r="E1089" t="s">
        <v>2016</v>
      </c>
    </row>
    <row r="1090" spans="1:5">
      <c r="A1090" s="2" t="s">
        <v>2022</v>
      </c>
      <c r="B1090" t="s">
        <v>2015</v>
      </c>
      <c r="C1090" t="s">
        <v>534</v>
      </c>
      <c r="D1090" t="s">
        <v>184</v>
      </c>
      <c r="E1090" t="s">
        <v>2018</v>
      </c>
    </row>
    <row r="1091" spans="1:5">
      <c r="A1091" s="2" t="s">
        <v>2023</v>
      </c>
      <c r="B1091" t="s">
        <v>2015</v>
      </c>
      <c r="C1091" t="s">
        <v>1556</v>
      </c>
      <c r="D1091" t="s">
        <v>184</v>
      </c>
      <c r="E1091" t="s">
        <v>2018</v>
      </c>
    </row>
    <row r="1092" spans="1:5">
      <c r="A1092" s="2" t="s">
        <v>2024</v>
      </c>
      <c r="B1092" t="s">
        <v>2015</v>
      </c>
      <c r="C1092" t="s">
        <v>556</v>
      </c>
      <c r="D1092" t="s">
        <v>184</v>
      </c>
      <c r="E1092" t="s">
        <v>2016</v>
      </c>
    </row>
    <row r="1093" spans="1:5">
      <c r="A1093" s="2" t="s">
        <v>2025</v>
      </c>
      <c r="B1093" t="s">
        <v>2015</v>
      </c>
      <c r="C1093" t="s">
        <v>590</v>
      </c>
      <c r="D1093" t="s">
        <v>184</v>
      </c>
      <c r="E1093" t="s">
        <v>2018</v>
      </c>
    </row>
    <row r="1094" spans="1:5">
      <c r="A1094" s="2" t="s">
        <v>2026</v>
      </c>
      <c r="B1094" t="s">
        <v>2015</v>
      </c>
      <c r="C1094" t="s">
        <v>902</v>
      </c>
      <c r="D1094" t="s">
        <v>184</v>
      </c>
      <c r="E1094" t="s">
        <v>2018</v>
      </c>
    </row>
    <row r="1095" spans="1:5">
      <c r="A1095" s="2" t="s">
        <v>2027</v>
      </c>
      <c r="B1095" t="s">
        <v>2015</v>
      </c>
      <c r="C1095" t="s">
        <v>883</v>
      </c>
      <c r="D1095" t="s">
        <v>184</v>
      </c>
      <c r="E1095" t="s">
        <v>2016</v>
      </c>
    </row>
    <row r="1096" spans="1:5">
      <c r="A1096" s="2" t="s">
        <v>2028</v>
      </c>
      <c r="B1096" t="s">
        <v>2029</v>
      </c>
      <c r="C1096" t="s">
        <v>254</v>
      </c>
      <c r="D1096" t="s">
        <v>184</v>
      </c>
      <c r="E1096" t="s">
        <v>2030</v>
      </c>
    </row>
    <row r="1097" spans="1:5">
      <c r="A1097" s="2" t="s">
        <v>2031</v>
      </c>
      <c r="B1097" t="s">
        <v>2029</v>
      </c>
      <c r="C1097" t="s">
        <v>1541</v>
      </c>
      <c r="D1097" t="s">
        <v>184</v>
      </c>
      <c r="E1097" t="s">
        <v>2030</v>
      </c>
    </row>
    <row r="1098" spans="1:5">
      <c r="A1098" s="2" t="s">
        <v>2032</v>
      </c>
      <c r="B1098" t="s">
        <v>2029</v>
      </c>
      <c r="C1098" t="s">
        <v>530</v>
      </c>
      <c r="D1098" t="s">
        <v>184</v>
      </c>
      <c r="E1098" t="s">
        <v>2030</v>
      </c>
    </row>
    <row r="1099" spans="1:5">
      <c r="A1099" s="2" t="s">
        <v>2033</v>
      </c>
      <c r="B1099" t="s">
        <v>2029</v>
      </c>
      <c r="C1099" t="s">
        <v>767</v>
      </c>
      <c r="D1099" t="s">
        <v>184</v>
      </c>
      <c r="E1099" t="s">
        <v>2030</v>
      </c>
    </row>
    <row r="1100" spans="1:5">
      <c r="A1100" s="2" t="s">
        <v>2034</v>
      </c>
      <c r="B1100" t="s">
        <v>2035</v>
      </c>
      <c r="C1100" t="s">
        <v>254</v>
      </c>
      <c r="D1100" t="s">
        <v>203</v>
      </c>
      <c r="E1100" t="s">
        <v>2036</v>
      </c>
    </row>
    <row r="1101" spans="1:5">
      <c r="A1101" s="2" t="s">
        <v>2037</v>
      </c>
      <c r="B1101" t="s">
        <v>2038</v>
      </c>
      <c r="C1101" t="s">
        <v>254</v>
      </c>
      <c r="D1101" t="s">
        <v>184</v>
      </c>
      <c r="E1101" t="s">
        <v>2039</v>
      </c>
    </row>
    <row r="1102" spans="1:5">
      <c r="A1102" s="2" t="s">
        <v>2040</v>
      </c>
      <c r="B1102" t="s">
        <v>2038</v>
      </c>
      <c r="C1102" t="s">
        <v>298</v>
      </c>
      <c r="D1102" t="s">
        <v>184</v>
      </c>
      <c r="E1102" t="s">
        <v>2041</v>
      </c>
    </row>
    <row r="1103" spans="1:5">
      <c r="A1103" s="2" t="s">
        <v>2042</v>
      </c>
      <c r="B1103" t="s">
        <v>2043</v>
      </c>
      <c r="C1103" t="s">
        <v>254</v>
      </c>
      <c r="D1103" t="s">
        <v>184</v>
      </c>
      <c r="E1103" t="s">
        <v>2044</v>
      </c>
    </row>
    <row r="1104" spans="1:5">
      <c r="A1104" s="2" t="s">
        <v>2045</v>
      </c>
      <c r="B1104" t="s">
        <v>2046</v>
      </c>
      <c r="C1104" t="s">
        <v>590</v>
      </c>
      <c r="D1104" t="s">
        <v>391</v>
      </c>
      <c r="E1104" t="s">
        <v>2047</v>
      </c>
    </row>
    <row r="1105" spans="1:5">
      <c r="A1105" s="2" t="s">
        <v>2048</v>
      </c>
      <c r="B1105" t="s">
        <v>2046</v>
      </c>
      <c r="C1105" t="s">
        <v>2049</v>
      </c>
      <c r="D1105" t="s">
        <v>391</v>
      </c>
      <c r="E1105" t="s">
        <v>2047</v>
      </c>
    </row>
    <row r="1106" spans="1:5">
      <c r="A1106" s="2" t="s">
        <v>2050</v>
      </c>
      <c r="B1106" t="s">
        <v>2046</v>
      </c>
      <c r="C1106" t="s">
        <v>2051</v>
      </c>
      <c r="D1106" t="s">
        <v>391</v>
      </c>
      <c r="E1106" t="s">
        <v>2047</v>
      </c>
    </row>
    <row r="1107" spans="1:5">
      <c r="A1107" s="2" t="s">
        <v>2052</v>
      </c>
      <c r="B1107" t="s">
        <v>2046</v>
      </c>
      <c r="C1107" t="s">
        <v>2053</v>
      </c>
      <c r="D1107" t="s">
        <v>391</v>
      </c>
      <c r="E1107" t="s">
        <v>2047</v>
      </c>
    </row>
    <row r="1108" spans="1:5">
      <c r="A1108" s="2" t="s">
        <v>2054</v>
      </c>
      <c r="B1108" t="s">
        <v>2046</v>
      </c>
      <c r="C1108" t="s">
        <v>2055</v>
      </c>
      <c r="D1108" t="s">
        <v>391</v>
      </c>
      <c r="E1108" t="s">
        <v>2047</v>
      </c>
    </row>
    <row r="1109" spans="1:5">
      <c r="A1109" s="2" t="s">
        <v>2056</v>
      </c>
      <c r="B1109" t="s">
        <v>2046</v>
      </c>
      <c r="C1109" t="s">
        <v>2057</v>
      </c>
      <c r="D1109" t="s">
        <v>391</v>
      </c>
      <c r="E1109" t="s">
        <v>2047</v>
      </c>
    </row>
    <row r="1110" spans="1:5">
      <c r="A1110" s="2" t="s">
        <v>2058</v>
      </c>
      <c r="B1110" t="s">
        <v>2046</v>
      </c>
      <c r="C1110" t="s">
        <v>817</v>
      </c>
      <c r="D1110" t="s">
        <v>391</v>
      </c>
      <c r="E1110" t="s">
        <v>2047</v>
      </c>
    </row>
    <row r="1111" spans="1:5">
      <c r="A1111" s="2" t="s">
        <v>2059</v>
      </c>
      <c r="B1111" t="s">
        <v>2046</v>
      </c>
      <c r="C1111" t="s">
        <v>872</v>
      </c>
      <c r="D1111" t="s">
        <v>391</v>
      </c>
      <c r="E1111" t="s">
        <v>2047</v>
      </c>
    </row>
    <row r="1112" spans="1:5">
      <c r="A1112" s="2" t="s">
        <v>2060</v>
      </c>
      <c r="B1112" t="s">
        <v>2046</v>
      </c>
      <c r="C1112" t="s">
        <v>1560</v>
      </c>
      <c r="D1112" t="s">
        <v>391</v>
      </c>
      <c r="E1112" t="s">
        <v>2047</v>
      </c>
    </row>
    <row r="1113" spans="1:5">
      <c r="A1113" s="2" t="s">
        <v>2061</v>
      </c>
      <c r="B1113" t="s">
        <v>2046</v>
      </c>
      <c r="C1113" t="s">
        <v>2062</v>
      </c>
      <c r="D1113" t="s">
        <v>391</v>
      </c>
      <c r="E1113" t="s">
        <v>2047</v>
      </c>
    </row>
    <row r="1114" spans="1:5">
      <c r="A1114" s="2" t="s">
        <v>2063</v>
      </c>
      <c r="B1114" t="s">
        <v>2064</v>
      </c>
      <c r="C1114" t="s">
        <v>254</v>
      </c>
      <c r="D1114" t="s">
        <v>391</v>
      </c>
      <c r="E1114" t="s">
        <v>2065</v>
      </c>
    </row>
    <row r="1115" spans="1:5">
      <c r="A1115" s="2" t="s">
        <v>2066</v>
      </c>
      <c r="B1115" t="s">
        <v>2064</v>
      </c>
      <c r="C1115" t="s">
        <v>556</v>
      </c>
      <c r="D1115" t="s">
        <v>391</v>
      </c>
      <c r="E1115" t="s">
        <v>2067</v>
      </c>
    </row>
    <row r="1116" spans="1:5">
      <c r="A1116" s="2" t="s">
        <v>2068</v>
      </c>
      <c r="B1116" t="s">
        <v>2064</v>
      </c>
      <c r="C1116" t="s">
        <v>2069</v>
      </c>
      <c r="D1116" t="s">
        <v>391</v>
      </c>
      <c r="E1116" t="s">
        <v>2067</v>
      </c>
    </row>
    <row r="1117" spans="1:5">
      <c r="A1117" s="2" t="s">
        <v>2070</v>
      </c>
      <c r="B1117" t="s">
        <v>2064</v>
      </c>
      <c r="C1117" t="s">
        <v>2071</v>
      </c>
      <c r="D1117" t="s">
        <v>391</v>
      </c>
      <c r="E1117" t="s">
        <v>2067</v>
      </c>
    </row>
    <row r="1118" spans="1:5">
      <c r="A1118" s="2" t="s">
        <v>2072</v>
      </c>
      <c r="B1118" t="s">
        <v>2064</v>
      </c>
      <c r="C1118" t="s">
        <v>2073</v>
      </c>
      <c r="D1118" t="s">
        <v>391</v>
      </c>
      <c r="E1118" t="s">
        <v>2067</v>
      </c>
    </row>
    <row r="1119" spans="1:5">
      <c r="A1119" s="2" t="s">
        <v>2074</v>
      </c>
      <c r="B1119" t="s">
        <v>2064</v>
      </c>
      <c r="C1119" t="s">
        <v>1140</v>
      </c>
      <c r="D1119" t="s">
        <v>391</v>
      </c>
      <c r="E1119" t="s">
        <v>2067</v>
      </c>
    </row>
    <row r="1120" spans="1:5">
      <c r="A1120" s="2" t="s">
        <v>2075</v>
      </c>
      <c r="B1120" t="s">
        <v>2064</v>
      </c>
      <c r="C1120" t="s">
        <v>815</v>
      </c>
      <c r="D1120" t="s">
        <v>391</v>
      </c>
      <c r="E1120" t="s">
        <v>2067</v>
      </c>
    </row>
    <row r="1121" spans="1:5">
      <c r="A1121" s="2" t="s">
        <v>2076</v>
      </c>
      <c r="B1121" t="s">
        <v>2064</v>
      </c>
      <c r="C1121" t="s">
        <v>870</v>
      </c>
      <c r="D1121" t="s">
        <v>391</v>
      </c>
      <c r="E1121" t="s">
        <v>2067</v>
      </c>
    </row>
    <row r="1122" spans="1:5">
      <c r="A1122" s="2" t="s">
        <v>2077</v>
      </c>
      <c r="B1122" t="s">
        <v>2064</v>
      </c>
      <c r="C1122" t="s">
        <v>1541</v>
      </c>
      <c r="D1122" t="s">
        <v>391</v>
      </c>
      <c r="E1122" t="s">
        <v>2067</v>
      </c>
    </row>
    <row r="1123" spans="1:5">
      <c r="A1123" s="2" t="s">
        <v>2078</v>
      </c>
      <c r="B1123" t="s">
        <v>2064</v>
      </c>
      <c r="C1123" t="s">
        <v>2079</v>
      </c>
      <c r="D1123" t="s">
        <v>391</v>
      </c>
      <c r="E1123" t="s">
        <v>2067</v>
      </c>
    </row>
    <row r="1124" spans="1:5">
      <c r="A1124" s="2" t="s">
        <v>2080</v>
      </c>
      <c r="B1124" t="s">
        <v>2081</v>
      </c>
      <c r="C1124" t="s">
        <v>2069</v>
      </c>
      <c r="D1124" t="s">
        <v>391</v>
      </c>
      <c r="E1124" t="s">
        <v>2082</v>
      </c>
    </row>
    <row r="1125" spans="1:5">
      <c r="A1125" s="2" t="s">
        <v>2083</v>
      </c>
      <c r="B1125" t="s">
        <v>2081</v>
      </c>
      <c r="C1125" t="s">
        <v>2071</v>
      </c>
      <c r="D1125" t="s">
        <v>391</v>
      </c>
      <c r="E1125" t="s">
        <v>2082</v>
      </c>
    </row>
    <row r="1126" spans="1:5">
      <c r="A1126" s="2" t="s">
        <v>2084</v>
      </c>
      <c r="B1126" t="s">
        <v>2081</v>
      </c>
      <c r="C1126" t="s">
        <v>2073</v>
      </c>
      <c r="D1126" t="s">
        <v>391</v>
      </c>
      <c r="E1126" t="s">
        <v>2082</v>
      </c>
    </row>
    <row r="1127" spans="1:5">
      <c r="A1127" s="2" t="s">
        <v>2085</v>
      </c>
      <c r="B1127" t="s">
        <v>2081</v>
      </c>
      <c r="C1127" t="s">
        <v>1140</v>
      </c>
      <c r="D1127" t="s">
        <v>391</v>
      </c>
      <c r="E1127" t="s">
        <v>2082</v>
      </c>
    </row>
    <row r="1128" spans="1:5">
      <c r="A1128" s="2" t="s">
        <v>2086</v>
      </c>
      <c r="B1128" t="s">
        <v>2081</v>
      </c>
      <c r="C1128" t="s">
        <v>556</v>
      </c>
      <c r="D1128" t="s">
        <v>391</v>
      </c>
      <c r="E1128" t="s">
        <v>2082</v>
      </c>
    </row>
    <row r="1129" spans="1:5">
      <c r="A1129" s="2" t="s">
        <v>2087</v>
      </c>
      <c r="B1129" t="s">
        <v>2081</v>
      </c>
      <c r="C1129" t="s">
        <v>815</v>
      </c>
      <c r="D1129" t="s">
        <v>391</v>
      </c>
      <c r="E1129" t="s">
        <v>2082</v>
      </c>
    </row>
    <row r="1130" spans="1:5">
      <c r="A1130" s="2" t="s">
        <v>2088</v>
      </c>
      <c r="B1130" t="s">
        <v>2081</v>
      </c>
      <c r="C1130" t="s">
        <v>870</v>
      </c>
      <c r="D1130" t="s">
        <v>391</v>
      </c>
      <c r="E1130" t="s">
        <v>2082</v>
      </c>
    </row>
    <row r="1131" spans="1:5">
      <c r="A1131" s="2" t="s">
        <v>2089</v>
      </c>
      <c r="B1131" t="s">
        <v>2081</v>
      </c>
      <c r="C1131" t="s">
        <v>1541</v>
      </c>
      <c r="D1131" t="s">
        <v>391</v>
      </c>
      <c r="E1131" t="s">
        <v>2082</v>
      </c>
    </row>
    <row r="1132" spans="1:5">
      <c r="A1132" s="2" t="s">
        <v>2090</v>
      </c>
      <c r="B1132" s="9" t="s">
        <v>2081</v>
      </c>
      <c r="C1132" s="9" t="s">
        <v>2079</v>
      </c>
      <c r="D1132" s="9" t="s">
        <v>391</v>
      </c>
      <c r="E1132" s="9" t="s">
        <v>2082</v>
      </c>
    </row>
    <row r="1133" spans="1:5">
      <c r="A1133" s="2" t="s">
        <v>2091</v>
      </c>
      <c r="B1133" t="s">
        <v>2092</v>
      </c>
      <c r="C1133" t="s">
        <v>590</v>
      </c>
      <c r="D1133" t="s">
        <v>391</v>
      </c>
      <c r="E1133" t="s">
        <v>2093</v>
      </c>
    </row>
    <row r="1134" spans="1:5">
      <c r="A1134" s="2" t="s">
        <v>2094</v>
      </c>
      <c r="B1134" t="s">
        <v>2092</v>
      </c>
      <c r="C1134" t="s">
        <v>2049</v>
      </c>
      <c r="D1134" t="s">
        <v>391</v>
      </c>
      <c r="E1134" t="s">
        <v>2093</v>
      </c>
    </row>
    <row r="1135" spans="1:5">
      <c r="A1135" s="2" t="s">
        <v>2095</v>
      </c>
      <c r="B1135" t="s">
        <v>2092</v>
      </c>
      <c r="C1135" t="s">
        <v>2051</v>
      </c>
      <c r="D1135" t="s">
        <v>391</v>
      </c>
      <c r="E1135" t="s">
        <v>2093</v>
      </c>
    </row>
    <row r="1136" spans="1:5">
      <c r="A1136" s="2" t="s">
        <v>2096</v>
      </c>
      <c r="B1136" t="s">
        <v>2092</v>
      </c>
      <c r="C1136" t="s">
        <v>2053</v>
      </c>
      <c r="D1136" t="s">
        <v>391</v>
      </c>
      <c r="E1136" t="s">
        <v>2093</v>
      </c>
    </row>
    <row r="1137" spans="1:5">
      <c r="A1137" s="2" t="s">
        <v>2097</v>
      </c>
      <c r="B1137" t="s">
        <v>2092</v>
      </c>
      <c r="C1137" t="s">
        <v>2055</v>
      </c>
      <c r="D1137" t="s">
        <v>391</v>
      </c>
      <c r="E1137" t="s">
        <v>2093</v>
      </c>
    </row>
    <row r="1138" spans="1:5">
      <c r="A1138" s="2" t="s">
        <v>2098</v>
      </c>
      <c r="B1138" t="s">
        <v>2092</v>
      </c>
      <c r="C1138" t="s">
        <v>817</v>
      </c>
      <c r="D1138" t="s">
        <v>391</v>
      </c>
      <c r="E1138" t="s">
        <v>2093</v>
      </c>
    </row>
    <row r="1139" spans="1:5">
      <c r="A1139" s="2" t="s">
        <v>2099</v>
      </c>
      <c r="B1139" t="s">
        <v>2092</v>
      </c>
      <c r="C1139" t="s">
        <v>872</v>
      </c>
      <c r="D1139" t="s">
        <v>391</v>
      </c>
      <c r="E1139" t="s">
        <v>2093</v>
      </c>
    </row>
    <row r="1140" spans="1:5">
      <c r="A1140" s="2" t="s">
        <v>2100</v>
      </c>
      <c r="B1140" t="s">
        <v>2092</v>
      </c>
      <c r="C1140" t="s">
        <v>1560</v>
      </c>
      <c r="D1140" t="s">
        <v>391</v>
      </c>
      <c r="E1140" t="s">
        <v>2093</v>
      </c>
    </row>
    <row r="1141" spans="1:5">
      <c r="A1141" s="2" t="s">
        <v>2101</v>
      </c>
      <c r="B1141" t="s">
        <v>2092</v>
      </c>
      <c r="C1141" t="s">
        <v>1556</v>
      </c>
      <c r="D1141" t="s">
        <v>391</v>
      </c>
      <c r="E1141" t="s">
        <v>2093</v>
      </c>
    </row>
    <row r="1142" spans="1:5">
      <c r="A1142" s="2" t="s">
        <v>2102</v>
      </c>
      <c r="B1142" t="s">
        <v>2092</v>
      </c>
      <c r="C1142" t="s">
        <v>2062</v>
      </c>
      <c r="D1142" t="s">
        <v>391</v>
      </c>
      <c r="E1142" t="s">
        <v>2093</v>
      </c>
    </row>
    <row r="1143" spans="1:5">
      <c r="A1143" s="2" t="s">
        <v>2103</v>
      </c>
      <c r="B1143" t="s">
        <v>2104</v>
      </c>
      <c r="C1143" t="s">
        <v>254</v>
      </c>
      <c r="D1143" t="s">
        <v>391</v>
      </c>
      <c r="E1143" t="s">
        <v>2105</v>
      </c>
    </row>
    <row r="1144" spans="1:5">
      <c r="A1144" s="2" t="s">
        <v>2106</v>
      </c>
      <c r="B1144" t="s">
        <v>2104</v>
      </c>
      <c r="C1144" t="s">
        <v>556</v>
      </c>
      <c r="D1144" t="s">
        <v>391</v>
      </c>
      <c r="E1144" t="s">
        <v>2105</v>
      </c>
    </row>
    <row r="1145" spans="1:5">
      <c r="A1145" s="2" t="s">
        <v>2107</v>
      </c>
      <c r="B1145" t="s">
        <v>2104</v>
      </c>
      <c r="C1145" t="s">
        <v>815</v>
      </c>
      <c r="D1145" t="s">
        <v>391</v>
      </c>
      <c r="E1145" t="s">
        <v>2105</v>
      </c>
    </row>
    <row r="1146" spans="1:5">
      <c r="A1146" s="2" t="s">
        <v>2108</v>
      </c>
      <c r="B1146" t="s">
        <v>2104</v>
      </c>
      <c r="C1146" t="s">
        <v>2069</v>
      </c>
      <c r="D1146" t="s">
        <v>391</v>
      </c>
      <c r="E1146" t="s">
        <v>2105</v>
      </c>
    </row>
    <row r="1147" spans="1:5">
      <c r="A1147" s="2" t="s">
        <v>2109</v>
      </c>
      <c r="B1147" t="s">
        <v>2104</v>
      </c>
      <c r="C1147" t="s">
        <v>2071</v>
      </c>
      <c r="D1147" t="s">
        <v>391</v>
      </c>
      <c r="E1147" t="s">
        <v>2105</v>
      </c>
    </row>
    <row r="1148" spans="1:5">
      <c r="A1148" s="2" t="s">
        <v>2110</v>
      </c>
      <c r="B1148" t="s">
        <v>2104</v>
      </c>
      <c r="C1148" t="s">
        <v>2073</v>
      </c>
      <c r="D1148" t="s">
        <v>391</v>
      </c>
      <c r="E1148" t="s">
        <v>2105</v>
      </c>
    </row>
    <row r="1149" spans="1:5">
      <c r="A1149" s="2" t="s">
        <v>2111</v>
      </c>
      <c r="B1149" t="s">
        <v>2104</v>
      </c>
      <c r="C1149" t="s">
        <v>2053</v>
      </c>
      <c r="D1149" t="s">
        <v>391</v>
      </c>
      <c r="E1149" t="s">
        <v>2105</v>
      </c>
    </row>
    <row r="1150" spans="1:5">
      <c r="A1150" s="2" t="s">
        <v>2112</v>
      </c>
      <c r="B1150" t="s">
        <v>2104</v>
      </c>
      <c r="C1150" t="s">
        <v>1140</v>
      </c>
      <c r="D1150" t="s">
        <v>391</v>
      </c>
      <c r="E1150" t="s">
        <v>2105</v>
      </c>
    </row>
    <row r="1151" spans="1:5">
      <c r="A1151" s="2" t="s">
        <v>2113</v>
      </c>
      <c r="B1151" t="s">
        <v>2104</v>
      </c>
      <c r="C1151" t="s">
        <v>870</v>
      </c>
      <c r="D1151" t="s">
        <v>391</v>
      </c>
      <c r="E1151" t="s">
        <v>2105</v>
      </c>
    </row>
    <row r="1152" spans="1:5">
      <c r="A1152" s="2" t="s">
        <v>2114</v>
      </c>
      <c r="B1152" t="s">
        <v>2104</v>
      </c>
      <c r="C1152" t="s">
        <v>1541</v>
      </c>
      <c r="D1152" t="s">
        <v>391</v>
      </c>
      <c r="E1152" t="s">
        <v>2105</v>
      </c>
    </row>
    <row r="1153" spans="1:5">
      <c r="A1153" s="2" t="s">
        <v>2115</v>
      </c>
      <c r="B1153" t="s">
        <v>2104</v>
      </c>
      <c r="C1153" t="s">
        <v>767</v>
      </c>
      <c r="D1153" t="s">
        <v>391</v>
      </c>
      <c r="E1153" t="s">
        <v>2105</v>
      </c>
    </row>
    <row r="1154" spans="1:5">
      <c r="A1154" s="2" t="s">
        <v>2116</v>
      </c>
      <c r="B1154" t="s">
        <v>2104</v>
      </c>
      <c r="C1154" t="s">
        <v>2079</v>
      </c>
      <c r="D1154" t="s">
        <v>391</v>
      </c>
      <c r="E1154" t="s">
        <v>2105</v>
      </c>
    </row>
    <row r="1155" spans="1:5">
      <c r="A1155" s="2" t="s">
        <v>2117</v>
      </c>
      <c r="B1155" t="s">
        <v>2118</v>
      </c>
      <c r="C1155" t="s">
        <v>254</v>
      </c>
      <c r="D1155" t="s">
        <v>182</v>
      </c>
      <c r="E1155" t="s">
        <v>2119</v>
      </c>
    </row>
    <row r="1156" spans="1:5">
      <c r="A1156" s="2" t="s">
        <v>2120</v>
      </c>
      <c r="B1156" t="s">
        <v>2118</v>
      </c>
      <c r="C1156" t="s">
        <v>2079</v>
      </c>
      <c r="D1156" t="s">
        <v>182</v>
      </c>
      <c r="E1156" t="s">
        <v>2119</v>
      </c>
    </row>
    <row r="1157" spans="1:5">
      <c r="A1157" s="2" t="s">
        <v>2121</v>
      </c>
      <c r="B1157" t="s">
        <v>2122</v>
      </c>
      <c r="C1157" t="s">
        <v>1556</v>
      </c>
      <c r="D1157" t="s">
        <v>392</v>
      </c>
      <c r="E1157" t="s">
        <v>2123</v>
      </c>
    </row>
    <row r="1158" spans="1:5">
      <c r="A1158" s="2" t="s">
        <v>2124</v>
      </c>
      <c r="B1158" t="s">
        <v>2125</v>
      </c>
      <c r="C1158" t="s">
        <v>530</v>
      </c>
      <c r="D1158" t="s">
        <v>392</v>
      </c>
      <c r="E1158" t="s">
        <v>2123</v>
      </c>
    </row>
    <row r="1159" spans="1:5">
      <c r="A1159" s="2" t="s">
        <v>2126</v>
      </c>
      <c r="B1159" t="s">
        <v>2125</v>
      </c>
      <c r="C1159" t="s">
        <v>556</v>
      </c>
      <c r="D1159" t="s">
        <v>392</v>
      </c>
      <c r="E1159" t="s">
        <v>2123</v>
      </c>
    </row>
    <row r="1160" spans="1:5">
      <c r="A1160" s="2" t="s">
        <v>2127</v>
      </c>
      <c r="B1160" t="s">
        <v>2125</v>
      </c>
      <c r="C1160" t="s">
        <v>590</v>
      </c>
      <c r="D1160" t="s">
        <v>392</v>
      </c>
      <c r="E1160" t="s">
        <v>2123</v>
      </c>
    </row>
    <row r="1161" spans="1:5">
      <c r="A1161" s="2" t="s">
        <v>2128</v>
      </c>
      <c r="B1161" t="s">
        <v>2125</v>
      </c>
      <c r="C1161" t="s">
        <v>817</v>
      </c>
      <c r="D1161" t="s">
        <v>392</v>
      </c>
      <c r="E1161" t="s">
        <v>2123</v>
      </c>
    </row>
    <row r="1162" spans="1:5">
      <c r="A1162" s="2" t="s">
        <v>2129</v>
      </c>
      <c r="B1162" t="s">
        <v>2125</v>
      </c>
      <c r="C1162" t="s">
        <v>815</v>
      </c>
      <c r="D1162" t="s">
        <v>392</v>
      </c>
      <c r="E1162" t="s">
        <v>2123</v>
      </c>
    </row>
    <row r="1163" spans="1:5">
      <c r="A1163" s="2" t="s">
        <v>2130</v>
      </c>
      <c r="B1163" t="s">
        <v>2125</v>
      </c>
      <c r="C1163" t="s">
        <v>2131</v>
      </c>
      <c r="D1163" t="s">
        <v>392</v>
      </c>
      <c r="E1163" t="s">
        <v>2123</v>
      </c>
    </row>
    <row r="1164" spans="1:5">
      <c r="A1164" s="2" t="s">
        <v>2132</v>
      </c>
      <c r="B1164" t="s">
        <v>2125</v>
      </c>
      <c r="C1164" t="s">
        <v>2133</v>
      </c>
      <c r="D1164" t="s">
        <v>392</v>
      </c>
      <c r="E1164" t="s">
        <v>2123</v>
      </c>
    </row>
    <row r="1165" spans="1:5">
      <c r="A1165" s="2" t="s">
        <v>2134</v>
      </c>
      <c r="B1165" t="s">
        <v>2125</v>
      </c>
      <c r="C1165" t="s">
        <v>534</v>
      </c>
      <c r="D1165" t="s">
        <v>392</v>
      </c>
      <c r="E1165" t="s">
        <v>2123</v>
      </c>
    </row>
    <row r="1166" spans="1:5">
      <c r="A1166" s="2" t="s">
        <v>2135</v>
      </c>
      <c r="B1166" t="s">
        <v>2125</v>
      </c>
      <c r="C1166" t="s">
        <v>1541</v>
      </c>
      <c r="D1166" t="s">
        <v>392</v>
      </c>
      <c r="E1166" t="s">
        <v>2123</v>
      </c>
    </row>
    <row r="1167" spans="1:5">
      <c r="A1167" s="2" t="s">
        <v>2136</v>
      </c>
      <c r="B1167" t="s">
        <v>2125</v>
      </c>
      <c r="C1167" t="s">
        <v>1560</v>
      </c>
      <c r="D1167" t="s">
        <v>392</v>
      </c>
      <c r="E1167" t="s">
        <v>2123</v>
      </c>
    </row>
    <row r="1168" spans="1:5">
      <c r="A1168" s="2" t="s">
        <v>2137</v>
      </c>
      <c r="B1168" t="s">
        <v>2125</v>
      </c>
      <c r="C1168" t="s">
        <v>767</v>
      </c>
      <c r="D1168" t="s">
        <v>392</v>
      </c>
      <c r="E1168" t="s">
        <v>2123</v>
      </c>
    </row>
    <row r="1169" spans="1:5">
      <c r="A1169" s="2" t="s">
        <v>2138</v>
      </c>
      <c r="B1169" t="s">
        <v>2125</v>
      </c>
      <c r="C1169" t="s">
        <v>1556</v>
      </c>
      <c r="D1169" t="s">
        <v>392</v>
      </c>
      <c r="E1169" t="s">
        <v>2123</v>
      </c>
    </row>
    <row r="1170" spans="1:5">
      <c r="A1170" s="2" t="s">
        <v>2139</v>
      </c>
      <c r="B1170" t="s">
        <v>2125</v>
      </c>
      <c r="C1170" t="s">
        <v>2079</v>
      </c>
      <c r="D1170" t="s">
        <v>392</v>
      </c>
      <c r="E1170" t="s">
        <v>2123</v>
      </c>
    </row>
    <row r="1171" spans="1:5">
      <c r="A1171" s="2" t="s">
        <v>2140</v>
      </c>
      <c r="B1171" t="s">
        <v>2125</v>
      </c>
      <c r="C1171" t="s">
        <v>2062</v>
      </c>
      <c r="D1171" t="s">
        <v>392</v>
      </c>
      <c r="E1171" t="s">
        <v>2123</v>
      </c>
    </row>
    <row r="1172" spans="1:5">
      <c r="A1172" s="2" t="s">
        <v>2141</v>
      </c>
      <c r="B1172" t="s">
        <v>2125</v>
      </c>
      <c r="C1172" t="s">
        <v>2069</v>
      </c>
      <c r="D1172" t="s">
        <v>392</v>
      </c>
      <c r="E1172" t="s">
        <v>2123</v>
      </c>
    </row>
    <row r="1173" spans="1:5">
      <c r="A1173" s="2" t="s">
        <v>2142</v>
      </c>
      <c r="B1173" t="s">
        <v>2125</v>
      </c>
      <c r="C1173" t="s">
        <v>2049</v>
      </c>
      <c r="D1173" t="s">
        <v>392</v>
      </c>
      <c r="E1173" t="s">
        <v>2123</v>
      </c>
    </row>
    <row r="1174" spans="1:5">
      <c r="A1174" s="2" t="s">
        <v>2143</v>
      </c>
      <c r="B1174" t="s">
        <v>2125</v>
      </c>
      <c r="C1174" t="s">
        <v>2144</v>
      </c>
      <c r="D1174" t="s">
        <v>392</v>
      </c>
      <c r="E1174" t="s">
        <v>2123</v>
      </c>
    </row>
    <row r="1175" spans="1:5">
      <c r="A1175" s="2" t="s">
        <v>2145</v>
      </c>
      <c r="B1175" t="s">
        <v>2125</v>
      </c>
      <c r="C1175" t="s">
        <v>2146</v>
      </c>
      <c r="D1175" t="s">
        <v>392</v>
      </c>
      <c r="E1175" t="s">
        <v>2123</v>
      </c>
    </row>
    <row r="1176" spans="1:5">
      <c r="A1176" s="2" t="s">
        <v>2147</v>
      </c>
      <c r="B1176" t="s">
        <v>2125</v>
      </c>
      <c r="C1176" t="s">
        <v>2073</v>
      </c>
      <c r="D1176" t="s">
        <v>392</v>
      </c>
      <c r="E1176" t="s">
        <v>2123</v>
      </c>
    </row>
    <row r="1177" spans="1:5">
      <c r="A1177" s="2" t="s">
        <v>2148</v>
      </c>
      <c r="B1177" t="s">
        <v>2125</v>
      </c>
      <c r="C1177" t="s">
        <v>2053</v>
      </c>
      <c r="D1177" t="s">
        <v>392</v>
      </c>
      <c r="E1177" t="s">
        <v>2123</v>
      </c>
    </row>
    <row r="1178" spans="1:5">
      <c r="A1178" s="2" t="s">
        <v>2149</v>
      </c>
      <c r="B1178" t="s">
        <v>2125</v>
      </c>
      <c r="C1178" t="s">
        <v>1140</v>
      </c>
      <c r="D1178" t="s">
        <v>392</v>
      </c>
      <c r="E1178" t="s">
        <v>2123</v>
      </c>
    </row>
    <row r="1179" spans="1:5">
      <c r="A1179" s="2" t="s">
        <v>2150</v>
      </c>
      <c r="B1179" t="s">
        <v>2125</v>
      </c>
      <c r="C1179" t="s">
        <v>2055</v>
      </c>
      <c r="D1179" t="s">
        <v>392</v>
      </c>
      <c r="E1179" t="s">
        <v>2123</v>
      </c>
    </row>
    <row r="1180" spans="1:5">
      <c r="A1180" s="2" t="s">
        <v>2151</v>
      </c>
      <c r="B1180" s="5" t="s">
        <v>2152</v>
      </c>
      <c r="C1180" s="5" t="s">
        <v>1556</v>
      </c>
      <c r="D1180" s="5" t="s">
        <v>392</v>
      </c>
      <c r="E1180" s="5" t="s">
        <v>2123</v>
      </c>
    </row>
    <row r="1181" spans="1:5">
      <c r="A1181" s="2" t="s">
        <v>2153</v>
      </c>
      <c r="B1181" s="5" t="s">
        <v>2154</v>
      </c>
      <c r="C1181" s="5" t="s">
        <v>254</v>
      </c>
      <c r="D1181" s="5" t="s">
        <v>392</v>
      </c>
      <c r="E1181" s="5" t="s">
        <v>2155</v>
      </c>
    </row>
    <row r="1182" spans="1:5">
      <c r="A1182" s="2" t="s">
        <v>2156</v>
      </c>
      <c r="B1182" s="3" t="s">
        <v>2154</v>
      </c>
      <c r="C1182" s="3" t="s">
        <v>530</v>
      </c>
      <c r="D1182" s="3" t="s">
        <v>392</v>
      </c>
      <c r="E1182" s="3" t="s">
        <v>2155</v>
      </c>
    </row>
    <row r="1183" spans="1:5">
      <c r="A1183" s="2" t="s">
        <v>2157</v>
      </c>
      <c r="B1183" s="3" t="s">
        <v>2154</v>
      </c>
      <c r="C1183" s="3" t="s">
        <v>534</v>
      </c>
      <c r="D1183" s="3" t="s">
        <v>392</v>
      </c>
      <c r="E1183" s="3" t="s">
        <v>2155</v>
      </c>
    </row>
    <row r="1184" spans="1:5">
      <c r="A1184" s="2" t="s">
        <v>2158</v>
      </c>
      <c r="B1184" s="3" t="s">
        <v>2154</v>
      </c>
      <c r="C1184" s="3" t="s">
        <v>298</v>
      </c>
      <c r="D1184" s="3" t="s">
        <v>392</v>
      </c>
      <c r="E1184" s="3" t="s">
        <v>2155</v>
      </c>
    </row>
    <row r="1185" spans="1:5">
      <c r="A1185" s="2" t="s">
        <v>2159</v>
      </c>
      <c r="B1185" s="3" t="s">
        <v>2154</v>
      </c>
      <c r="C1185" s="3" t="s">
        <v>556</v>
      </c>
      <c r="D1185" s="3" t="s">
        <v>392</v>
      </c>
      <c r="E1185" s="3" t="s">
        <v>2155</v>
      </c>
    </row>
    <row r="1186" spans="1:5">
      <c r="A1186" s="2" t="s">
        <v>2160</v>
      </c>
      <c r="B1186" s="3" t="s">
        <v>2154</v>
      </c>
      <c r="C1186" s="3" t="s">
        <v>590</v>
      </c>
      <c r="D1186" s="3" t="s">
        <v>392</v>
      </c>
      <c r="E1186" s="3" t="s">
        <v>2155</v>
      </c>
    </row>
    <row r="1187" spans="1:5">
      <c r="A1187" s="2" t="s">
        <v>2161</v>
      </c>
      <c r="B1187" s="3" t="s">
        <v>2154</v>
      </c>
      <c r="C1187" s="3" t="s">
        <v>2073</v>
      </c>
      <c r="D1187" s="3" t="s">
        <v>392</v>
      </c>
      <c r="E1187" s="3" t="s">
        <v>2155</v>
      </c>
    </row>
    <row r="1188" spans="1:5">
      <c r="A1188" s="2" t="s">
        <v>2162</v>
      </c>
      <c r="B1188" s="3" t="s">
        <v>2154</v>
      </c>
      <c r="C1188" s="3" t="s">
        <v>326</v>
      </c>
      <c r="D1188" s="3" t="s">
        <v>392</v>
      </c>
      <c r="E1188" s="3" t="s">
        <v>2155</v>
      </c>
    </row>
    <row r="1189" spans="1:5">
      <c r="A1189" s="2" t="s">
        <v>2163</v>
      </c>
      <c r="B1189" s="3" t="s">
        <v>2154</v>
      </c>
      <c r="C1189" s="3" t="s">
        <v>592</v>
      </c>
      <c r="D1189" s="3" t="s">
        <v>392</v>
      </c>
      <c r="E1189" s="3" t="s">
        <v>2155</v>
      </c>
    </row>
    <row r="1190" spans="1:5">
      <c r="A1190" s="2" t="s">
        <v>2164</v>
      </c>
      <c r="B1190" s="5" t="s">
        <v>2154</v>
      </c>
      <c r="C1190" s="5" t="s">
        <v>1541</v>
      </c>
      <c r="D1190" s="5" t="s">
        <v>392</v>
      </c>
      <c r="E1190" s="5" t="s">
        <v>2155</v>
      </c>
    </row>
    <row r="1191" spans="1:5">
      <c r="A1191" s="2" t="s">
        <v>2165</v>
      </c>
      <c r="B1191" s="5" t="s">
        <v>2154</v>
      </c>
      <c r="C1191" s="5" t="s">
        <v>1560</v>
      </c>
      <c r="D1191" s="5" t="s">
        <v>392</v>
      </c>
      <c r="E1191" s="5" t="s">
        <v>2155</v>
      </c>
    </row>
    <row r="1192" spans="1:5">
      <c r="A1192" s="2" t="s">
        <v>2166</v>
      </c>
      <c r="B1192" s="3" t="s">
        <v>2154</v>
      </c>
      <c r="C1192" s="3" t="s">
        <v>2069</v>
      </c>
      <c r="D1192" s="3" t="s">
        <v>392</v>
      </c>
      <c r="E1192" s="3" t="s">
        <v>2155</v>
      </c>
    </row>
    <row r="1193" spans="1:5">
      <c r="A1193" s="2" t="s">
        <v>2167</v>
      </c>
      <c r="B1193" s="3" t="s">
        <v>2154</v>
      </c>
      <c r="C1193" s="3" t="s">
        <v>767</v>
      </c>
      <c r="D1193" s="3" t="s">
        <v>392</v>
      </c>
      <c r="E1193" s="3" t="s">
        <v>2155</v>
      </c>
    </row>
    <row r="1194" spans="1:5">
      <c r="A1194" s="2" t="s">
        <v>2168</v>
      </c>
      <c r="B1194" s="3" t="s">
        <v>2154</v>
      </c>
      <c r="C1194" s="3" t="s">
        <v>1556</v>
      </c>
      <c r="D1194" s="3" t="s">
        <v>392</v>
      </c>
      <c r="E1194" s="3" t="s">
        <v>2155</v>
      </c>
    </row>
    <row r="1195" spans="1:5">
      <c r="A1195" s="2" t="s">
        <v>2169</v>
      </c>
      <c r="B1195" s="3" t="s">
        <v>2154</v>
      </c>
      <c r="C1195" s="3" t="s">
        <v>2079</v>
      </c>
      <c r="D1195" s="3" t="s">
        <v>392</v>
      </c>
      <c r="E1195" s="3" t="s">
        <v>2155</v>
      </c>
    </row>
    <row r="1196" spans="1:5">
      <c r="A1196" s="2" t="s">
        <v>2170</v>
      </c>
      <c r="B1196" s="3" t="s">
        <v>2154</v>
      </c>
      <c r="C1196" s="3" t="s">
        <v>2062</v>
      </c>
      <c r="D1196" s="3" t="s">
        <v>392</v>
      </c>
      <c r="E1196" s="3" t="s">
        <v>2155</v>
      </c>
    </row>
    <row r="1197" spans="1:5">
      <c r="A1197" s="2" t="s">
        <v>2171</v>
      </c>
      <c r="B1197" s="3" t="s">
        <v>2154</v>
      </c>
      <c r="C1197" s="3" t="s">
        <v>2049</v>
      </c>
      <c r="D1197" s="3" t="s">
        <v>392</v>
      </c>
      <c r="E1197" s="3" t="s">
        <v>2155</v>
      </c>
    </row>
    <row r="1198" spans="1:5">
      <c r="A1198" s="2" t="s">
        <v>2172</v>
      </c>
      <c r="B1198" s="3" t="s">
        <v>2154</v>
      </c>
      <c r="C1198" s="3" t="s">
        <v>2144</v>
      </c>
      <c r="D1198" s="3" t="s">
        <v>392</v>
      </c>
      <c r="E1198" s="3" t="s">
        <v>2155</v>
      </c>
    </row>
    <row r="1199" spans="1:5">
      <c r="A1199" s="2" t="s">
        <v>2173</v>
      </c>
      <c r="B1199" s="3" t="s">
        <v>2154</v>
      </c>
      <c r="C1199" s="3" t="s">
        <v>2146</v>
      </c>
      <c r="D1199" s="3" t="s">
        <v>392</v>
      </c>
      <c r="E1199" s="3" t="s">
        <v>2155</v>
      </c>
    </row>
    <row r="1200" spans="1:5">
      <c r="A1200" s="2" t="s">
        <v>2174</v>
      </c>
      <c r="B1200" s="5" t="s">
        <v>2154</v>
      </c>
      <c r="C1200" s="5" t="s">
        <v>2053</v>
      </c>
      <c r="D1200" s="5" t="s">
        <v>392</v>
      </c>
      <c r="E1200" s="5" t="s">
        <v>2155</v>
      </c>
    </row>
    <row r="1201" spans="1:5">
      <c r="A1201" s="2" t="s">
        <v>2175</v>
      </c>
      <c r="B1201" s="5" t="s">
        <v>2154</v>
      </c>
      <c r="C1201" s="5" t="s">
        <v>1140</v>
      </c>
      <c r="D1201" s="5" t="s">
        <v>392</v>
      </c>
      <c r="E1201" s="5" t="s">
        <v>2155</v>
      </c>
    </row>
    <row r="1202" spans="1:5">
      <c r="A1202" s="2" t="s">
        <v>2176</v>
      </c>
      <c r="B1202" s="5" t="s">
        <v>2154</v>
      </c>
      <c r="C1202" s="5" t="s">
        <v>2055</v>
      </c>
      <c r="D1202" s="5" t="s">
        <v>392</v>
      </c>
      <c r="E1202" s="5" t="s">
        <v>2155</v>
      </c>
    </row>
    <row r="1203" spans="1:5">
      <c r="A1203" s="2" t="s">
        <v>2177</v>
      </c>
      <c r="B1203" s="5" t="s">
        <v>2178</v>
      </c>
      <c r="C1203" s="5" t="s">
        <v>254</v>
      </c>
      <c r="D1203" s="5" t="s">
        <v>392</v>
      </c>
      <c r="E1203" s="5" t="s">
        <v>2123</v>
      </c>
    </row>
    <row r="1204" spans="1:5">
      <c r="A1204" s="2" t="s">
        <v>2179</v>
      </c>
      <c r="B1204" s="5" t="s">
        <v>2180</v>
      </c>
      <c r="C1204" s="5" t="s">
        <v>298</v>
      </c>
      <c r="D1204" s="5" t="s">
        <v>2181</v>
      </c>
      <c r="E1204" s="5" t="s">
        <v>2182</v>
      </c>
    </row>
    <row r="1205" spans="1:5">
      <c r="A1205" s="2" t="s">
        <v>2183</v>
      </c>
      <c r="B1205" s="3" t="s">
        <v>297</v>
      </c>
      <c r="C1205" s="3" t="s">
        <v>254</v>
      </c>
      <c r="D1205" s="3" t="s">
        <v>396</v>
      </c>
      <c r="E1205" s="3" t="s">
        <v>2184</v>
      </c>
    </row>
    <row r="1206" spans="1:5">
      <c r="A1206" s="2" t="s">
        <v>2185</v>
      </c>
      <c r="B1206" s="3" t="s">
        <v>297</v>
      </c>
      <c r="C1206" s="3">
        <v>10</v>
      </c>
      <c r="D1206" s="3" t="s">
        <v>396</v>
      </c>
      <c r="E1206" s="3" t="s">
        <v>2184</v>
      </c>
    </row>
    <row r="1207" spans="1:5">
      <c r="A1207" s="2" t="s">
        <v>2186</v>
      </c>
      <c r="B1207" s="3" t="s">
        <v>297</v>
      </c>
      <c r="C1207" s="3" t="s">
        <v>330</v>
      </c>
      <c r="D1207" s="3" t="s">
        <v>396</v>
      </c>
      <c r="E1207" s="3" t="s">
        <v>2184</v>
      </c>
    </row>
    <row r="1208" spans="1:5">
      <c r="A1208" s="2" t="s">
        <v>2187</v>
      </c>
      <c r="B1208" s="3" t="s">
        <v>297</v>
      </c>
      <c r="C1208" s="3" t="s">
        <v>573</v>
      </c>
      <c r="D1208" s="3" t="s">
        <v>396</v>
      </c>
      <c r="E1208" s="3" t="s">
        <v>2184</v>
      </c>
    </row>
    <row r="1209" spans="1:5">
      <c r="A1209" s="2" t="s">
        <v>2188</v>
      </c>
      <c r="B1209" s="3" t="s">
        <v>297</v>
      </c>
      <c r="C1209" s="3" t="s">
        <v>550</v>
      </c>
      <c r="D1209" s="3" t="s">
        <v>396</v>
      </c>
      <c r="E1209" s="3" t="s">
        <v>2184</v>
      </c>
    </row>
    <row r="1210" spans="1:5">
      <c r="A1210" s="2" t="s">
        <v>2189</v>
      </c>
      <c r="B1210" s="3" t="s">
        <v>297</v>
      </c>
      <c r="C1210" s="3" t="s">
        <v>541</v>
      </c>
      <c r="D1210" s="3" t="s">
        <v>396</v>
      </c>
      <c r="E1210" s="3" t="s">
        <v>2184</v>
      </c>
    </row>
    <row r="1211" spans="1:5">
      <c r="A1211" s="2" t="s">
        <v>2190</v>
      </c>
      <c r="B1211" s="3" t="s">
        <v>297</v>
      </c>
      <c r="C1211" s="3" t="s">
        <v>577</v>
      </c>
      <c r="D1211" s="3" t="s">
        <v>396</v>
      </c>
      <c r="E1211" s="3" t="s">
        <v>2184</v>
      </c>
    </row>
    <row r="1212" spans="1:5">
      <c r="A1212" s="2" t="s">
        <v>2191</v>
      </c>
      <c r="B1212" s="3" t="s">
        <v>297</v>
      </c>
      <c r="C1212" s="3" t="s">
        <v>558</v>
      </c>
      <c r="D1212" s="3" t="s">
        <v>396</v>
      </c>
      <c r="E1212" s="3" t="s">
        <v>2184</v>
      </c>
    </row>
    <row r="1213" spans="1:5">
      <c r="A1213" s="2" t="s">
        <v>2192</v>
      </c>
      <c r="B1213" s="5" t="s">
        <v>297</v>
      </c>
      <c r="C1213" s="5" t="s">
        <v>548</v>
      </c>
      <c r="D1213" s="5" t="s">
        <v>396</v>
      </c>
      <c r="E1213" s="5" t="s">
        <v>2184</v>
      </c>
    </row>
    <row r="1214" spans="1:5">
      <c r="A1214" s="2" t="s">
        <v>2193</v>
      </c>
      <c r="B1214" s="5" t="s">
        <v>297</v>
      </c>
      <c r="C1214" s="5" t="s">
        <v>538</v>
      </c>
      <c r="D1214" s="5" t="s">
        <v>396</v>
      </c>
      <c r="E1214" s="5" t="s">
        <v>2184</v>
      </c>
    </row>
    <row r="1215" spans="1:5">
      <c r="A1215" s="2" t="s">
        <v>2194</v>
      </c>
      <c r="B1215" s="5" t="s">
        <v>297</v>
      </c>
      <c r="C1215" s="5" t="s">
        <v>562</v>
      </c>
      <c r="D1215" s="5" t="s">
        <v>396</v>
      </c>
      <c r="E1215" s="5" t="s">
        <v>2184</v>
      </c>
    </row>
    <row r="1216" spans="1:5">
      <c r="A1216" s="2" t="s">
        <v>2195</v>
      </c>
      <c r="B1216" s="5" t="s">
        <v>2196</v>
      </c>
      <c r="C1216" s="5" t="s">
        <v>254</v>
      </c>
      <c r="D1216" s="5" t="s">
        <v>396</v>
      </c>
      <c r="E1216" s="5" t="s">
        <v>2197</v>
      </c>
    </row>
    <row r="1217" spans="1:5">
      <c r="A1217" s="2" t="str">
        <f>B1217&amp;C1217</f>
        <v>MAGA10R-BRXMBD13</v>
      </c>
      <c r="B1217" s="5" t="s">
        <v>2196</v>
      </c>
      <c r="C1217" s="635" t="s">
        <v>536</v>
      </c>
      <c r="D1217" s="5" t="s">
        <v>396</v>
      </c>
      <c r="E1217" s="5" t="s">
        <v>2197</v>
      </c>
    </row>
    <row r="1218" spans="1:5">
      <c r="A1218" s="2" t="str">
        <f>B1218&amp;C1218</f>
        <v>MAGA10R-BRXMBD12</v>
      </c>
      <c r="B1218" s="5" t="s">
        <v>2196</v>
      </c>
      <c r="C1218" s="5">
        <v>12</v>
      </c>
      <c r="D1218" s="5" t="s">
        <v>396</v>
      </c>
      <c r="E1218" s="5" t="s">
        <v>2197</v>
      </c>
    </row>
    <row r="1219" spans="1:5">
      <c r="A1219" s="2" t="str">
        <f>B1219&amp;C1219</f>
        <v>MAGA10R-BRXMBD11</v>
      </c>
      <c r="B1219" s="5" t="s">
        <v>2196</v>
      </c>
      <c r="C1219" s="5">
        <v>11</v>
      </c>
      <c r="D1219" s="5" t="s">
        <v>396</v>
      </c>
      <c r="E1219" s="5" t="s">
        <v>2197</v>
      </c>
    </row>
    <row r="1220" spans="1:5">
      <c r="A1220" s="2" t="s">
        <v>2198</v>
      </c>
      <c r="B1220" s="5" t="s">
        <v>2196</v>
      </c>
      <c r="C1220" s="5">
        <v>10</v>
      </c>
      <c r="D1220" s="5" t="s">
        <v>396</v>
      </c>
      <c r="E1220" s="5" t="s">
        <v>2197</v>
      </c>
    </row>
    <row r="1221" spans="1:5">
      <c r="A1221" s="2" t="s">
        <v>2199</v>
      </c>
      <c r="B1221" s="5" t="s">
        <v>2196</v>
      </c>
      <c r="C1221" s="5" t="s">
        <v>298</v>
      </c>
      <c r="D1221" s="5" t="s">
        <v>396</v>
      </c>
      <c r="E1221" s="5" t="s">
        <v>2197</v>
      </c>
    </row>
    <row r="1222" spans="1:5">
      <c r="A1222" s="2" t="s">
        <v>2200</v>
      </c>
      <c r="B1222" s="3" t="s">
        <v>2196</v>
      </c>
      <c r="C1222" s="3" t="s">
        <v>573</v>
      </c>
      <c r="D1222" s="3" t="s">
        <v>396</v>
      </c>
      <c r="E1222" s="3" t="s">
        <v>2197</v>
      </c>
    </row>
    <row r="1223" spans="1:5">
      <c r="A1223" s="2" t="s">
        <v>2201</v>
      </c>
      <c r="B1223" s="3" t="s">
        <v>2196</v>
      </c>
      <c r="C1223" s="3" t="s">
        <v>550</v>
      </c>
      <c r="D1223" s="3" t="s">
        <v>396</v>
      </c>
      <c r="E1223" s="3" t="s">
        <v>2197</v>
      </c>
    </row>
    <row r="1224" spans="1:5">
      <c r="A1224" s="2" t="s">
        <v>2202</v>
      </c>
      <c r="B1224" s="3" t="s">
        <v>2196</v>
      </c>
      <c r="C1224" s="3" t="s">
        <v>541</v>
      </c>
      <c r="D1224" s="3" t="s">
        <v>396</v>
      </c>
      <c r="E1224" s="3" t="s">
        <v>2197</v>
      </c>
    </row>
    <row r="1225" spans="1:5">
      <c r="A1225" s="2" t="s">
        <v>2203</v>
      </c>
      <c r="B1225" s="3" t="s">
        <v>2196</v>
      </c>
      <c r="C1225" s="3" t="s">
        <v>577</v>
      </c>
      <c r="D1225" s="3" t="s">
        <v>396</v>
      </c>
      <c r="E1225" s="3" t="s">
        <v>2197</v>
      </c>
    </row>
    <row r="1226" spans="1:5">
      <c r="A1226" s="2" t="s">
        <v>2204</v>
      </c>
      <c r="B1226" s="5" t="s">
        <v>2196</v>
      </c>
      <c r="C1226" s="5" t="s">
        <v>558</v>
      </c>
      <c r="D1226" s="5" t="s">
        <v>396</v>
      </c>
      <c r="E1226" s="5" t="s">
        <v>2197</v>
      </c>
    </row>
    <row r="1227" spans="1:5">
      <c r="A1227" s="2" t="s">
        <v>2205</v>
      </c>
      <c r="B1227" s="5" t="s">
        <v>2196</v>
      </c>
      <c r="C1227" s="635" t="s">
        <v>548</v>
      </c>
      <c r="D1227" s="5" t="s">
        <v>396</v>
      </c>
      <c r="E1227" s="5" t="s">
        <v>2197</v>
      </c>
    </row>
    <row r="1228" spans="1:5">
      <c r="A1228" s="2" t="s">
        <v>2206</v>
      </c>
      <c r="B1228" s="5" t="s">
        <v>2196</v>
      </c>
      <c r="C1228" s="635" t="s">
        <v>538</v>
      </c>
      <c r="D1228" s="5" t="s">
        <v>396</v>
      </c>
      <c r="E1228" s="5" t="s">
        <v>2197</v>
      </c>
    </row>
    <row r="1229" spans="1:5">
      <c r="A1229" s="2" t="s">
        <v>2207</v>
      </c>
      <c r="B1229" s="5" t="s">
        <v>2196</v>
      </c>
      <c r="C1229" s="5" t="s">
        <v>562</v>
      </c>
      <c r="D1229" s="5" t="s">
        <v>396</v>
      </c>
      <c r="E1229" s="5" t="s">
        <v>2197</v>
      </c>
    </row>
    <row r="1230" spans="1:5">
      <c r="A1230" s="2" t="s">
        <v>2208</v>
      </c>
      <c r="B1230" s="2" t="s">
        <v>2196</v>
      </c>
      <c r="C1230" s="2" t="s">
        <v>579</v>
      </c>
      <c r="D1230" s="2" t="s">
        <v>396</v>
      </c>
      <c r="E1230" s="2" t="s">
        <v>2197</v>
      </c>
    </row>
    <row r="1231" spans="1:5">
      <c r="A1231" s="2" t="s">
        <v>2209</v>
      </c>
      <c r="B1231" s="5" t="s">
        <v>2196</v>
      </c>
      <c r="C1231" s="5" t="s">
        <v>330</v>
      </c>
      <c r="D1231" s="5" t="s">
        <v>396</v>
      </c>
      <c r="E1231" s="5" t="s">
        <v>2197</v>
      </c>
    </row>
    <row r="1232" spans="1:5">
      <c r="A1232" s="2" t="s">
        <v>2210</v>
      </c>
      <c r="B1232" s="5" t="s">
        <v>2196</v>
      </c>
      <c r="C1232" s="5" t="s">
        <v>527</v>
      </c>
      <c r="D1232" s="5" t="s">
        <v>396</v>
      </c>
      <c r="E1232" s="5" t="s">
        <v>2197</v>
      </c>
    </row>
    <row r="1233" spans="1:5">
      <c r="A1233" s="2" t="s">
        <v>2211</v>
      </c>
      <c r="B1233" s="3" t="s">
        <v>265</v>
      </c>
      <c r="C1233" s="3" t="s">
        <v>254</v>
      </c>
      <c r="D1233" s="3" t="s">
        <v>389</v>
      </c>
      <c r="E1233" s="3" t="s">
        <v>2212</v>
      </c>
    </row>
    <row r="1234" spans="1:5">
      <c r="A1234" s="2" t="str">
        <f>B1234&amp;C1234</f>
        <v>MAGH10R-BPXHBD15</v>
      </c>
      <c r="B1234" s="3" t="s">
        <v>265</v>
      </c>
      <c r="C1234" s="633" t="s">
        <v>1441</v>
      </c>
      <c r="D1234" s="3" t="s">
        <v>389</v>
      </c>
      <c r="E1234" s="3" t="s">
        <v>2212</v>
      </c>
    </row>
    <row r="1235" spans="1:5">
      <c r="A1235" s="2" t="s">
        <v>2213</v>
      </c>
      <c r="B1235" s="3" t="s">
        <v>265</v>
      </c>
      <c r="C1235" s="3" t="s">
        <v>581</v>
      </c>
      <c r="D1235" s="3" t="s">
        <v>389</v>
      </c>
      <c r="E1235" s="3" t="s">
        <v>2212</v>
      </c>
    </row>
    <row r="1236" spans="1:5">
      <c r="A1236" s="2" t="s">
        <v>2214</v>
      </c>
      <c r="B1236" s="3" t="s">
        <v>265</v>
      </c>
      <c r="C1236" s="3">
        <v>14</v>
      </c>
      <c r="D1236" s="3" t="s">
        <v>389</v>
      </c>
      <c r="E1236" s="3" t="s">
        <v>2212</v>
      </c>
    </row>
    <row r="1237" spans="1:5">
      <c r="A1237" s="2" t="s">
        <v>2215</v>
      </c>
      <c r="B1237" s="3" t="s">
        <v>265</v>
      </c>
      <c r="C1237" s="3">
        <v>10</v>
      </c>
      <c r="D1237" s="3" t="s">
        <v>389</v>
      </c>
      <c r="E1237" s="3" t="s">
        <v>2212</v>
      </c>
    </row>
    <row r="1238" spans="1:5">
      <c r="A1238" s="2" t="s">
        <v>2216</v>
      </c>
      <c r="B1238" s="3" t="s">
        <v>265</v>
      </c>
      <c r="C1238" s="3" t="s">
        <v>2217</v>
      </c>
      <c r="D1238" s="3" t="s">
        <v>389</v>
      </c>
      <c r="E1238" s="3" t="s">
        <v>2212</v>
      </c>
    </row>
    <row r="1239" spans="1:5">
      <c r="A1239" s="2" t="s">
        <v>2218</v>
      </c>
      <c r="B1239" s="3" t="s">
        <v>265</v>
      </c>
      <c r="C1239" s="3" t="s">
        <v>1026</v>
      </c>
      <c r="D1239" s="3" t="s">
        <v>389</v>
      </c>
      <c r="E1239" s="3" t="s">
        <v>2212</v>
      </c>
    </row>
    <row r="1240" spans="1:5">
      <c r="A1240" s="2" t="s">
        <v>2219</v>
      </c>
      <c r="B1240" s="3" t="s">
        <v>265</v>
      </c>
      <c r="C1240" s="3" t="s">
        <v>298</v>
      </c>
      <c r="D1240" s="3" t="s">
        <v>389</v>
      </c>
      <c r="E1240" s="3" t="s">
        <v>2212</v>
      </c>
    </row>
    <row r="1241" spans="1:5">
      <c r="A1241" s="2" t="s">
        <v>2220</v>
      </c>
      <c r="B1241" s="3" t="s">
        <v>265</v>
      </c>
      <c r="C1241" s="3" t="s">
        <v>1223</v>
      </c>
      <c r="D1241" s="3" t="s">
        <v>389</v>
      </c>
      <c r="E1241" s="3" t="s">
        <v>2212</v>
      </c>
    </row>
    <row r="1242" spans="1:5">
      <c r="A1242" s="2" t="s">
        <v>2221</v>
      </c>
      <c r="B1242" s="3" t="s">
        <v>265</v>
      </c>
      <c r="C1242" s="3" t="s">
        <v>566</v>
      </c>
      <c r="D1242" s="3" t="s">
        <v>389</v>
      </c>
      <c r="E1242" s="3" t="s">
        <v>2212</v>
      </c>
    </row>
    <row r="1243" spans="1:5">
      <c r="A1243" s="2" t="s">
        <v>2222</v>
      </c>
      <c r="B1243" s="3" t="s">
        <v>265</v>
      </c>
      <c r="C1243" s="3" t="s">
        <v>558</v>
      </c>
      <c r="D1243" s="3" t="s">
        <v>389</v>
      </c>
      <c r="E1243" s="3" t="s">
        <v>2212</v>
      </c>
    </row>
    <row r="1244" spans="1:5">
      <c r="A1244" s="2" t="s">
        <v>2223</v>
      </c>
      <c r="B1244" s="5" t="s">
        <v>265</v>
      </c>
      <c r="C1244" s="5" t="s">
        <v>548</v>
      </c>
      <c r="D1244" s="5" t="s">
        <v>389</v>
      </c>
      <c r="E1244" s="5" t="s">
        <v>2212</v>
      </c>
    </row>
    <row r="1245" spans="1:5">
      <c r="A1245" s="2" t="s">
        <v>2218</v>
      </c>
      <c r="B1245" s="5" t="s">
        <v>265</v>
      </c>
      <c r="C1245" s="5" t="s">
        <v>1026</v>
      </c>
      <c r="D1245" s="5" t="s">
        <v>389</v>
      </c>
      <c r="E1245" s="5" t="s">
        <v>2212</v>
      </c>
    </row>
    <row r="1246" spans="1:5">
      <c r="A1246" s="2" t="s">
        <v>2224</v>
      </c>
      <c r="B1246" t="s">
        <v>265</v>
      </c>
      <c r="C1246" t="s">
        <v>538</v>
      </c>
      <c r="D1246" t="s">
        <v>389</v>
      </c>
      <c r="E1246" t="s">
        <v>2212</v>
      </c>
    </row>
    <row r="1247" spans="1:5">
      <c r="A1247" s="2" t="s">
        <v>2225</v>
      </c>
      <c r="B1247" t="s">
        <v>265</v>
      </c>
      <c r="C1247" t="s">
        <v>573</v>
      </c>
      <c r="D1247" t="s">
        <v>389</v>
      </c>
      <c r="E1247" t="s">
        <v>2212</v>
      </c>
    </row>
    <row r="1248" spans="1:5">
      <c r="A1248" s="2" t="s">
        <v>2226</v>
      </c>
      <c r="B1248" t="s">
        <v>265</v>
      </c>
      <c r="C1248" t="s">
        <v>554</v>
      </c>
      <c r="D1248" s="2" t="s">
        <v>389</v>
      </c>
      <c r="E1248" s="14" t="s">
        <v>2212</v>
      </c>
    </row>
    <row r="1249" spans="1:5">
      <c r="A1249" s="2" t="s">
        <v>2227</v>
      </c>
      <c r="B1249" t="s">
        <v>265</v>
      </c>
      <c r="C1249" t="s">
        <v>550</v>
      </c>
      <c r="D1249" t="s">
        <v>389</v>
      </c>
      <c r="E1249" t="s">
        <v>2212</v>
      </c>
    </row>
    <row r="1250" spans="1:5">
      <c r="A1250" s="2" t="s">
        <v>2228</v>
      </c>
      <c r="B1250" t="s">
        <v>265</v>
      </c>
      <c r="C1250" t="s">
        <v>541</v>
      </c>
      <c r="D1250" t="s">
        <v>389</v>
      </c>
      <c r="E1250" t="s">
        <v>2212</v>
      </c>
    </row>
    <row r="1251" spans="1:5">
      <c r="A1251" s="2" t="s">
        <v>2229</v>
      </c>
      <c r="B1251" t="s">
        <v>265</v>
      </c>
      <c r="C1251" t="s">
        <v>330</v>
      </c>
      <c r="D1251" t="s">
        <v>389</v>
      </c>
      <c r="E1251" t="s">
        <v>2212</v>
      </c>
    </row>
    <row r="1252" spans="1:5">
      <c r="A1252" s="2" t="s">
        <v>2230</v>
      </c>
      <c r="B1252" t="s">
        <v>265</v>
      </c>
      <c r="C1252" t="s">
        <v>527</v>
      </c>
      <c r="D1252" t="s">
        <v>389</v>
      </c>
      <c r="E1252" t="s">
        <v>2212</v>
      </c>
    </row>
    <row r="1253" spans="1:5">
      <c r="A1253" s="2" t="s">
        <v>2231</v>
      </c>
      <c r="B1253" t="s">
        <v>310</v>
      </c>
      <c r="C1253" t="s">
        <v>254</v>
      </c>
      <c r="D1253" t="s">
        <v>389</v>
      </c>
      <c r="E1253" t="s">
        <v>2232</v>
      </c>
    </row>
    <row r="1254" spans="1:5">
      <c r="A1254" s="2" t="s">
        <v>2233</v>
      </c>
      <c r="B1254" t="s">
        <v>310</v>
      </c>
      <c r="C1254" s="632" t="s">
        <v>1223</v>
      </c>
      <c r="D1254" t="s">
        <v>389</v>
      </c>
      <c r="E1254" t="s">
        <v>2232</v>
      </c>
    </row>
    <row r="1255" spans="1:5">
      <c r="A1255" s="2" t="s">
        <v>2234</v>
      </c>
      <c r="B1255" t="s">
        <v>310</v>
      </c>
      <c r="C1255">
        <v>10</v>
      </c>
      <c r="D1255" t="s">
        <v>389</v>
      </c>
      <c r="E1255" t="s">
        <v>2232</v>
      </c>
    </row>
    <row r="1256" spans="1:5">
      <c r="A1256" s="7" t="s">
        <v>2235</v>
      </c>
      <c r="B1256" t="s">
        <v>310</v>
      </c>
      <c r="C1256">
        <v>11</v>
      </c>
      <c r="D1256" t="s">
        <v>389</v>
      </c>
      <c r="E1256" t="s">
        <v>2232</v>
      </c>
    </row>
    <row r="1257" spans="1:5">
      <c r="A1257" s="2" t="s">
        <v>2236</v>
      </c>
      <c r="B1257" t="s">
        <v>310</v>
      </c>
      <c r="C1257" t="s">
        <v>2217</v>
      </c>
      <c r="D1257" t="s">
        <v>389</v>
      </c>
      <c r="E1257" t="s">
        <v>2232</v>
      </c>
    </row>
    <row r="1258" spans="1:5">
      <c r="A1258" s="2" t="s">
        <v>2237</v>
      </c>
      <c r="B1258" t="s">
        <v>310</v>
      </c>
      <c r="C1258" t="s">
        <v>298</v>
      </c>
      <c r="D1258" t="s">
        <v>389</v>
      </c>
      <c r="E1258" t="s">
        <v>2232</v>
      </c>
    </row>
    <row r="1259" spans="1:5">
      <c r="A1259" s="2" t="s">
        <v>2238</v>
      </c>
      <c r="B1259" t="s">
        <v>310</v>
      </c>
      <c r="C1259" t="s">
        <v>330</v>
      </c>
      <c r="D1259" t="s">
        <v>389</v>
      </c>
      <c r="E1259" t="s">
        <v>2232</v>
      </c>
    </row>
    <row r="1260" spans="1:5">
      <c r="A1260" s="2" t="s">
        <v>2239</v>
      </c>
      <c r="B1260" t="s">
        <v>310</v>
      </c>
      <c r="C1260" t="s">
        <v>573</v>
      </c>
      <c r="D1260" t="s">
        <v>389</v>
      </c>
      <c r="E1260" t="s">
        <v>2232</v>
      </c>
    </row>
    <row r="1261" spans="1:5">
      <c r="A1261" s="2" t="s">
        <v>2240</v>
      </c>
      <c r="B1261" t="s">
        <v>310</v>
      </c>
      <c r="C1261" s="632" t="s">
        <v>550</v>
      </c>
      <c r="D1261" t="s">
        <v>389</v>
      </c>
      <c r="E1261" t="s">
        <v>2232</v>
      </c>
    </row>
    <row r="1262" spans="1:5">
      <c r="A1262" s="2" t="s">
        <v>2241</v>
      </c>
      <c r="B1262" t="s">
        <v>310</v>
      </c>
      <c r="C1262" t="s">
        <v>541</v>
      </c>
      <c r="D1262" t="s">
        <v>389</v>
      </c>
      <c r="E1262" t="s">
        <v>2232</v>
      </c>
    </row>
    <row r="1263" spans="1:5">
      <c r="A1263" s="2" t="s">
        <v>2242</v>
      </c>
      <c r="B1263" t="s">
        <v>310</v>
      </c>
      <c r="C1263" t="s">
        <v>577</v>
      </c>
      <c r="D1263" t="s">
        <v>389</v>
      </c>
      <c r="E1263" t="s">
        <v>2232</v>
      </c>
    </row>
    <row r="1264" spans="1:5">
      <c r="A1264" s="2" t="s">
        <v>2243</v>
      </c>
      <c r="B1264" t="s">
        <v>310</v>
      </c>
      <c r="C1264" t="s">
        <v>558</v>
      </c>
      <c r="D1264" t="s">
        <v>389</v>
      </c>
      <c r="E1264" t="s">
        <v>2232</v>
      </c>
    </row>
    <row r="1265" spans="1:5">
      <c r="A1265" s="2" t="s">
        <v>2244</v>
      </c>
      <c r="B1265" t="s">
        <v>310</v>
      </c>
      <c r="C1265" t="s">
        <v>548</v>
      </c>
      <c r="D1265" t="s">
        <v>389</v>
      </c>
      <c r="E1265" t="s">
        <v>2232</v>
      </c>
    </row>
    <row r="1266" spans="1:5">
      <c r="A1266" s="2" t="s">
        <v>2245</v>
      </c>
      <c r="B1266" t="s">
        <v>310</v>
      </c>
      <c r="C1266" t="s">
        <v>552</v>
      </c>
      <c r="D1266" t="s">
        <v>389</v>
      </c>
      <c r="E1266" t="s">
        <v>2232</v>
      </c>
    </row>
    <row r="1267" spans="1:5">
      <c r="A1267" s="2" t="s">
        <v>2246</v>
      </c>
      <c r="B1267" t="s">
        <v>310</v>
      </c>
      <c r="C1267" t="s">
        <v>538</v>
      </c>
      <c r="D1267" t="s">
        <v>389</v>
      </c>
      <c r="E1267" t="s">
        <v>2232</v>
      </c>
    </row>
    <row r="1268" spans="1:5">
      <c r="A1268" s="2" t="s">
        <v>2247</v>
      </c>
      <c r="B1268" t="s">
        <v>310</v>
      </c>
      <c r="C1268" t="s">
        <v>562</v>
      </c>
      <c r="D1268" t="s">
        <v>389</v>
      </c>
      <c r="E1268" t="s">
        <v>2232</v>
      </c>
    </row>
    <row r="1269" spans="1:5">
      <c r="A1269" s="2" t="s">
        <v>2248</v>
      </c>
      <c r="B1269" t="s">
        <v>2249</v>
      </c>
      <c r="C1269" t="s">
        <v>554</v>
      </c>
      <c r="D1269" t="s">
        <v>389</v>
      </c>
      <c r="E1269" t="s">
        <v>2250</v>
      </c>
    </row>
    <row r="1270" spans="1:5">
      <c r="A1270" s="2" t="str">
        <f>B1270&amp;C1270</f>
        <v>MAGH10R-BRXM16</v>
      </c>
      <c r="B1270" t="s">
        <v>2249</v>
      </c>
      <c r="C1270">
        <v>16</v>
      </c>
      <c r="D1270" t="s">
        <v>389</v>
      </c>
      <c r="E1270" t="s">
        <v>2250</v>
      </c>
    </row>
    <row r="1271" spans="1:5">
      <c r="A1271" s="2" t="str">
        <f>B1271&amp;C1271</f>
        <v>MAGH10R-BRXMBD16</v>
      </c>
      <c r="B1271" t="s">
        <v>2248</v>
      </c>
      <c r="C1271">
        <v>16</v>
      </c>
      <c r="D1271" t="s">
        <v>389</v>
      </c>
      <c r="E1271" s="15" t="s">
        <v>2251</v>
      </c>
    </row>
    <row r="1272" spans="1:5">
      <c r="A1272" s="2" t="s">
        <v>2252</v>
      </c>
      <c r="B1272" t="s">
        <v>2249</v>
      </c>
      <c r="C1272">
        <v>14</v>
      </c>
      <c r="D1272" t="s">
        <v>389</v>
      </c>
      <c r="E1272" t="s">
        <v>2250</v>
      </c>
    </row>
    <row r="1273" spans="1:5">
      <c r="A1273" s="2" t="s">
        <v>2253</v>
      </c>
      <c r="B1273" t="s">
        <v>2249</v>
      </c>
      <c r="C1273">
        <v>15</v>
      </c>
      <c r="D1273" t="s">
        <v>389</v>
      </c>
      <c r="E1273" t="s">
        <v>2250</v>
      </c>
    </row>
    <row r="1274" spans="1:5">
      <c r="A1274" s="2" t="s">
        <v>2254</v>
      </c>
      <c r="B1274" t="s">
        <v>2249</v>
      </c>
      <c r="C1274" t="s">
        <v>2217</v>
      </c>
      <c r="D1274" t="s">
        <v>389</v>
      </c>
      <c r="E1274" t="s">
        <v>2250</v>
      </c>
    </row>
    <row r="1275" spans="1:5">
      <c r="A1275" s="2" t="s">
        <v>2255</v>
      </c>
      <c r="B1275" t="s">
        <v>2249</v>
      </c>
      <c r="C1275">
        <v>10</v>
      </c>
      <c r="D1275" t="s">
        <v>389</v>
      </c>
      <c r="E1275" t="s">
        <v>2250</v>
      </c>
    </row>
    <row r="1276" spans="1:5">
      <c r="A1276" s="2" t="s">
        <v>2256</v>
      </c>
      <c r="B1276" t="s">
        <v>2249</v>
      </c>
      <c r="C1276" t="s">
        <v>552</v>
      </c>
      <c r="D1276" t="s">
        <v>389</v>
      </c>
      <c r="E1276" t="s">
        <v>2250</v>
      </c>
    </row>
    <row r="1277" spans="1:5">
      <c r="A1277" s="2" t="s">
        <v>2257</v>
      </c>
      <c r="B1277" t="s">
        <v>2249</v>
      </c>
      <c r="C1277">
        <v>11</v>
      </c>
      <c r="D1277" t="s">
        <v>389</v>
      </c>
      <c r="E1277" t="s">
        <v>2250</v>
      </c>
    </row>
    <row r="1278" spans="1:5">
      <c r="A1278" t="s">
        <v>2258</v>
      </c>
      <c r="B1278" t="s">
        <v>2248</v>
      </c>
      <c r="C1278">
        <v>11</v>
      </c>
      <c r="D1278" t="s">
        <v>389</v>
      </c>
      <c r="E1278" t="s">
        <v>2250</v>
      </c>
    </row>
    <row r="1279" spans="1:5">
      <c r="A1279" t="s">
        <v>2259</v>
      </c>
      <c r="B1279" t="s">
        <v>2248</v>
      </c>
      <c r="C1279" s="6" t="s">
        <v>554</v>
      </c>
      <c r="D1279" t="s">
        <v>389</v>
      </c>
      <c r="E1279" t="s">
        <v>2250</v>
      </c>
    </row>
    <row r="1280" spans="1:5">
      <c r="A1280" s="2" t="s">
        <v>2260</v>
      </c>
      <c r="B1280" t="s">
        <v>2249</v>
      </c>
      <c r="C1280" s="632" t="s">
        <v>1210</v>
      </c>
      <c r="D1280" t="s">
        <v>389</v>
      </c>
      <c r="E1280" t="s">
        <v>2250</v>
      </c>
    </row>
    <row r="1281" spans="1:5">
      <c r="A1281" s="2" t="s">
        <v>2261</v>
      </c>
      <c r="B1281" t="s">
        <v>2248</v>
      </c>
      <c r="C1281" t="s">
        <v>254</v>
      </c>
      <c r="D1281" t="s">
        <v>389</v>
      </c>
      <c r="E1281" t="s">
        <v>2250</v>
      </c>
    </row>
    <row r="1282" spans="1:5">
      <c r="A1282" s="2" t="s">
        <v>2262</v>
      </c>
      <c r="B1282" t="s">
        <v>2248</v>
      </c>
      <c r="C1282" t="s">
        <v>1026</v>
      </c>
      <c r="D1282" t="s">
        <v>389</v>
      </c>
      <c r="E1282" t="s">
        <v>2250</v>
      </c>
    </row>
    <row r="1283" spans="1:5">
      <c r="A1283" s="2" t="s">
        <v>2263</v>
      </c>
      <c r="B1283" t="s">
        <v>2248</v>
      </c>
      <c r="C1283" t="s">
        <v>1223</v>
      </c>
      <c r="D1283" t="s">
        <v>389</v>
      </c>
      <c r="E1283" t="s">
        <v>2250</v>
      </c>
    </row>
    <row r="1284" spans="1:5">
      <c r="A1284" s="2" t="s">
        <v>2264</v>
      </c>
      <c r="B1284" t="s">
        <v>2248</v>
      </c>
      <c r="C1284" t="s">
        <v>298</v>
      </c>
      <c r="D1284" t="s">
        <v>389</v>
      </c>
      <c r="E1284" t="s">
        <v>2250</v>
      </c>
    </row>
    <row r="1285" spans="1:5">
      <c r="A1285" s="2" t="s">
        <v>2265</v>
      </c>
      <c r="B1285" t="s">
        <v>2248</v>
      </c>
      <c r="C1285" t="s">
        <v>558</v>
      </c>
      <c r="D1285" t="s">
        <v>389</v>
      </c>
      <c r="E1285" t="s">
        <v>2250</v>
      </c>
    </row>
    <row r="1286" spans="1:5">
      <c r="A1286" s="2" t="s">
        <v>2266</v>
      </c>
      <c r="B1286" t="s">
        <v>2248</v>
      </c>
      <c r="C1286" t="s">
        <v>548</v>
      </c>
      <c r="D1286" t="s">
        <v>389</v>
      </c>
      <c r="E1286" t="s">
        <v>2250</v>
      </c>
    </row>
    <row r="1287" spans="1:5">
      <c r="A1287" s="2" t="s">
        <v>2267</v>
      </c>
      <c r="B1287" t="s">
        <v>2248</v>
      </c>
      <c r="C1287" t="s">
        <v>538</v>
      </c>
      <c r="D1287" t="s">
        <v>389</v>
      </c>
      <c r="E1287" t="s">
        <v>2250</v>
      </c>
    </row>
    <row r="1288" spans="1:5">
      <c r="A1288" s="2" t="s">
        <v>2268</v>
      </c>
      <c r="B1288" t="s">
        <v>2248</v>
      </c>
      <c r="C1288" t="s">
        <v>573</v>
      </c>
      <c r="D1288" t="s">
        <v>389</v>
      </c>
      <c r="E1288" t="s">
        <v>2250</v>
      </c>
    </row>
    <row r="1289" spans="1:5">
      <c r="A1289" s="2" t="s">
        <v>2269</v>
      </c>
      <c r="B1289" t="s">
        <v>2248</v>
      </c>
      <c r="C1289" t="s">
        <v>550</v>
      </c>
      <c r="D1289" t="s">
        <v>389</v>
      </c>
      <c r="E1289" t="s">
        <v>2250</v>
      </c>
    </row>
    <row r="1290" spans="1:5">
      <c r="A1290" s="2" t="s">
        <v>2270</v>
      </c>
      <c r="B1290" t="s">
        <v>2248</v>
      </c>
      <c r="C1290" t="s">
        <v>541</v>
      </c>
      <c r="D1290" t="s">
        <v>389</v>
      </c>
      <c r="E1290" t="s">
        <v>2250</v>
      </c>
    </row>
    <row r="1291" spans="1:5">
      <c r="A1291" s="2" t="s">
        <v>2271</v>
      </c>
      <c r="B1291" t="s">
        <v>2248</v>
      </c>
      <c r="C1291" t="s">
        <v>330</v>
      </c>
      <c r="D1291" t="s">
        <v>389</v>
      </c>
      <c r="E1291" t="s">
        <v>2250</v>
      </c>
    </row>
    <row r="1292" spans="1:5">
      <c r="A1292" s="2" t="s">
        <v>2272</v>
      </c>
      <c r="B1292" t="s">
        <v>2248</v>
      </c>
      <c r="C1292" t="s">
        <v>527</v>
      </c>
      <c r="D1292" t="s">
        <v>389</v>
      </c>
      <c r="E1292" t="s">
        <v>2250</v>
      </c>
    </row>
    <row r="1293" spans="1:5">
      <c r="A1293" s="2" t="s">
        <v>2273</v>
      </c>
      <c r="B1293" t="s">
        <v>2248</v>
      </c>
      <c r="C1293" t="s">
        <v>1212</v>
      </c>
      <c r="D1293" t="s">
        <v>389</v>
      </c>
      <c r="E1293" t="s">
        <v>2250</v>
      </c>
    </row>
    <row r="1294" spans="1:5">
      <c r="A1294" s="2" t="s">
        <v>2273</v>
      </c>
      <c r="B1294" t="s">
        <v>2248</v>
      </c>
      <c r="C1294" s="632" t="s">
        <v>1210</v>
      </c>
      <c r="D1294" t="s">
        <v>389</v>
      </c>
      <c r="E1294" t="s">
        <v>2250</v>
      </c>
    </row>
    <row r="1295" spans="1:5">
      <c r="A1295" s="2" t="s">
        <v>2274</v>
      </c>
      <c r="B1295" t="s">
        <v>2275</v>
      </c>
      <c r="C1295" t="s">
        <v>254</v>
      </c>
      <c r="D1295" t="s">
        <v>189</v>
      </c>
      <c r="E1295" t="s">
        <v>2276</v>
      </c>
    </row>
    <row r="1296" spans="1:5">
      <c r="A1296" s="2" t="str">
        <f>B1296&amp;C1296</f>
        <v>MZRA90R-BPXRH20</v>
      </c>
      <c r="B1296" t="s">
        <v>2275</v>
      </c>
      <c r="C1296" s="632" t="s">
        <v>556</v>
      </c>
      <c r="D1296" t="s">
        <v>189</v>
      </c>
      <c r="E1296" t="s">
        <v>2276</v>
      </c>
    </row>
    <row r="1297" spans="1:5">
      <c r="A1297" s="7" t="s">
        <v>2277</v>
      </c>
      <c r="B1297" t="s">
        <v>2275</v>
      </c>
      <c r="C1297">
        <v>11</v>
      </c>
      <c r="D1297" t="s">
        <v>189</v>
      </c>
      <c r="E1297" t="s">
        <v>2276</v>
      </c>
    </row>
    <row r="1298" spans="1:5">
      <c r="A1298" s="7" t="str">
        <f>B1298&amp;C1298</f>
        <v>MZRA90R-BPXRH21</v>
      </c>
      <c r="B1298" t="s">
        <v>2275</v>
      </c>
      <c r="C1298" s="632" t="s">
        <v>590</v>
      </c>
      <c r="D1298" t="s">
        <v>189</v>
      </c>
      <c r="E1298" t="s">
        <v>2276</v>
      </c>
    </row>
    <row r="1299" spans="1:5">
      <c r="A1299" s="2" t="s">
        <v>2278</v>
      </c>
      <c r="B1299" t="s">
        <v>2275</v>
      </c>
      <c r="C1299" t="s">
        <v>550</v>
      </c>
      <c r="D1299" t="s">
        <v>189</v>
      </c>
      <c r="E1299" t="s">
        <v>2276</v>
      </c>
    </row>
    <row r="1300" spans="1:5">
      <c r="A1300" s="2" t="str">
        <f>B1300&amp;C1300</f>
        <v>MZRA90R-BPXRH30</v>
      </c>
      <c r="B1300" t="s">
        <v>2275</v>
      </c>
      <c r="C1300" s="632" t="s">
        <v>815</v>
      </c>
      <c r="D1300" t="s">
        <v>189</v>
      </c>
      <c r="E1300" t="s">
        <v>2276</v>
      </c>
    </row>
    <row r="1301" spans="1:5">
      <c r="A1301" s="2" t="s">
        <v>2275</v>
      </c>
      <c r="B1301" t="s">
        <v>2275</v>
      </c>
      <c r="D1301" t="s">
        <v>189</v>
      </c>
      <c r="E1301" t="s">
        <v>2276</v>
      </c>
    </row>
    <row r="1302" spans="1:5">
      <c r="A1302" s="2" t="s">
        <v>2279</v>
      </c>
      <c r="B1302" t="s">
        <v>2275</v>
      </c>
      <c r="C1302" s="632" t="s">
        <v>330</v>
      </c>
      <c r="D1302" t="s">
        <v>189</v>
      </c>
      <c r="E1302" t="s">
        <v>2276</v>
      </c>
    </row>
    <row r="1303" spans="1:5">
      <c r="A1303" s="2" t="s">
        <v>2280</v>
      </c>
      <c r="B1303" t="s">
        <v>2275</v>
      </c>
      <c r="C1303" t="s">
        <v>298</v>
      </c>
      <c r="D1303" t="s">
        <v>189</v>
      </c>
      <c r="E1303" t="s">
        <v>2276</v>
      </c>
    </row>
    <row r="1304" spans="1:5">
      <c r="A1304" s="2" t="s">
        <v>2281</v>
      </c>
      <c r="B1304" t="s">
        <v>2275</v>
      </c>
      <c r="C1304" t="s">
        <v>573</v>
      </c>
      <c r="D1304" t="s">
        <v>189</v>
      </c>
      <c r="E1304" t="s">
        <v>2282</v>
      </c>
    </row>
    <row r="1305" spans="1:5">
      <c r="A1305" s="2" t="s">
        <v>2283</v>
      </c>
      <c r="B1305" t="s">
        <v>2284</v>
      </c>
      <c r="C1305" t="s">
        <v>883</v>
      </c>
      <c r="D1305" t="s">
        <v>2285</v>
      </c>
      <c r="E1305" t="s">
        <v>2286</v>
      </c>
    </row>
    <row r="1306" spans="1:5">
      <c r="A1306" s="2" t="s">
        <v>2287</v>
      </c>
      <c r="B1306" t="s">
        <v>2284</v>
      </c>
      <c r="C1306" t="s">
        <v>254</v>
      </c>
      <c r="D1306" t="s">
        <v>2285</v>
      </c>
      <c r="E1306" t="s">
        <v>2286</v>
      </c>
    </row>
    <row r="1307" spans="1:5">
      <c r="A1307" s="2" t="s">
        <v>2288</v>
      </c>
      <c r="B1307" t="s">
        <v>2289</v>
      </c>
      <c r="C1307" t="s">
        <v>254</v>
      </c>
      <c r="D1307" t="s">
        <v>188</v>
      </c>
      <c r="E1307" t="s">
        <v>2290</v>
      </c>
    </row>
    <row r="1308" spans="1:5">
      <c r="A1308" s="2" t="s">
        <v>2291</v>
      </c>
      <c r="B1308" t="s">
        <v>2289</v>
      </c>
      <c r="C1308" t="s">
        <v>883</v>
      </c>
      <c r="D1308" t="s">
        <v>188</v>
      </c>
      <c r="E1308" t="s">
        <v>2290</v>
      </c>
    </row>
    <row r="1309" spans="1:5">
      <c r="A1309" s="2" t="s">
        <v>2292</v>
      </c>
      <c r="B1309" t="s">
        <v>2293</v>
      </c>
      <c r="C1309" t="s">
        <v>254</v>
      </c>
      <c r="D1309" t="s">
        <v>188</v>
      </c>
      <c r="E1309" t="s">
        <v>2294</v>
      </c>
    </row>
    <row r="1310" spans="1:5">
      <c r="A1310" s="2" t="s">
        <v>2295</v>
      </c>
      <c r="B1310" t="s">
        <v>2293</v>
      </c>
      <c r="C1310" t="s">
        <v>883</v>
      </c>
      <c r="D1310" t="s">
        <v>188</v>
      </c>
      <c r="E1310" t="s">
        <v>2294</v>
      </c>
    </row>
    <row r="1311" spans="1:5">
      <c r="A1311" s="2" t="s">
        <v>2296</v>
      </c>
      <c r="B1311" t="s">
        <v>2297</v>
      </c>
      <c r="C1311" t="s">
        <v>254</v>
      </c>
      <c r="D1311" t="s">
        <v>188</v>
      </c>
      <c r="E1311" t="s">
        <v>2298</v>
      </c>
    </row>
    <row r="1312" spans="1:5">
      <c r="A1312" s="2" t="s">
        <v>2299</v>
      </c>
      <c r="B1312" t="s">
        <v>2297</v>
      </c>
      <c r="C1312" t="s">
        <v>883</v>
      </c>
      <c r="D1312" t="s">
        <v>188</v>
      </c>
      <c r="E1312" t="s">
        <v>2298</v>
      </c>
    </row>
    <row r="1313" spans="1:5">
      <c r="A1313" s="2" t="s">
        <v>2300</v>
      </c>
      <c r="B1313" t="s">
        <v>2301</v>
      </c>
      <c r="C1313" t="s">
        <v>254</v>
      </c>
      <c r="D1313" t="s">
        <v>188</v>
      </c>
      <c r="E1313" t="s">
        <v>2302</v>
      </c>
    </row>
    <row r="1314" spans="1:5">
      <c r="A1314" s="2" t="s">
        <v>2303</v>
      </c>
      <c r="B1314" t="s">
        <v>2301</v>
      </c>
      <c r="C1314" t="s">
        <v>883</v>
      </c>
      <c r="D1314" t="s">
        <v>188</v>
      </c>
      <c r="E1314" t="s">
        <v>2302</v>
      </c>
    </row>
    <row r="1315" spans="1:5">
      <c r="A1315" s="2" t="s">
        <v>2304</v>
      </c>
      <c r="B1315" t="s">
        <v>2305</v>
      </c>
      <c r="C1315" t="s">
        <v>330</v>
      </c>
      <c r="D1315" t="s">
        <v>2285</v>
      </c>
      <c r="E1315" t="s">
        <v>2286</v>
      </c>
    </row>
    <row r="1316" spans="1:5">
      <c r="A1316" s="2" t="s">
        <v>2306</v>
      </c>
      <c r="B1316" t="s">
        <v>2305</v>
      </c>
      <c r="C1316" t="s">
        <v>2307</v>
      </c>
      <c r="D1316" t="s">
        <v>2285</v>
      </c>
      <c r="E1316" t="s">
        <v>2286</v>
      </c>
    </row>
    <row r="1317" spans="1:5">
      <c r="A1317" s="2" t="s">
        <v>2308</v>
      </c>
      <c r="B1317" t="s">
        <v>2305</v>
      </c>
      <c r="C1317" t="s">
        <v>2069</v>
      </c>
      <c r="D1317" t="s">
        <v>2285</v>
      </c>
      <c r="E1317" t="s">
        <v>2286</v>
      </c>
    </row>
    <row r="1318" spans="1:5">
      <c r="A1318" s="2" t="s">
        <v>2309</v>
      </c>
      <c r="B1318" t="s">
        <v>2305</v>
      </c>
      <c r="C1318" t="s">
        <v>254</v>
      </c>
      <c r="D1318" t="s">
        <v>2285</v>
      </c>
      <c r="E1318" t="s">
        <v>2286</v>
      </c>
    </row>
    <row r="1319" spans="1:5">
      <c r="A1319" s="2" t="s">
        <v>2310</v>
      </c>
      <c r="B1319" t="s">
        <v>2305</v>
      </c>
      <c r="C1319" t="s">
        <v>298</v>
      </c>
      <c r="D1319" t="s">
        <v>2285</v>
      </c>
      <c r="E1319" t="s">
        <v>2286</v>
      </c>
    </row>
    <row r="1320" spans="1:5">
      <c r="A1320" s="2" t="s">
        <v>2311</v>
      </c>
      <c r="B1320" t="s">
        <v>2305</v>
      </c>
      <c r="C1320" t="s">
        <v>2062</v>
      </c>
      <c r="D1320" t="s">
        <v>2285</v>
      </c>
      <c r="E1320" t="s">
        <v>2286</v>
      </c>
    </row>
    <row r="1321" spans="1:5">
      <c r="A1321" s="2" t="s">
        <v>2312</v>
      </c>
      <c r="B1321" t="s">
        <v>2305</v>
      </c>
      <c r="C1321" t="s">
        <v>527</v>
      </c>
      <c r="D1321" t="s">
        <v>2285</v>
      </c>
      <c r="E1321" t="s">
        <v>2286</v>
      </c>
    </row>
    <row r="1322" spans="1:5">
      <c r="A1322" s="2" t="s">
        <v>2313</v>
      </c>
      <c r="B1322" t="s">
        <v>2305</v>
      </c>
      <c r="C1322" t="s">
        <v>1026</v>
      </c>
      <c r="D1322" t="s">
        <v>2285</v>
      </c>
      <c r="E1322" t="s">
        <v>2286</v>
      </c>
    </row>
    <row r="1323" spans="1:5">
      <c r="A1323" s="2" t="s">
        <v>2314</v>
      </c>
      <c r="B1323" t="s">
        <v>2315</v>
      </c>
      <c r="C1323" t="s">
        <v>254</v>
      </c>
      <c r="D1323" t="s">
        <v>188</v>
      </c>
      <c r="E1323" t="s">
        <v>2290</v>
      </c>
    </row>
    <row r="1324" spans="1:5">
      <c r="A1324" s="2" t="s">
        <v>2316</v>
      </c>
      <c r="B1324" t="s">
        <v>2315</v>
      </c>
      <c r="C1324" t="s">
        <v>298</v>
      </c>
      <c r="D1324" t="s">
        <v>188</v>
      </c>
      <c r="E1324" t="s">
        <v>2290</v>
      </c>
    </row>
    <row r="1325" spans="1:5">
      <c r="A1325" s="2" t="s">
        <v>2317</v>
      </c>
      <c r="B1325" t="s">
        <v>2315</v>
      </c>
      <c r="C1325" t="s">
        <v>2079</v>
      </c>
      <c r="D1325" t="s">
        <v>188</v>
      </c>
      <c r="E1325" t="s">
        <v>2290</v>
      </c>
    </row>
    <row r="1326" spans="1:5">
      <c r="A1326" s="2" t="s">
        <v>2318</v>
      </c>
      <c r="B1326" t="s">
        <v>2315</v>
      </c>
      <c r="C1326" t="s">
        <v>1639</v>
      </c>
      <c r="D1326" t="s">
        <v>188</v>
      </c>
      <c r="E1326" t="s">
        <v>2290</v>
      </c>
    </row>
    <row r="1327" spans="1:5">
      <c r="A1327" s="2" t="s">
        <v>2319</v>
      </c>
      <c r="B1327" t="s">
        <v>2315</v>
      </c>
      <c r="C1327" t="s">
        <v>2062</v>
      </c>
      <c r="D1327" t="s">
        <v>188</v>
      </c>
      <c r="E1327" t="s">
        <v>2290</v>
      </c>
    </row>
    <row r="1328" spans="1:5">
      <c r="A1328" s="2" t="s">
        <v>2320</v>
      </c>
      <c r="B1328" t="s">
        <v>2315</v>
      </c>
      <c r="C1328" t="s">
        <v>1599</v>
      </c>
      <c r="D1328" t="s">
        <v>188</v>
      </c>
      <c r="E1328" t="s">
        <v>2290</v>
      </c>
    </row>
    <row r="1329" spans="1:5">
      <c r="A1329" s="2" t="s">
        <v>2321</v>
      </c>
      <c r="B1329" t="s">
        <v>2315</v>
      </c>
      <c r="C1329" t="s">
        <v>2069</v>
      </c>
      <c r="D1329" t="s">
        <v>188</v>
      </c>
      <c r="E1329" t="s">
        <v>2290</v>
      </c>
    </row>
    <row r="1330" spans="1:5">
      <c r="A1330" s="2" t="s">
        <v>2322</v>
      </c>
      <c r="B1330" t="s">
        <v>2323</v>
      </c>
      <c r="C1330" t="s">
        <v>254</v>
      </c>
      <c r="D1330" t="s">
        <v>188</v>
      </c>
      <c r="E1330" t="s">
        <v>2294</v>
      </c>
    </row>
    <row r="1331" spans="1:5">
      <c r="A1331" s="2" t="s">
        <v>2324</v>
      </c>
      <c r="B1331" t="s">
        <v>2323</v>
      </c>
      <c r="C1331" t="s">
        <v>2079</v>
      </c>
      <c r="D1331" t="s">
        <v>188</v>
      </c>
      <c r="E1331" t="s">
        <v>2294</v>
      </c>
    </row>
    <row r="1332" spans="1:5">
      <c r="A1332" s="2" t="s">
        <v>2325</v>
      </c>
      <c r="B1332" t="s">
        <v>2323</v>
      </c>
      <c r="C1332" t="s">
        <v>1639</v>
      </c>
      <c r="D1332" t="s">
        <v>188</v>
      </c>
      <c r="E1332" t="s">
        <v>2294</v>
      </c>
    </row>
    <row r="1333" spans="1:5">
      <c r="A1333" s="2" t="s">
        <v>2326</v>
      </c>
      <c r="B1333" t="s">
        <v>2323</v>
      </c>
      <c r="C1333" t="s">
        <v>2069</v>
      </c>
      <c r="D1333" t="s">
        <v>188</v>
      </c>
      <c r="E1333" t="s">
        <v>2294</v>
      </c>
    </row>
    <row r="1334" spans="1:5">
      <c r="A1334" s="2" t="s">
        <v>2327</v>
      </c>
      <c r="B1334" t="s">
        <v>2328</v>
      </c>
      <c r="C1334" t="s">
        <v>254</v>
      </c>
      <c r="D1334" t="s">
        <v>188</v>
      </c>
      <c r="E1334" t="s">
        <v>2298</v>
      </c>
    </row>
    <row r="1335" spans="1:5">
      <c r="A1335" s="2" t="s">
        <v>2329</v>
      </c>
      <c r="B1335" t="s">
        <v>2328</v>
      </c>
      <c r="C1335" t="s">
        <v>298</v>
      </c>
      <c r="D1335" t="s">
        <v>188</v>
      </c>
      <c r="E1335" t="s">
        <v>2298</v>
      </c>
    </row>
    <row r="1336" spans="1:5">
      <c r="A1336" s="2" t="s">
        <v>2330</v>
      </c>
      <c r="B1336" t="s">
        <v>2328</v>
      </c>
      <c r="C1336" t="s">
        <v>2079</v>
      </c>
      <c r="D1336" t="s">
        <v>188</v>
      </c>
      <c r="E1336" t="s">
        <v>2298</v>
      </c>
    </row>
    <row r="1337" spans="1:5">
      <c r="A1337" s="2" t="s">
        <v>2331</v>
      </c>
      <c r="B1337" t="s">
        <v>2328</v>
      </c>
      <c r="C1337" t="s">
        <v>1639</v>
      </c>
      <c r="D1337" t="s">
        <v>188</v>
      </c>
      <c r="E1337" t="s">
        <v>2298</v>
      </c>
    </row>
    <row r="1338" spans="1:5">
      <c r="A1338" s="2" t="s">
        <v>2332</v>
      </c>
      <c r="B1338" t="s">
        <v>2328</v>
      </c>
      <c r="C1338" t="s">
        <v>1599</v>
      </c>
      <c r="D1338" t="s">
        <v>188</v>
      </c>
      <c r="E1338" t="s">
        <v>2298</v>
      </c>
    </row>
    <row r="1339" spans="1:5">
      <c r="A1339" s="2" t="s">
        <v>2333</v>
      </c>
      <c r="B1339" t="s">
        <v>2328</v>
      </c>
      <c r="C1339" t="s">
        <v>2062</v>
      </c>
      <c r="D1339" t="s">
        <v>188</v>
      </c>
      <c r="E1339" t="s">
        <v>2298</v>
      </c>
    </row>
    <row r="1340" spans="1:5">
      <c r="A1340" s="2" t="s">
        <v>2334</v>
      </c>
      <c r="B1340" t="s">
        <v>2328</v>
      </c>
      <c r="C1340" t="s">
        <v>2069</v>
      </c>
      <c r="D1340" t="s">
        <v>188</v>
      </c>
      <c r="E1340" t="s">
        <v>2298</v>
      </c>
    </row>
    <row r="1341" spans="1:5">
      <c r="A1341" s="2" t="s">
        <v>2335</v>
      </c>
      <c r="B1341" t="s">
        <v>2336</v>
      </c>
      <c r="C1341" t="s">
        <v>1969</v>
      </c>
      <c r="D1341" t="s">
        <v>2285</v>
      </c>
      <c r="E1341" t="s">
        <v>2337</v>
      </c>
    </row>
    <row r="1342" spans="1:5">
      <c r="A1342" s="2" t="s">
        <v>2338</v>
      </c>
      <c r="B1342" t="s">
        <v>2336</v>
      </c>
      <c r="C1342" t="s">
        <v>298</v>
      </c>
      <c r="D1342" t="s">
        <v>2285</v>
      </c>
      <c r="E1342" t="s">
        <v>2337</v>
      </c>
    </row>
    <row r="1343" spans="1:5">
      <c r="A1343" s="2" t="s">
        <v>2339</v>
      </c>
      <c r="B1343" t="s">
        <v>2336</v>
      </c>
      <c r="C1343" t="s">
        <v>330</v>
      </c>
      <c r="D1343" t="s">
        <v>2285</v>
      </c>
      <c r="E1343" t="s">
        <v>2337</v>
      </c>
    </row>
    <row r="1344" spans="1:5">
      <c r="A1344" s="2" t="s">
        <v>2340</v>
      </c>
      <c r="B1344" t="s">
        <v>2336</v>
      </c>
      <c r="C1344" t="s">
        <v>527</v>
      </c>
      <c r="D1344" t="s">
        <v>2285</v>
      </c>
      <c r="E1344" t="s">
        <v>2337</v>
      </c>
    </row>
    <row r="1345" spans="1:5">
      <c r="A1345" s="2" t="s">
        <v>2341</v>
      </c>
      <c r="B1345" t="s">
        <v>2336</v>
      </c>
      <c r="C1345" t="s">
        <v>254</v>
      </c>
      <c r="D1345" t="s">
        <v>188</v>
      </c>
      <c r="E1345" t="s">
        <v>2302</v>
      </c>
    </row>
    <row r="1346" spans="1:5">
      <c r="A1346" s="2" t="s">
        <v>2342</v>
      </c>
      <c r="B1346" t="s">
        <v>2336</v>
      </c>
      <c r="C1346" t="s">
        <v>2079</v>
      </c>
      <c r="D1346" t="s">
        <v>188</v>
      </c>
      <c r="E1346" t="s">
        <v>2302</v>
      </c>
    </row>
    <row r="1347" spans="1:5">
      <c r="A1347" s="2" t="s">
        <v>2343</v>
      </c>
      <c r="B1347" t="s">
        <v>2336</v>
      </c>
      <c r="C1347" t="s">
        <v>2069</v>
      </c>
      <c r="D1347" t="s">
        <v>188</v>
      </c>
      <c r="E1347" t="s">
        <v>2302</v>
      </c>
    </row>
    <row r="1348" spans="1:5">
      <c r="A1348" s="2" t="s">
        <v>2344</v>
      </c>
      <c r="B1348" t="s">
        <v>2336</v>
      </c>
      <c r="C1348" t="s">
        <v>1639</v>
      </c>
      <c r="D1348" t="s">
        <v>188</v>
      </c>
      <c r="E1348" t="s">
        <v>2302</v>
      </c>
    </row>
    <row r="1349" spans="1:5">
      <c r="A1349" s="2" t="s">
        <v>2345</v>
      </c>
      <c r="B1349" t="s">
        <v>2346</v>
      </c>
      <c r="C1349" t="s">
        <v>254</v>
      </c>
      <c r="D1349" t="s">
        <v>2347</v>
      </c>
      <c r="E1349" t="s">
        <v>2348</v>
      </c>
    </row>
    <row r="1350" spans="1:5">
      <c r="A1350" s="2" t="s">
        <v>2349</v>
      </c>
      <c r="B1350" t="s">
        <v>2346</v>
      </c>
      <c r="C1350" t="s">
        <v>298</v>
      </c>
      <c r="D1350" t="s">
        <v>2347</v>
      </c>
      <c r="E1350" t="s">
        <v>2348</v>
      </c>
    </row>
    <row r="1351" spans="1:5">
      <c r="A1351" s="2" t="s">
        <v>2350</v>
      </c>
      <c r="B1351" t="s">
        <v>2346</v>
      </c>
      <c r="C1351" t="s">
        <v>1599</v>
      </c>
      <c r="D1351" t="s">
        <v>2347</v>
      </c>
      <c r="E1351" t="s">
        <v>2348</v>
      </c>
    </row>
    <row r="1352" spans="1:5">
      <c r="A1352" s="2" t="s">
        <v>2351</v>
      </c>
      <c r="B1352" t="s">
        <v>2346</v>
      </c>
      <c r="C1352" t="s">
        <v>2062</v>
      </c>
      <c r="D1352" t="s">
        <v>2347</v>
      </c>
      <c r="E1352" t="s">
        <v>2348</v>
      </c>
    </row>
    <row r="1353" spans="1:5">
      <c r="A1353" s="2" t="s">
        <v>2352</v>
      </c>
      <c r="B1353" t="s">
        <v>2353</v>
      </c>
      <c r="C1353" t="s">
        <v>254</v>
      </c>
      <c r="D1353" t="s">
        <v>2347</v>
      </c>
      <c r="E1353" t="s">
        <v>2354</v>
      </c>
    </row>
    <row r="1354" spans="1:5">
      <c r="A1354" s="2" t="s">
        <v>2355</v>
      </c>
      <c r="B1354" t="s">
        <v>2353</v>
      </c>
      <c r="C1354" t="s">
        <v>2079</v>
      </c>
      <c r="D1354" t="s">
        <v>2347</v>
      </c>
      <c r="E1354" t="s">
        <v>2354</v>
      </c>
    </row>
    <row r="1355" spans="1:5">
      <c r="A1355" s="2" t="s">
        <v>2356</v>
      </c>
      <c r="B1355" t="s">
        <v>2353</v>
      </c>
      <c r="C1355" t="s">
        <v>1639</v>
      </c>
      <c r="D1355" t="s">
        <v>2347</v>
      </c>
      <c r="E1355" t="s">
        <v>2354</v>
      </c>
    </row>
    <row r="1356" spans="1:5">
      <c r="A1356" s="2" t="s">
        <v>2357</v>
      </c>
      <c r="B1356" t="s">
        <v>2358</v>
      </c>
      <c r="C1356" t="s">
        <v>254</v>
      </c>
      <c r="D1356" t="s">
        <v>2347</v>
      </c>
      <c r="E1356" t="s">
        <v>2359</v>
      </c>
    </row>
    <row r="1357" spans="1:5">
      <c r="A1357" s="2" t="s">
        <v>2360</v>
      </c>
      <c r="B1357" t="s">
        <v>2358</v>
      </c>
      <c r="C1357" t="s">
        <v>2079</v>
      </c>
      <c r="D1357" t="s">
        <v>2347</v>
      </c>
      <c r="E1357" t="s">
        <v>2359</v>
      </c>
    </row>
    <row r="1358" spans="1:5">
      <c r="A1358" s="2" t="s">
        <v>2361</v>
      </c>
      <c r="B1358" t="s">
        <v>2358</v>
      </c>
      <c r="C1358" t="s">
        <v>1639</v>
      </c>
      <c r="D1358" t="s">
        <v>2347</v>
      </c>
      <c r="E1358" t="s">
        <v>2359</v>
      </c>
    </row>
    <row r="1359" spans="1:5">
      <c r="A1359" s="2" t="s">
        <v>2362</v>
      </c>
      <c r="B1359" t="s">
        <v>2363</v>
      </c>
      <c r="C1359" t="s">
        <v>254</v>
      </c>
      <c r="D1359" t="s">
        <v>2347</v>
      </c>
      <c r="E1359" t="s">
        <v>2364</v>
      </c>
    </row>
    <row r="1360" spans="1:5">
      <c r="A1360" s="2" t="s">
        <v>2365</v>
      </c>
      <c r="B1360" t="s">
        <v>2363</v>
      </c>
      <c r="C1360" t="s">
        <v>298</v>
      </c>
      <c r="D1360" t="s">
        <v>2347</v>
      </c>
      <c r="E1360" t="s">
        <v>2364</v>
      </c>
    </row>
    <row r="1361" spans="1:5">
      <c r="A1361" s="2" t="s">
        <v>2366</v>
      </c>
      <c r="B1361" t="s">
        <v>2363</v>
      </c>
      <c r="C1361" t="s">
        <v>2062</v>
      </c>
      <c r="D1361" t="s">
        <v>2347</v>
      </c>
      <c r="E1361" t="s">
        <v>2364</v>
      </c>
    </row>
    <row r="1362" spans="1:5">
      <c r="A1362" s="2" t="s">
        <v>2367</v>
      </c>
      <c r="B1362" t="s">
        <v>2363</v>
      </c>
      <c r="C1362" t="s">
        <v>1599</v>
      </c>
      <c r="D1362" t="s">
        <v>2347</v>
      </c>
      <c r="E1362" t="s">
        <v>2364</v>
      </c>
    </row>
    <row r="1363" spans="1:5">
      <c r="A1363" s="2" t="s">
        <v>2368</v>
      </c>
      <c r="B1363" t="s">
        <v>2369</v>
      </c>
      <c r="C1363" t="s">
        <v>254</v>
      </c>
      <c r="D1363" t="s">
        <v>2347</v>
      </c>
      <c r="E1363" t="s">
        <v>2370</v>
      </c>
    </row>
    <row r="1364" spans="1:5">
      <c r="A1364" s="2" t="s">
        <v>2371</v>
      </c>
      <c r="B1364" t="s">
        <v>2369</v>
      </c>
      <c r="C1364" t="s">
        <v>1639</v>
      </c>
      <c r="D1364" t="s">
        <v>2347</v>
      </c>
      <c r="E1364" t="s">
        <v>2370</v>
      </c>
    </row>
    <row r="1365" spans="1:5">
      <c r="A1365" s="2" t="s">
        <v>2372</v>
      </c>
      <c r="B1365" t="s">
        <v>2369</v>
      </c>
      <c r="C1365" t="s">
        <v>2079</v>
      </c>
      <c r="D1365" t="s">
        <v>2347</v>
      </c>
      <c r="E1365" t="s">
        <v>2370</v>
      </c>
    </row>
    <row r="1366" spans="1:5">
      <c r="A1366" s="2" t="s">
        <v>2373</v>
      </c>
      <c r="B1366" t="s">
        <v>2374</v>
      </c>
      <c r="C1366" t="s">
        <v>254</v>
      </c>
      <c r="D1366" t="s">
        <v>2347</v>
      </c>
      <c r="E1366" t="s">
        <v>2375</v>
      </c>
    </row>
    <row r="1367" spans="1:5">
      <c r="A1367" s="2" t="s">
        <v>2376</v>
      </c>
      <c r="B1367" t="s">
        <v>2374</v>
      </c>
      <c r="C1367" t="s">
        <v>2079</v>
      </c>
      <c r="D1367" t="s">
        <v>2347</v>
      </c>
      <c r="E1367" t="s">
        <v>2375</v>
      </c>
    </row>
    <row r="1368" spans="1:5">
      <c r="A1368" s="2" t="s">
        <v>2377</v>
      </c>
      <c r="B1368" t="s">
        <v>2374</v>
      </c>
      <c r="C1368" t="s">
        <v>1639</v>
      </c>
      <c r="D1368" t="s">
        <v>2347</v>
      </c>
      <c r="E1368" t="s">
        <v>2375</v>
      </c>
    </row>
    <row r="1369" spans="1:5">
      <c r="A1369" s="2" t="s">
        <v>2378</v>
      </c>
      <c r="B1369" t="s">
        <v>2379</v>
      </c>
      <c r="C1369" t="s">
        <v>530</v>
      </c>
      <c r="D1369" t="s">
        <v>2347</v>
      </c>
      <c r="E1369" t="s">
        <v>2380</v>
      </c>
    </row>
    <row r="1370" spans="1:5">
      <c r="A1370" s="2" t="s">
        <v>2381</v>
      </c>
      <c r="B1370" t="s">
        <v>2379</v>
      </c>
      <c r="C1370" t="s">
        <v>254</v>
      </c>
      <c r="D1370" t="s">
        <v>2347</v>
      </c>
      <c r="E1370" t="s">
        <v>2380</v>
      </c>
    </row>
    <row r="1371" spans="1:5">
      <c r="A1371" s="2" t="s">
        <v>2382</v>
      </c>
      <c r="B1371" t="s">
        <v>2379</v>
      </c>
      <c r="C1371" t="s">
        <v>767</v>
      </c>
      <c r="D1371" t="s">
        <v>2347</v>
      </c>
      <c r="E1371" t="s">
        <v>2380</v>
      </c>
    </row>
    <row r="1372" spans="1:5">
      <c r="A1372" s="2" t="s">
        <v>2383</v>
      </c>
      <c r="B1372" t="s">
        <v>2379</v>
      </c>
      <c r="C1372" t="s">
        <v>556</v>
      </c>
      <c r="D1372" t="s">
        <v>2347</v>
      </c>
      <c r="E1372" t="s">
        <v>2380</v>
      </c>
    </row>
    <row r="1373" spans="1:5">
      <c r="A1373" s="2" t="s">
        <v>2384</v>
      </c>
      <c r="B1373" t="s">
        <v>2379</v>
      </c>
      <c r="C1373" t="s">
        <v>815</v>
      </c>
      <c r="D1373" t="s">
        <v>2347</v>
      </c>
      <c r="E1373" t="s">
        <v>2380</v>
      </c>
    </row>
    <row r="1374" spans="1:5">
      <c r="A1374" s="2" t="s">
        <v>2385</v>
      </c>
      <c r="B1374" t="s">
        <v>2386</v>
      </c>
      <c r="C1374" t="s">
        <v>530</v>
      </c>
      <c r="D1374" t="s">
        <v>2347</v>
      </c>
      <c r="E1374" t="s">
        <v>2354</v>
      </c>
    </row>
    <row r="1375" spans="1:5">
      <c r="A1375" s="2" t="s">
        <v>2387</v>
      </c>
      <c r="B1375" t="s">
        <v>2386</v>
      </c>
      <c r="C1375" t="s">
        <v>767</v>
      </c>
      <c r="D1375" t="s">
        <v>2347</v>
      </c>
      <c r="E1375" t="s">
        <v>2354</v>
      </c>
    </row>
    <row r="1376" spans="1:5">
      <c r="A1376" s="2" t="s">
        <v>2388</v>
      </c>
      <c r="B1376" t="s">
        <v>2386</v>
      </c>
      <c r="C1376" t="s">
        <v>556</v>
      </c>
      <c r="D1376" t="s">
        <v>2347</v>
      </c>
      <c r="E1376" t="s">
        <v>2354</v>
      </c>
    </row>
    <row r="1377" spans="1:5">
      <c r="A1377" s="2" t="s">
        <v>2389</v>
      </c>
      <c r="B1377" t="s">
        <v>2386</v>
      </c>
      <c r="C1377" t="s">
        <v>254</v>
      </c>
      <c r="D1377" t="s">
        <v>2347</v>
      </c>
      <c r="E1377" t="s">
        <v>2375</v>
      </c>
    </row>
    <row r="1378" spans="1:5">
      <c r="A1378" s="2" t="s">
        <v>2390</v>
      </c>
      <c r="B1378" t="s">
        <v>2391</v>
      </c>
      <c r="C1378" t="s">
        <v>530</v>
      </c>
      <c r="D1378" t="s">
        <v>2347</v>
      </c>
      <c r="E1378" t="s">
        <v>2359</v>
      </c>
    </row>
    <row r="1379" spans="1:5">
      <c r="A1379" s="2" t="s">
        <v>2392</v>
      </c>
      <c r="B1379" t="s">
        <v>2391</v>
      </c>
      <c r="C1379" t="s">
        <v>767</v>
      </c>
      <c r="D1379" t="s">
        <v>2347</v>
      </c>
      <c r="E1379" t="s">
        <v>2359</v>
      </c>
    </row>
    <row r="1380" spans="1:5">
      <c r="A1380" s="2" t="s">
        <v>2393</v>
      </c>
      <c r="B1380" t="s">
        <v>2391</v>
      </c>
      <c r="C1380" t="s">
        <v>556</v>
      </c>
      <c r="D1380" t="s">
        <v>2347</v>
      </c>
      <c r="E1380" t="s">
        <v>2359</v>
      </c>
    </row>
    <row r="1381" spans="1:5">
      <c r="A1381" s="2" t="s">
        <v>2394</v>
      </c>
      <c r="B1381" t="s">
        <v>2395</v>
      </c>
      <c r="C1381" t="s">
        <v>530</v>
      </c>
      <c r="D1381" t="s">
        <v>2347</v>
      </c>
      <c r="E1381" t="s">
        <v>2396</v>
      </c>
    </row>
    <row r="1382" spans="1:5">
      <c r="A1382" s="2" t="s">
        <v>2397</v>
      </c>
      <c r="B1382" t="s">
        <v>2395</v>
      </c>
      <c r="C1382" t="s">
        <v>767</v>
      </c>
      <c r="D1382" t="s">
        <v>2347</v>
      </c>
      <c r="E1382" t="s">
        <v>2396</v>
      </c>
    </row>
    <row r="1383" spans="1:5">
      <c r="A1383" s="2" t="s">
        <v>2398</v>
      </c>
      <c r="B1383" t="s">
        <v>2395</v>
      </c>
      <c r="C1383" t="s">
        <v>556</v>
      </c>
      <c r="D1383" t="s">
        <v>2347</v>
      </c>
      <c r="E1383" t="s">
        <v>2396</v>
      </c>
    </row>
    <row r="1384" spans="1:5">
      <c r="A1384" s="2" t="s">
        <v>2399</v>
      </c>
      <c r="B1384" t="s">
        <v>2395</v>
      </c>
      <c r="C1384" t="s">
        <v>886</v>
      </c>
      <c r="D1384" t="s">
        <v>2347</v>
      </c>
      <c r="E1384" t="s">
        <v>2396</v>
      </c>
    </row>
    <row r="1385" spans="1:5">
      <c r="A1385" s="2" t="s">
        <v>2400</v>
      </c>
      <c r="B1385" t="s">
        <v>2395</v>
      </c>
      <c r="C1385" t="s">
        <v>815</v>
      </c>
      <c r="D1385" t="s">
        <v>2347</v>
      </c>
      <c r="E1385" t="s">
        <v>2396</v>
      </c>
    </row>
    <row r="1386" spans="1:5">
      <c r="A1386" s="2" t="s">
        <v>2401</v>
      </c>
      <c r="B1386" t="s">
        <v>2402</v>
      </c>
      <c r="C1386" t="s">
        <v>530</v>
      </c>
      <c r="D1386" t="s">
        <v>2347</v>
      </c>
      <c r="E1386" t="s">
        <v>2370</v>
      </c>
    </row>
    <row r="1387" spans="1:5">
      <c r="A1387" s="2" t="s">
        <v>2403</v>
      </c>
      <c r="B1387" t="s">
        <v>2402</v>
      </c>
      <c r="C1387" t="s">
        <v>767</v>
      </c>
      <c r="D1387" t="s">
        <v>2347</v>
      </c>
      <c r="E1387" t="s">
        <v>2370</v>
      </c>
    </row>
    <row r="1388" spans="1:5">
      <c r="A1388" s="2" t="s">
        <v>2404</v>
      </c>
      <c r="B1388" t="s">
        <v>2402</v>
      </c>
      <c r="C1388" t="s">
        <v>556</v>
      </c>
      <c r="D1388" t="s">
        <v>2347</v>
      </c>
      <c r="E1388" t="s">
        <v>2370</v>
      </c>
    </row>
    <row r="1389" spans="1:5">
      <c r="A1389" s="2" t="s">
        <v>2405</v>
      </c>
      <c r="B1389" t="s">
        <v>2402</v>
      </c>
      <c r="C1389" t="s">
        <v>886</v>
      </c>
      <c r="D1389" t="s">
        <v>2347</v>
      </c>
      <c r="E1389" t="s">
        <v>2370</v>
      </c>
    </row>
    <row r="1390" spans="1:5">
      <c r="A1390" s="2" t="s">
        <v>2406</v>
      </c>
      <c r="B1390" s="3" t="s">
        <v>2402</v>
      </c>
      <c r="C1390" s="3" t="s">
        <v>254</v>
      </c>
      <c r="D1390" s="3" t="s">
        <v>2347</v>
      </c>
      <c r="E1390" s="3" t="s">
        <v>2370</v>
      </c>
    </row>
    <row r="1391" spans="1:5">
      <c r="A1391" s="2" t="s">
        <v>2407</v>
      </c>
      <c r="B1391" s="3" t="s">
        <v>2408</v>
      </c>
      <c r="C1391" s="3" t="s">
        <v>534</v>
      </c>
      <c r="D1391" s="3" t="s">
        <v>2347</v>
      </c>
      <c r="E1391" s="3" t="s">
        <v>2409</v>
      </c>
    </row>
    <row r="1392" spans="1:5">
      <c r="A1392" s="2" t="s">
        <v>2410</v>
      </c>
      <c r="B1392" s="3" t="s">
        <v>2408</v>
      </c>
      <c r="C1392" s="3" t="s">
        <v>532</v>
      </c>
      <c r="D1392" s="3" t="s">
        <v>2347</v>
      </c>
      <c r="E1392" s="3" t="s">
        <v>2409</v>
      </c>
    </row>
    <row r="1393" spans="1:5">
      <c r="A1393" s="2" t="s">
        <v>2411</v>
      </c>
      <c r="B1393" s="3" t="s">
        <v>2408</v>
      </c>
      <c r="C1393" s="3" t="s">
        <v>2412</v>
      </c>
      <c r="D1393" s="3" t="s">
        <v>2347</v>
      </c>
      <c r="E1393" s="3" t="s">
        <v>2409</v>
      </c>
    </row>
    <row r="1394" spans="1:5">
      <c r="A1394" s="2" t="s">
        <v>2413</v>
      </c>
      <c r="B1394" s="3" t="s">
        <v>2408</v>
      </c>
      <c r="C1394" s="3" t="s">
        <v>1556</v>
      </c>
      <c r="D1394" s="3" t="s">
        <v>2347</v>
      </c>
      <c r="E1394" s="3" t="s">
        <v>2409</v>
      </c>
    </row>
    <row r="1395" spans="1:5">
      <c r="A1395" s="2" t="s">
        <v>2414</v>
      </c>
      <c r="B1395" s="3" t="s">
        <v>2408</v>
      </c>
      <c r="C1395" s="3" t="s">
        <v>590</v>
      </c>
      <c r="D1395" s="3" t="s">
        <v>2347</v>
      </c>
      <c r="E1395" s="3" t="s">
        <v>2409</v>
      </c>
    </row>
    <row r="1396" spans="1:5">
      <c r="A1396" s="2" t="s">
        <v>2415</v>
      </c>
      <c r="B1396" s="3" t="s">
        <v>2408</v>
      </c>
      <c r="C1396" s="3" t="s">
        <v>326</v>
      </c>
      <c r="D1396" s="3" t="s">
        <v>2347</v>
      </c>
      <c r="E1396" s="3" t="s">
        <v>2409</v>
      </c>
    </row>
    <row r="1397" spans="1:5">
      <c r="A1397" s="2" t="s">
        <v>2416</v>
      </c>
      <c r="B1397" s="3" t="s">
        <v>2408</v>
      </c>
      <c r="C1397" s="3" t="s">
        <v>889</v>
      </c>
      <c r="D1397" s="3" t="s">
        <v>2347</v>
      </c>
      <c r="E1397" s="3" t="s">
        <v>2409</v>
      </c>
    </row>
    <row r="1398" spans="1:5">
      <c r="A1398" s="2" t="s">
        <v>2417</v>
      </c>
      <c r="B1398" s="3" t="s">
        <v>2408</v>
      </c>
      <c r="C1398" s="3" t="s">
        <v>880</v>
      </c>
      <c r="D1398" s="3" t="s">
        <v>2347</v>
      </c>
      <c r="E1398" s="3" t="s">
        <v>2409</v>
      </c>
    </row>
    <row r="1399" spans="1:5">
      <c r="A1399" s="2" t="s">
        <v>2418</v>
      </c>
      <c r="B1399" s="3" t="s">
        <v>2408</v>
      </c>
      <c r="C1399" s="3" t="s">
        <v>254</v>
      </c>
      <c r="D1399" s="3" t="s">
        <v>2347</v>
      </c>
      <c r="E1399" s="3" t="s">
        <v>2375</v>
      </c>
    </row>
    <row r="1400" spans="1:5">
      <c r="A1400" s="2" t="s">
        <v>2419</v>
      </c>
      <c r="B1400" s="2" t="s">
        <v>2420</v>
      </c>
      <c r="C1400" s="2" t="s">
        <v>883</v>
      </c>
      <c r="D1400" s="2" t="s">
        <v>2285</v>
      </c>
      <c r="E1400" s="2" t="s">
        <v>2286</v>
      </c>
    </row>
    <row r="1401" spans="1:5">
      <c r="A1401" s="2" t="s">
        <v>2421</v>
      </c>
      <c r="B1401" s="2" t="s">
        <v>2420</v>
      </c>
      <c r="C1401" s="2" t="s">
        <v>530</v>
      </c>
      <c r="D1401" s="2" t="s">
        <v>2285</v>
      </c>
      <c r="E1401" s="2" t="s">
        <v>2286</v>
      </c>
    </row>
    <row r="1402" spans="1:5">
      <c r="A1402" s="2" t="s">
        <v>2422</v>
      </c>
      <c r="B1402" s="2" t="s">
        <v>2420</v>
      </c>
      <c r="C1402" s="2" t="s">
        <v>556</v>
      </c>
      <c r="D1402" s="2" t="s">
        <v>2285</v>
      </c>
      <c r="E1402" s="2" t="s">
        <v>2286</v>
      </c>
    </row>
    <row r="1403" spans="1:5">
      <c r="A1403" s="2" t="s">
        <v>2423</v>
      </c>
      <c r="B1403" s="2" t="s">
        <v>2420</v>
      </c>
      <c r="C1403" s="2" t="s">
        <v>815</v>
      </c>
      <c r="D1403" s="2" t="s">
        <v>2285</v>
      </c>
      <c r="E1403" s="2" t="s">
        <v>2286</v>
      </c>
    </row>
    <row r="1404" spans="1:5">
      <c r="A1404" s="2" t="s">
        <v>2424</v>
      </c>
      <c r="B1404" s="2" t="s">
        <v>2425</v>
      </c>
      <c r="C1404" s="2" t="s">
        <v>530</v>
      </c>
      <c r="D1404" s="2" t="s">
        <v>188</v>
      </c>
      <c r="E1404" s="2" t="s">
        <v>2290</v>
      </c>
    </row>
    <row r="1405" spans="1:5">
      <c r="A1405" s="2" t="s">
        <v>2426</v>
      </c>
      <c r="B1405" s="2" t="s">
        <v>2425</v>
      </c>
      <c r="C1405" s="2" t="s">
        <v>254</v>
      </c>
      <c r="D1405" s="2" t="s">
        <v>188</v>
      </c>
      <c r="E1405" s="2" t="s">
        <v>2290</v>
      </c>
    </row>
    <row r="1406" spans="1:5">
      <c r="A1406" s="2" t="s">
        <v>2427</v>
      </c>
      <c r="B1406" s="2" t="s">
        <v>2425</v>
      </c>
      <c r="C1406" s="2" t="s">
        <v>556</v>
      </c>
      <c r="D1406" s="2" t="s">
        <v>188</v>
      </c>
      <c r="E1406" s="2" t="s">
        <v>2290</v>
      </c>
    </row>
    <row r="1407" spans="1:5">
      <c r="A1407" s="2" t="s">
        <v>2428</v>
      </c>
      <c r="B1407" t="s">
        <v>2425</v>
      </c>
      <c r="C1407" t="s">
        <v>590</v>
      </c>
      <c r="D1407" t="s">
        <v>188</v>
      </c>
      <c r="E1407" t="s">
        <v>2290</v>
      </c>
    </row>
    <row r="1408" spans="1:5">
      <c r="A1408" s="2" t="s">
        <v>2429</v>
      </c>
      <c r="B1408" t="s">
        <v>2425</v>
      </c>
      <c r="C1408" t="s">
        <v>767</v>
      </c>
      <c r="D1408" t="s">
        <v>188</v>
      </c>
      <c r="E1408" t="s">
        <v>2290</v>
      </c>
    </row>
    <row r="1409" spans="1:5">
      <c r="A1409" s="2" t="s">
        <v>2430</v>
      </c>
      <c r="B1409" t="s">
        <v>2425</v>
      </c>
      <c r="C1409" t="s">
        <v>1556</v>
      </c>
      <c r="D1409" t="s">
        <v>188</v>
      </c>
      <c r="E1409" t="s">
        <v>2290</v>
      </c>
    </row>
    <row r="1410" spans="1:5">
      <c r="A1410" s="2" t="s">
        <v>2431</v>
      </c>
      <c r="B1410" t="s">
        <v>2432</v>
      </c>
      <c r="C1410" t="s">
        <v>254</v>
      </c>
      <c r="D1410" t="s">
        <v>188</v>
      </c>
      <c r="E1410" t="s">
        <v>2294</v>
      </c>
    </row>
    <row r="1411" spans="1:5">
      <c r="A1411" s="2" t="s">
        <v>2433</v>
      </c>
      <c r="B1411" t="s">
        <v>2432</v>
      </c>
      <c r="C1411" t="s">
        <v>530</v>
      </c>
      <c r="D1411" t="s">
        <v>188</v>
      </c>
      <c r="E1411" t="s">
        <v>2294</v>
      </c>
    </row>
    <row r="1412" spans="1:5">
      <c r="A1412" s="2" t="s">
        <v>2434</v>
      </c>
      <c r="B1412" t="s">
        <v>2432</v>
      </c>
      <c r="C1412" t="s">
        <v>767</v>
      </c>
      <c r="D1412" t="s">
        <v>188</v>
      </c>
      <c r="E1412" t="s">
        <v>2294</v>
      </c>
    </row>
    <row r="1413" spans="1:5">
      <c r="A1413" s="2" t="s">
        <v>2435</v>
      </c>
      <c r="B1413" t="s">
        <v>2432</v>
      </c>
      <c r="C1413" t="s">
        <v>556</v>
      </c>
      <c r="D1413" t="s">
        <v>188</v>
      </c>
      <c r="E1413" t="s">
        <v>2294</v>
      </c>
    </row>
    <row r="1414" spans="1:5">
      <c r="A1414" s="2" t="s">
        <v>2436</v>
      </c>
      <c r="B1414" t="s">
        <v>2432</v>
      </c>
      <c r="C1414" t="s">
        <v>883</v>
      </c>
      <c r="D1414" t="s">
        <v>188</v>
      </c>
      <c r="E1414" t="s">
        <v>2294</v>
      </c>
    </row>
    <row r="1415" spans="1:5">
      <c r="A1415" s="2" t="s">
        <v>2437</v>
      </c>
      <c r="B1415" t="s">
        <v>2432</v>
      </c>
      <c r="C1415" t="s">
        <v>815</v>
      </c>
      <c r="D1415" t="s">
        <v>188</v>
      </c>
      <c r="E1415" t="s">
        <v>2294</v>
      </c>
    </row>
    <row r="1416" spans="1:5">
      <c r="A1416" s="2" t="s">
        <v>2438</v>
      </c>
      <c r="B1416" t="s">
        <v>2439</v>
      </c>
      <c r="C1416" t="s">
        <v>530</v>
      </c>
      <c r="D1416" t="s">
        <v>188</v>
      </c>
      <c r="E1416" t="s">
        <v>2298</v>
      </c>
    </row>
    <row r="1417" spans="1:5">
      <c r="A1417" s="2" t="s">
        <v>2440</v>
      </c>
      <c r="B1417" t="s">
        <v>2439</v>
      </c>
      <c r="C1417" t="s">
        <v>534</v>
      </c>
      <c r="D1417" t="s">
        <v>188</v>
      </c>
      <c r="E1417" t="s">
        <v>2298</v>
      </c>
    </row>
    <row r="1418" spans="1:5">
      <c r="A1418" s="2" t="s">
        <v>2441</v>
      </c>
      <c r="B1418" t="s">
        <v>2439</v>
      </c>
      <c r="C1418" t="s">
        <v>767</v>
      </c>
      <c r="D1418" t="s">
        <v>188</v>
      </c>
      <c r="E1418" t="s">
        <v>2298</v>
      </c>
    </row>
    <row r="1419" spans="1:5">
      <c r="A1419" s="2" t="s">
        <v>2442</v>
      </c>
      <c r="B1419" t="s">
        <v>2439</v>
      </c>
      <c r="C1419" t="s">
        <v>254</v>
      </c>
      <c r="D1419" t="s">
        <v>188</v>
      </c>
      <c r="E1419" t="s">
        <v>2298</v>
      </c>
    </row>
    <row r="1420" spans="1:5">
      <c r="A1420" s="2" t="s">
        <v>2443</v>
      </c>
      <c r="B1420" t="s">
        <v>2439</v>
      </c>
      <c r="C1420" t="s">
        <v>556</v>
      </c>
      <c r="D1420" t="s">
        <v>188</v>
      </c>
      <c r="E1420" t="s">
        <v>2298</v>
      </c>
    </row>
    <row r="1421" spans="1:5">
      <c r="A1421" s="2" t="s">
        <v>2444</v>
      </c>
      <c r="B1421" t="s">
        <v>2439</v>
      </c>
      <c r="C1421" t="s">
        <v>590</v>
      </c>
      <c r="D1421" t="s">
        <v>188</v>
      </c>
      <c r="E1421" t="s">
        <v>2298</v>
      </c>
    </row>
    <row r="1422" spans="1:5">
      <c r="A1422" s="2" t="s">
        <v>2445</v>
      </c>
      <c r="B1422" t="s">
        <v>2439</v>
      </c>
      <c r="C1422" t="s">
        <v>902</v>
      </c>
      <c r="D1422" t="s">
        <v>188</v>
      </c>
      <c r="E1422" t="s">
        <v>2298</v>
      </c>
    </row>
    <row r="1423" spans="1:5">
      <c r="A1423" s="2" t="s">
        <v>2446</v>
      </c>
      <c r="B1423" t="s">
        <v>2439</v>
      </c>
      <c r="C1423" t="s">
        <v>817</v>
      </c>
      <c r="D1423" t="s">
        <v>188</v>
      </c>
      <c r="E1423" t="s">
        <v>2298</v>
      </c>
    </row>
    <row r="1424" spans="1:5">
      <c r="A1424" s="2" t="s">
        <v>2447</v>
      </c>
      <c r="B1424" t="s">
        <v>2439</v>
      </c>
      <c r="C1424" s="632" t="s">
        <v>883</v>
      </c>
      <c r="D1424" t="s">
        <v>188</v>
      </c>
      <c r="E1424" t="s">
        <v>2298</v>
      </c>
    </row>
    <row r="1425" spans="1:5">
      <c r="A1425" s="2" t="s">
        <v>2448</v>
      </c>
      <c r="B1425" t="s">
        <v>2439</v>
      </c>
      <c r="C1425" s="632" t="s">
        <v>1556</v>
      </c>
      <c r="D1425" t="s">
        <v>188</v>
      </c>
      <c r="E1425" t="s">
        <v>2298</v>
      </c>
    </row>
    <row r="1426" spans="1:5">
      <c r="A1426" s="2" t="s">
        <v>2449</v>
      </c>
      <c r="B1426" t="s">
        <v>2450</v>
      </c>
      <c r="C1426" s="632" t="s">
        <v>254</v>
      </c>
      <c r="D1426" t="s">
        <v>188</v>
      </c>
      <c r="E1426" t="s">
        <v>2294</v>
      </c>
    </row>
    <row r="1427" spans="1:5">
      <c r="A1427" s="2" t="s">
        <v>2451</v>
      </c>
      <c r="B1427" t="s">
        <v>2450</v>
      </c>
      <c r="C1427" s="632" t="s">
        <v>883</v>
      </c>
      <c r="D1427" t="s">
        <v>188</v>
      </c>
      <c r="E1427" t="s">
        <v>2294</v>
      </c>
    </row>
    <row r="1428" spans="1:5">
      <c r="A1428" s="2" t="s">
        <v>2452</v>
      </c>
      <c r="B1428" t="s">
        <v>2453</v>
      </c>
      <c r="C1428" s="632" t="s">
        <v>254</v>
      </c>
      <c r="D1428" t="s">
        <v>188</v>
      </c>
      <c r="E1428" t="s">
        <v>2454</v>
      </c>
    </row>
    <row r="1429" spans="1:5">
      <c r="A1429" s="2" t="s">
        <v>2455</v>
      </c>
      <c r="B1429" t="s">
        <v>2453</v>
      </c>
      <c r="C1429" s="632" t="s">
        <v>298</v>
      </c>
      <c r="D1429" t="s">
        <v>188</v>
      </c>
      <c r="E1429" t="s">
        <v>2456</v>
      </c>
    </row>
    <row r="1430" spans="1:5">
      <c r="A1430" s="2" t="s">
        <v>2457</v>
      </c>
      <c r="B1430" t="s">
        <v>2453</v>
      </c>
      <c r="C1430" s="632" t="s">
        <v>883</v>
      </c>
      <c r="D1430" t="s">
        <v>188</v>
      </c>
      <c r="E1430" t="s">
        <v>2454</v>
      </c>
    </row>
    <row r="1431" spans="1:5">
      <c r="A1431" s="2" t="s">
        <v>2458</v>
      </c>
      <c r="B1431" t="s">
        <v>2453</v>
      </c>
      <c r="C1431" t="s">
        <v>902</v>
      </c>
      <c r="D1431" t="s">
        <v>188</v>
      </c>
      <c r="E1431" t="s">
        <v>2456</v>
      </c>
    </row>
    <row r="1432" spans="1:5">
      <c r="A1432" s="2" t="s">
        <v>2459</v>
      </c>
      <c r="B1432" t="s">
        <v>2453</v>
      </c>
      <c r="C1432" t="s">
        <v>330</v>
      </c>
      <c r="D1432" t="s">
        <v>188</v>
      </c>
      <c r="E1432" t="s">
        <v>2454</v>
      </c>
    </row>
    <row r="1433" spans="1:5">
      <c r="A1433" s="2" t="s">
        <v>2460</v>
      </c>
      <c r="B1433" t="s">
        <v>2453</v>
      </c>
      <c r="C1433" t="s">
        <v>527</v>
      </c>
      <c r="D1433" t="s">
        <v>188</v>
      </c>
      <c r="E1433" t="s">
        <v>2456</v>
      </c>
    </row>
    <row r="1434" spans="1:5">
      <c r="A1434" s="2" t="s">
        <v>2461</v>
      </c>
      <c r="B1434" t="s">
        <v>2453</v>
      </c>
      <c r="C1434" t="s">
        <v>911</v>
      </c>
      <c r="D1434" t="s">
        <v>188</v>
      </c>
      <c r="E1434" t="s">
        <v>2454</v>
      </c>
    </row>
    <row r="1435" spans="1:5">
      <c r="A1435" s="2" t="s">
        <v>2462</v>
      </c>
      <c r="B1435" t="s">
        <v>2453</v>
      </c>
      <c r="C1435" t="s">
        <v>909</v>
      </c>
      <c r="D1435" t="s">
        <v>188</v>
      </c>
      <c r="E1435" t="s">
        <v>2456</v>
      </c>
    </row>
    <row r="1436" spans="1:5">
      <c r="A1436" s="2" t="s">
        <v>2463</v>
      </c>
      <c r="B1436" t="s">
        <v>2464</v>
      </c>
      <c r="C1436" t="s">
        <v>254</v>
      </c>
      <c r="D1436" t="s">
        <v>388</v>
      </c>
      <c r="E1436" t="s">
        <v>2465</v>
      </c>
    </row>
    <row r="1437" spans="1:5">
      <c r="A1437" s="2" t="s">
        <v>2466</v>
      </c>
      <c r="B1437" t="s">
        <v>253</v>
      </c>
      <c r="C1437" t="s">
        <v>254</v>
      </c>
      <c r="D1437" t="s">
        <v>388</v>
      </c>
      <c r="E1437" t="s">
        <v>2467</v>
      </c>
    </row>
    <row r="1438" spans="1:5">
      <c r="A1438" s="2" t="s">
        <v>2468</v>
      </c>
      <c r="B1438" t="s">
        <v>253</v>
      </c>
      <c r="C1438">
        <v>11</v>
      </c>
      <c r="D1438" t="s">
        <v>388</v>
      </c>
      <c r="E1438" t="s">
        <v>2467</v>
      </c>
    </row>
    <row r="1439" spans="1:5">
      <c r="A1439" s="2" t="s">
        <v>2469</v>
      </c>
      <c r="B1439" t="s">
        <v>253</v>
      </c>
      <c r="C1439" t="s">
        <v>298</v>
      </c>
      <c r="D1439" t="s">
        <v>388</v>
      </c>
      <c r="E1439" t="s">
        <v>2467</v>
      </c>
    </row>
    <row r="1440" spans="1:5">
      <c r="A1440" s="2" t="s">
        <v>2470</v>
      </c>
      <c r="B1440" t="s">
        <v>253</v>
      </c>
      <c r="C1440" t="s">
        <v>330</v>
      </c>
      <c r="D1440" t="s">
        <v>388</v>
      </c>
      <c r="E1440" t="s">
        <v>2467</v>
      </c>
    </row>
    <row r="1441" spans="1:5">
      <c r="A1441" s="2" t="s">
        <v>2471</v>
      </c>
      <c r="B1441" t="s">
        <v>253</v>
      </c>
      <c r="C1441" t="s">
        <v>527</v>
      </c>
      <c r="D1441" t="s">
        <v>388</v>
      </c>
      <c r="E1441" t="s">
        <v>2467</v>
      </c>
    </row>
    <row r="1442" spans="1:5">
      <c r="A1442" s="2" t="s">
        <v>2472</v>
      </c>
      <c r="B1442" t="s">
        <v>253</v>
      </c>
      <c r="C1442" t="s">
        <v>581</v>
      </c>
      <c r="D1442" t="s">
        <v>388</v>
      </c>
      <c r="E1442" t="s">
        <v>2473</v>
      </c>
    </row>
    <row r="1443" spans="1:5">
      <c r="A1443" s="2" t="s">
        <v>2474</v>
      </c>
      <c r="B1443" t="s">
        <v>2475</v>
      </c>
      <c r="C1443" t="s">
        <v>254</v>
      </c>
      <c r="D1443" t="s">
        <v>388</v>
      </c>
      <c r="E1443" t="s">
        <v>2476</v>
      </c>
    </row>
    <row r="1444" spans="1:5">
      <c r="A1444" s="2" t="s">
        <v>2477</v>
      </c>
      <c r="B1444" t="s">
        <v>2478</v>
      </c>
      <c r="C1444" t="s">
        <v>2069</v>
      </c>
      <c r="D1444" t="s">
        <v>201</v>
      </c>
      <c r="E1444" t="s">
        <v>2479</v>
      </c>
    </row>
    <row r="1445" spans="1:5">
      <c r="A1445" s="2" t="s">
        <v>2480</v>
      </c>
      <c r="B1445" t="s">
        <v>2478</v>
      </c>
      <c r="C1445" t="s">
        <v>1649</v>
      </c>
      <c r="D1445" t="s">
        <v>201</v>
      </c>
      <c r="E1445" t="s">
        <v>2479</v>
      </c>
    </row>
    <row r="1446" spans="1:5">
      <c r="A1446" s="2" t="s">
        <v>2481</v>
      </c>
      <c r="B1446" t="s">
        <v>2478</v>
      </c>
      <c r="C1446" t="s">
        <v>2482</v>
      </c>
      <c r="D1446" t="s">
        <v>201</v>
      </c>
      <c r="E1446" t="s">
        <v>2479</v>
      </c>
    </row>
    <row r="1447" spans="1:5">
      <c r="A1447" s="2" t="s">
        <v>2483</v>
      </c>
      <c r="B1447" t="s">
        <v>2478</v>
      </c>
      <c r="C1447" t="s">
        <v>254</v>
      </c>
      <c r="D1447" t="s">
        <v>201</v>
      </c>
      <c r="E1447" t="s">
        <v>2479</v>
      </c>
    </row>
    <row r="1448" spans="1:5">
      <c r="A1448" s="2" t="s">
        <v>2484</v>
      </c>
      <c r="B1448" t="s">
        <v>2478</v>
      </c>
      <c r="C1448" t="s">
        <v>530</v>
      </c>
      <c r="D1448" t="s">
        <v>201</v>
      </c>
      <c r="E1448" t="s">
        <v>2479</v>
      </c>
    </row>
    <row r="1449" spans="1:5">
      <c r="A1449" s="2" t="s">
        <v>2485</v>
      </c>
      <c r="B1449" t="s">
        <v>2478</v>
      </c>
      <c r="C1449" t="s">
        <v>2079</v>
      </c>
      <c r="D1449" t="s">
        <v>201</v>
      </c>
      <c r="E1449" t="s">
        <v>2479</v>
      </c>
    </row>
    <row r="1450" spans="1:5">
      <c r="A1450" s="2" t="s">
        <v>2486</v>
      </c>
      <c r="B1450" t="s">
        <v>2478</v>
      </c>
      <c r="C1450" t="s">
        <v>1639</v>
      </c>
      <c r="D1450" t="s">
        <v>201</v>
      </c>
      <c r="E1450" t="s">
        <v>2479</v>
      </c>
    </row>
    <row r="1451" spans="1:5">
      <c r="A1451" s="2" t="s">
        <v>2487</v>
      </c>
      <c r="B1451" t="s">
        <v>2478</v>
      </c>
      <c r="C1451" t="s">
        <v>532</v>
      </c>
      <c r="D1451" t="s">
        <v>201</v>
      </c>
      <c r="E1451" t="s">
        <v>2479</v>
      </c>
    </row>
    <row r="1452" spans="1:5">
      <c r="A1452" s="2" t="s">
        <v>2488</v>
      </c>
      <c r="B1452" t="s">
        <v>2489</v>
      </c>
      <c r="C1452" t="s">
        <v>2482</v>
      </c>
      <c r="D1452" t="s">
        <v>201</v>
      </c>
      <c r="E1452" t="s">
        <v>2490</v>
      </c>
    </row>
    <row r="1453" spans="1:5">
      <c r="A1453" s="2" t="s">
        <v>2491</v>
      </c>
      <c r="B1453" t="s">
        <v>2489</v>
      </c>
      <c r="C1453" t="s">
        <v>1649</v>
      </c>
      <c r="D1453" t="s">
        <v>201</v>
      </c>
      <c r="E1453" t="s">
        <v>2490</v>
      </c>
    </row>
    <row r="1454" spans="1:5">
      <c r="A1454" s="2" t="s">
        <v>2492</v>
      </c>
      <c r="B1454" t="s">
        <v>2489</v>
      </c>
      <c r="C1454" t="s">
        <v>2069</v>
      </c>
      <c r="D1454" t="s">
        <v>201</v>
      </c>
      <c r="E1454" t="s">
        <v>2490</v>
      </c>
    </row>
    <row r="1455" spans="1:5">
      <c r="A1455" s="2" t="s">
        <v>2493</v>
      </c>
      <c r="B1455" t="s">
        <v>2489</v>
      </c>
      <c r="C1455" t="s">
        <v>1651</v>
      </c>
      <c r="D1455" t="s">
        <v>201</v>
      </c>
      <c r="E1455" t="s">
        <v>2490</v>
      </c>
    </row>
    <row r="1456" spans="1:5">
      <c r="A1456" s="2" t="s">
        <v>2494</v>
      </c>
      <c r="B1456" t="s">
        <v>2489</v>
      </c>
      <c r="C1456" t="s">
        <v>2495</v>
      </c>
      <c r="D1456" t="s">
        <v>201</v>
      </c>
      <c r="E1456" t="s">
        <v>2490</v>
      </c>
    </row>
    <row r="1457" spans="1:5">
      <c r="A1457" s="2" t="s">
        <v>2496</v>
      </c>
      <c r="B1457" t="s">
        <v>2489</v>
      </c>
      <c r="C1457" t="s">
        <v>254</v>
      </c>
      <c r="D1457" t="s">
        <v>201</v>
      </c>
      <c r="E1457" t="s">
        <v>2490</v>
      </c>
    </row>
    <row r="1458" spans="1:5">
      <c r="A1458" s="2" t="s">
        <v>2497</v>
      </c>
      <c r="B1458" t="s">
        <v>2489</v>
      </c>
      <c r="C1458" t="s">
        <v>530</v>
      </c>
      <c r="D1458" t="s">
        <v>201</v>
      </c>
      <c r="E1458" t="s">
        <v>2490</v>
      </c>
    </row>
    <row r="1459" spans="1:5">
      <c r="A1459" s="2" t="s">
        <v>2498</v>
      </c>
      <c r="B1459" t="s">
        <v>2489</v>
      </c>
      <c r="C1459" t="s">
        <v>534</v>
      </c>
      <c r="D1459" t="s">
        <v>201</v>
      </c>
      <c r="E1459" t="s">
        <v>2490</v>
      </c>
    </row>
    <row r="1460" spans="1:5">
      <c r="A1460" s="2" t="s">
        <v>2499</v>
      </c>
      <c r="B1460" t="s">
        <v>2489</v>
      </c>
      <c r="C1460" t="s">
        <v>2079</v>
      </c>
      <c r="D1460" t="s">
        <v>201</v>
      </c>
      <c r="E1460" t="s">
        <v>2490</v>
      </c>
    </row>
    <row r="1461" spans="1:5">
      <c r="A1461" s="2" t="s">
        <v>2500</v>
      </c>
      <c r="B1461" t="s">
        <v>2489</v>
      </c>
      <c r="C1461" t="s">
        <v>1639</v>
      </c>
      <c r="D1461" t="s">
        <v>201</v>
      </c>
      <c r="E1461" t="s">
        <v>2490</v>
      </c>
    </row>
    <row r="1462" spans="1:5">
      <c r="A1462" s="2" t="s">
        <v>2501</v>
      </c>
      <c r="B1462" t="s">
        <v>2489</v>
      </c>
      <c r="C1462" t="s">
        <v>1599</v>
      </c>
      <c r="D1462" t="s">
        <v>201</v>
      </c>
      <c r="E1462" t="s">
        <v>2490</v>
      </c>
    </row>
    <row r="1463" spans="1:5">
      <c r="A1463" s="2" t="s">
        <v>2502</v>
      </c>
      <c r="B1463" t="s">
        <v>2489</v>
      </c>
      <c r="C1463" t="s">
        <v>532</v>
      </c>
      <c r="D1463" t="s">
        <v>201</v>
      </c>
      <c r="E1463" t="s">
        <v>2490</v>
      </c>
    </row>
    <row r="1464" spans="1:5">
      <c r="A1464" s="2" t="s">
        <v>2503</v>
      </c>
      <c r="B1464" t="s">
        <v>2489</v>
      </c>
      <c r="C1464" t="s">
        <v>536</v>
      </c>
      <c r="D1464" t="s">
        <v>201</v>
      </c>
      <c r="E1464" t="s">
        <v>2490</v>
      </c>
    </row>
    <row r="1465" spans="1:5">
      <c r="A1465" s="2" t="s">
        <v>2504</v>
      </c>
      <c r="B1465" t="s">
        <v>2505</v>
      </c>
      <c r="C1465" t="s">
        <v>2062</v>
      </c>
      <c r="D1465" t="s">
        <v>201</v>
      </c>
      <c r="E1465" t="s">
        <v>2506</v>
      </c>
    </row>
    <row r="1466" spans="1:5">
      <c r="A1466" s="2" t="s">
        <v>2507</v>
      </c>
      <c r="B1466" t="s">
        <v>2505</v>
      </c>
      <c r="C1466" t="s">
        <v>2069</v>
      </c>
      <c r="D1466" t="s">
        <v>201</v>
      </c>
      <c r="E1466" t="s">
        <v>2506</v>
      </c>
    </row>
    <row r="1467" spans="1:5">
      <c r="A1467" s="2" t="s">
        <v>2508</v>
      </c>
      <c r="B1467" t="s">
        <v>2505</v>
      </c>
      <c r="C1467" t="s">
        <v>1649</v>
      </c>
      <c r="D1467" t="s">
        <v>201</v>
      </c>
      <c r="E1467" t="s">
        <v>2506</v>
      </c>
    </row>
    <row r="1468" spans="1:5">
      <c r="A1468" s="2" t="s">
        <v>2509</v>
      </c>
      <c r="B1468" t="s">
        <v>2505</v>
      </c>
      <c r="C1468" t="s">
        <v>2482</v>
      </c>
      <c r="D1468" t="s">
        <v>201</v>
      </c>
      <c r="E1468" t="s">
        <v>2506</v>
      </c>
    </row>
    <row r="1469" spans="1:5">
      <c r="A1469" s="2" t="s">
        <v>2510</v>
      </c>
      <c r="B1469" t="s">
        <v>2505</v>
      </c>
      <c r="C1469" t="s">
        <v>254</v>
      </c>
      <c r="D1469" t="s">
        <v>201</v>
      </c>
      <c r="E1469" t="s">
        <v>2506</v>
      </c>
    </row>
    <row r="1470" spans="1:5">
      <c r="A1470" s="2" t="s">
        <v>2511</v>
      </c>
      <c r="B1470" t="s">
        <v>2505</v>
      </c>
      <c r="C1470" t="s">
        <v>298</v>
      </c>
      <c r="D1470" t="s">
        <v>201</v>
      </c>
      <c r="E1470" t="s">
        <v>2506</v>
      </c>
    </row>
    <row r="1471" spans="1:5">
      <c r="A1471" s="2" t="s">
        <v>2512</v>
      </c>
      <c r="B1471" t="s">
        <v>2505</v>
      </c>
      <c r="C1471" t="s">
        <v>2049</v>
      </c>
      <c r="D1471" t="s">
        <v>201</v>
      </c>
      <c r="E1471" t="s">
        <v>2506</v>
      </c>
    </row>
    <row r="1472" spans="1:5">
      <c r="A1472" s="2" t="s">
        <v>2513</v>
      </c>
      <c r="B1472" t="s">
        <v>2505</v>
      </c>
      <c r="C1472" t="s">
        <v>530</v>
      </c>
      <c r="D1472" t="s">
        <v>201</v>
      </c>
      <c r="E1472" t="s">
        <v>2506</v>
      </c>
    </row>
    <row r="1473" spans="1:5">
      <c r="A1473" s="2" t="s">
        <v>2514</v>
      </c>
      <c r="B1473" t="s">
        <v>2505</v>
      </c>
      <c r="C1473" t="s">
        <v>1639</v>
      </c>
      <c r="D1473" t="s">
        <v>201</v>
      </c>
      <c r="E1473" t="s">
        <v>2506</v>
      </c>
    </row>
    <row r="1474" spans="1:5">
      <c r="A1474" s="2" t="s">
        <v>2515</v>
      </c>
      <c r="B1474" t="s">
        <v>2505</v>
      </c>
      <c r="C1474" t="s">
        <v>532</v>
      </c>
      <c r="D1474" t="s">
        <v>201</v>
      </c>
      <c r="E1474" t="s">
        <v>2506</v>
      </c>
    </row>
    <row r="1475" spans="1:5">
      <c r="A1475" s="2" t="s">
        <v>2516</v>
      </c>
      <c r="B1475" t="s">
        <v>2517</v>
      </c>
      <c r="C1475" t="s">
        <v>254</v>
      </c>
      <c r="D1475" t="s">
        <v>201</v>
      </c>
      <c r="E1475" t="s">
        <v>2518</v>
      </c>
    </row>
    <row r="1476" spans="1:5">
      <c r="A1476" s="2" t="s">
        <v>2519</v>
      </c>
      <c r="B1476" t="s">
        <v>2520</v>
      </c>
      <c r="C1476" t="s">
        <v>254</v>
      </c>
      <c r="D1476" t="s">
        <v>201</v>
      </c>
      <c r="E1476" t="s">
        <v>2521</v>
      </c>
    </row>
    <row r="1477" spans="1:5">
      <c r="A1477" s="2" t="s">
        <v>2522</v>
      </c>
      <c r="B1477" t="s">
        <v>2520</v>
      </c>
      <c r="C1477" t="s">
        <v>298</v>
      </c>
      <c r="D1477" t="s">
        <v>201</v>
      </c>
      <c r="E1477" t="s">
        <v>2521</v>
      </c>
    </row>
    <row r="1478" spans="1:5">
      <c r="A1478" s="2" t="s">
        <v>2523</v>
      </c>
      <c r="B1478" t="s">
        <v>2524</v>
      </c>
      <c r="C1478" t="s">
        <v>254</v>
      </c>
      <c r="D1478" t="s">
        <v>206</v>
      </c>
      <c r="E1478" t="s">
        <v>2525</v>
      </c>
    </row>
    <row r="1479" spans="1:5">
      <c r="A1479" s="2" t="s">
        <v>2526</v>
      </c>
      <c r="B1479" t="s">
        <v>2527</v>
      </c>
      <c r="C1479" t="s">
        <v>254</v>
      </c>
      <c r="D1479" t="s">
        <v>177</v>
      </c>
      <c r="E1479" t="s">
        <v>2528</v>
      </c>
    </row>
    <row r="1480" spans="1:5">
      <c r="A1480" s="2" t="s">
        <v>2529</v>
      </c>
      <c r="B1480" t="s">
        <v>2530</v>
      </c>
      <c r="C1480" t="s">
        <v>254</v>
      </c>
      <c r="D1480" t="s">
        <v>188</v>
      </c>
      <c r="E1480" t="s">
        <v>2531</v>
      </c>
    </row>
    <row r="1481" spans="1:5">
      <c r="A1481" s="2" t="s">
        <v>2532</v>
      </c>
      <c r="B1481" t="s">
        <v>2533</v>
      </c>
      <c r="C1481" t="s">
        <v>2534</v>
      </c>
      <c r="D1481" t="s">
        <v>188</v>
      </c>
      <c r="E1481" t="s">
        <v>2535</v>
      </c>
    </row>
    <row r="1482" spans="1:5">
      <c r="A1482" s="2" t="s">
        <v>2536</v>
      </c>
      <c r="B1482" t="s">
        <v>2537</v>
      </c>
      <c r="C1482" t="s">
        <v>254</v>
      </c>
      <c r="D1482" t="s">
        <v>188</v>
      </c>
      <c r="E1482" t="s">
        <v>2454</v>
      </c>
    </row>
    <row r="1483" spans="1:5">
      <c r="A1483" s="2" t="s">
        <v>2538</v>
      </c>
      <c r="B1483" t="s">
        <v>2539</v>
      </c>
      <c r="C1483" t="s">
        <v>254</v>
      </c>
      <c r="D1483" t="s">
        <v>2347</v>
      </c>
      <c r="E1483" t="s">
        <v>2359</v>
      </c>
    </row>
    <row r="1484" spans="1:5">
      <c r="A1484" s="2" t="s">
        <v>2540</v>
      </c>
      <c r="B1484" t="s">
        <v>2541</v>
      </c>
      <c r="C1484" t="s">
        <v>534</v>
      </c>
      <c r="D1484" t="s">
        <v>2285</v>
      </c>
      <c r="E1484" t="s">
        <v>2542</v>
      </c>
    </row>
    <row r="1485" spans="1:5">
      <c r="A1485" s="2" t="s">
        <v>2543</v>
      </c>
      <c r="B1485" t="s">
        <v>2541</v>
      </c>
      <c r="C1485" t="s">
        <v>530</v>
      </c>
      <c r="D1485" t="s">
        <v>2285</v>
      </c>
      <c r="E1485" t="s">
        <v>2542</v>
      </c>
    </row>
    <row r="1486" spans="1:5">
      <c r="A1486" s="2" t="s">
        <v>2544</v>
      </c>
      <c r="B1486" t="s">
        <v>2541</v>
      </c>
      <c r="C1486" t="s">
        <v>254</v>
      </c>
      <c r="D1486" t="s">
        <v>188</v>
      </c>
      <c r="E1486" t="s">
        <v>2545</v>
      </c>
    </row>
    <row r="1487" spans="1:5">
      <c r="A1487" s="2" t="s">
        <v>2546</v>
      </c>
      <c r="B1487" t="s">
        <v>2547</v>
      </c>
      <c r="C1487" t="s">
        <v>254</v>
      </c>
      <c r="D1487" t="s">
        <v>188</v>
      </c>
      <c r="E1487" t="s">
        <v>2290</v>
      </c>
    </row>
    <row r="1488" spans="1:5">
      <c r="A1488" s="2" t="s">
        <v>2548</v>
      </c>
      <c r="B1488" t="s">
        <v>2547</v>
      </c>
      <c r="C1488" t="s">
        <v>298</v>
      </c>
      <c r="D1488" t="s">
        <v>188</v>
      </c>
      <c r="E1488" t="s">
        <v>2290</v>
      </c>
    </row>
    <row r="1489" spans="1:5">
      <c r="A1489" s="2" t="s">
        <v>2549</v>
      </c>
      <c r="B1489" t="s">
        <v>2547</v>
      </c>
      <c r="C1489" t="s">
        <v>530</v>
      </c>
      <c r="D1489" t="s">
        <v>188</v>
      </c>
      <c r="E1489" t="s">
        <v>2290</v>
      </c>
    </row>
    <row r="1490" spans="1:5">
      <c r="A1490" s="2" t="s">
        <v>2550</v>
      </c>
      <c r="B1490" t="s">
        <v>2547</v>
      </c>
      <c r="C1490" t="s">
        <v>1649</v>
      </c>
      <c r="D1490" t="s">
        <v>188</v>
      </c>
      <c r="E1490" t="s">
        <v>2290</v>
      </c>
    </row>
    <row r="1491" spans="1:5">
      <c r="A1491" s="2" t="s">
        <v>2551</v>
      </c>
      <c r="B1491" t="s">
        <v>2547</v>
      </c>
      <c r="C1491" t="s">
        <v>1651</v>
      </c>
      <c r="D1491" t="s">
        <v>188</v>
      </c>
      <c r="E1491" t="s">
        <v>2290</v>
      </c>
    </row>
    <row r="1492" spans="1:5">
      <c r="A1492" s="2" t="s">
        <v>2552</v>
      </c>
      <c r="B1492" t="s">
        <v>2547</v>
      </c>
      <c r="C1492" t="s">
        <v>1063</v>
      </c>
      <c r="D1492" t="s">
        <v>188</v>
      </c>
      <c r="E1492" t="s">
        <v>2290</v>
      </c>
    </row>
    <row r="1493" spans="1:5">
      <c r="A1493" s="2" t="s">
        <v>2553</v>
      </c>
      <c r="B1493" t="s">
        <v>2554</v>
      </c>
      <c r="C1493" t="s">
        <v>254</v>
      </c>
      <c r="D1493" t="s">
        <v>188</v>
      </c>
      <c r="E1493" t="s">
        <v>2294</v>
      </c>
    </row>
    <row r="1494" spans="1:5">
      <c r="A1494" s="2" t="s">
        <v>2555</v>
      </c>
      <c r="B1494" t="s">
        <v>2554</v>
      </c>
      <c r="C1494" t="s">
        <v>530</v>
      </c>
      <c r="D1494" t="s">
        <v>188</v>
      </c>
      <c r="E1494" t="s">
        <v>2294</v>
      </c>
    </row>
    <row r="1495" spans="1:5">
      <c r="A1495" s="2" t="s">
        <v>2556</v>
      </c>
      <c r="B1495" t="s">
        <v>2554</v>
      </c>
      <c r="C1495" t="s">
        <v>1649</v>
      </c>
      <c r="D1495" t="s">
        <v>188</v>
      </c>
      <c r="E1495" t="s">
        <v>2294</v>
      </c>
    </row>
    <row r="1496" spans="1:5">
      <c r="A1496" s="2" t="s">
        <v>2557</v>
      </c>
      <c r="B1496" t="s">
        <v>2554</v>
      </c>
      <c r="C1496" t="s">
        <v>1063</v>
      </c>
      <c r="D1496" t="s">
        <v>188</v>
      </c>
      <c r="E1496" t="s">
        <v>2294</v>
      </c>
    </row>
    <row r="1497" spans="1:5">
      <c r="A1497" s="2" t="s">
        <v>2558</v>
      </c>
      <c r="B1497" t="s">
        <v>2559</v>
      </c>
      <c r="C1497" t="s">
        <v>530</v>
      </c>
      <c r="D1497" t="s">
        <v>2285</v>
      </c>
      <c r="E1497" t="s">
        <v>2560</v>
      </c>
    </row>
    <row r="1498" spans="1:5">
      <c r="A1498" s="2" t="s">
        <v>2561</v>
      </c>
      <c r="B1498" t="s">
        <v>2559</v>
      </c>
      <c r="C1498" t="s">
        <v>534</v>
      </c>
      <c r="D1498" t="s">
        <v>2285</v>
      </c>
      <c r="E1498" t="s">
        <v>2560</v>
      </c>
    </row>
    <row r="1499" spans="1:5">
      <c r="A1499" s="2" t="s">
        <v>2562</v>
      </c>
      <c r="B1499" t="s">
        <v>2559</v>
      </c>
      <c r="C1499" t="s">
        <v>254</v>
      </c>
      <c r="D1499" t="s">
        <v>2285</v>
      </c>
      <c r="E1499" t="s">
        <v>2560</v>
      </c>
    </row>
    <row r="1500" spans="1:5">
      <c r="A1500" s="2" t="s">
        <v>2563</v>
      </c>
      <c r="B1500" t="s">
        <v>2564</v>
      </c>
      <c r="C1500" t="s">
        <v>530</v>
      </c>
      <c r="D1500" t="s">
        <v>188</v>
      </c>
      <c r="E1500" t="s">
        <v>2454</v>
      </c>
    </row>
    <row r="1501" spans="1:5">
      <c r="A1501" s="2" t="s">
        <v>2565</v>
      </c>
      <c r="B1501" t="s">
        <v>2564</v>
      </c>
      <c r="C1501" t="s">
        <v>1649</v>
      </c>
      <c r="D1501" t="s">
        <v>188</v>
      </c>
      <c r="E1501" t="s">
        <v>2454</v>
      </c>
    </row>
    <row r="1502" spans="1:5">
      <c r="A1502" s="2" t="s">
        <v>2566</v>
      </c>
      <c r="B1502" t="s">
        <v>2564</v>
      </c>
      <c r="C1502" t="s">
        <v>1651</v>
      </c>
      <c r="D1502" t="s">
        <v>188</v>
      </c>
      <c r="E1502" t="s">
        <v>2454</v>
      </c>
    </row>
    <row r="1503" spans="1:5">
      <c r="A1503" s="2" t="s">
        <v>2567</v>
      </c>
      <c r="B1503" t="s">
        <v>2564</v>
      </c>
      <c r="C1503" t="s">
        <v>254</v>
      </c>
      <c r="D1503" t="s">
        <v>188</v>
      </c>
      <c r="E1503" t="s">
        <v>2454</v>
      </c>
    </row>
    <row r="1504" spans="1:5">
      <c r="A1504" s="2" t="s">
        <v>2568</v>
      </c>
      <c r="B1504" t="s">
        <v>2564</v>
      </c>
      <c r="C1504" t="s">
        <v>298</v>
      </c>
      <c r="D1504" t="s">
        <v>188</v>
      </c>
      <c r="E1504" t="s">
        <v>2454</v>
      </c>
    </row>
    <row r="1505" spans="1:5">
      <c r="A1505" s="2" t="s">
        <v>2569</v>
      </c>
      <c r="B1505" t="s">
        <v>2564</v>
      </c>
      <c r="C1505" t="s">
        <v>1063</v>
      </c>
      <c r="D1505" t="s">
        <v>188</v>
      </c>
      <c r="E1505" t="s">
        <v>2454</v>
      </c>
    </row>
    <row r="1506" spans="1:5">
      <c r="A1506" s="2" t="s">
        <v>2570</v>
      </c>
      <c r="B1506" t="s">
        <v>2571</v>
      </c>
      <c r="C1506" t="s">
        <v>530</v>
      </c>
      <c r="D1506" t="s">
        <v>188</v>
      </c>
      <c r="E1506" t="s">
        <v>2572</v>
      </c>
    </row>
    <row r="1507" spans="1:5">
      <c r="A1507" s="2" t="s">
        <v>2573</v>
      </c>
      <c r="B1507" t="s">
        <v>2571</v>
      </c>
      <c r="C1507" t="s">
        <v>1649</v>
      </c>
      <c r="D1507" t="s">
        <v>188</v>
      </c>
      <c r="E1507" t="s">
        <v>2572</v>
      </c>
    </row>
    <row r="1508" spans="1:5">
      <c r="A1508" s="2" t="s">
        <v>2574</v>
      </c>
      <c r="B1508" s="3" t="s">
        <v>2571</v>
      </c>
      <c r="C1508" s="3" t="s">
        <v>254</v>
      </c>
      <c r="D1508" s="3" t="s">
        <v>188</v>
      </c>
      <c r="E1508" s="3" t="s">
        <v>2572</v>
      </c>
    </row>
    <row r="1509" spans="1:5">
      <c r="A1509" s="2" t="s">
        <v>2575</v>
      </c>
      <c r="B1509" s="2" t="s">
        <v>2571</v>
      </c>
      <c r="C1509" s="2" t="s">
        <v>1063</v>
      </c>
      <c r="D1509" s="2" t="s">
        <v>188</v>
      </c>
      <c r="E1509" s="2" t="s">
        <v>2572</v>
      </c>
    </row>
    <row r="1510" spans="1:5">
      <c r="A1510" s="2" t="s">
        <v>2576</v>
      </c>
      <c r="B1510" s="2" t="s">
        <v>2577</v>
      </c>
      <c r="C1510" s="2" t="s">
        <v>254</v>
      </c>
      <c r="D1510" s="2" t="s">
        <v>2347</v>
      </c>
      <c r="E1510" s="2" t="s">
        <v>2348</v>
      </c>
    </row>
    <row r="1511" spans="1:5">
      <c r="A1511" s="2" t="s">
        <v>2578</v>
      </c>
      <c r="B1511" t="s">
        <v>2577</v>
      </c>
      <c r="C1511" t="s">
        <v>1649</v>
      </c>
      <c r="D1511" t="s">
        <v>2347</v>
      </c>
      <c r="E1511" t="s">
        <v>2348</v>
      </c>
    </row>
    <row r="1512" spans="1:5">
      <c r="A1512" s="2" t="s">
        <v>2579</v>
      </c>
      <c r="B1512" t="s">
        <v>2577</v>
      </c>
      <c r="C1512" t="s">
        <v>530</v>
      </c>
      <c r="D1512" t="s">
        <v>2347</v>
      </c>
      <c r="E1512" t="s">
        <v>2348</v>
      </c>
    </row>
    <row r="1513" spans="1:5">
      <c r="A1513" s="2" t="s">
        <v>2580</v>
      </c>
      <c r="B1513" t="s">
        <v>2577</v>
      </c>
      <c r="C1513" t="s">
        <v>590</v>
      </c>
      <c r="D1513" t="s">
        <v>2347</v>
      </c>
      <c r="E1513" t="s">
        <v>2581</v>
      </c>
    </row>
    <row r="1514" spans="1:5">
      <c r="A1514" s="2" t="s">
        <v>2582</v>
      </c>
      <c r="B1514" t="s">
        <v>2577</v>
      </c>
      <c r="C1514" t="s">
        <v>556</v>
      </c>
      <c r="D1514" t="s">
        <v>2347</v>
      </c>
      <c r="E1514" t="s">
        <v>2583</v>
      </c>
    </row>
    <row r="1515" spans="1:5">
      <c r="A1515" s="2" t="s">
        <v>2584</v>
      </c>
      <c r="B1515" t="s">
        <v>2577</v>
      </c>
      <c r="C1515" t="s">
        <v>1697</v>
      </c>
      <c r="D1515" t="s">
        <v>2347</v>
      </c>
      <c r="E1515" t="s">
        <v>2348</v>
      </c>
    </row>
    <row r="1516" spans="1:5">
      <c r="A1516" s="2" t="s">
        <v>2585</v>
      </c>
      <c r="B1516" t="s">
        <v>2577</v>
      </c>
      <c r="C1516" t="s">
        <v>2586</v>
      </c>
      <c r="D1516" t="s">
        <v>2347</v>
      </c>
      <c r="E1516" t="s">
        <v>2583</v>
      </c>
    </row>
    <row r="1517" spans="1:5">
      <c r="A1517" s="2" t="s">
        <v>2587</v>
      </c>
      <c r="B1517" t="s">
        <v>2577</v>
      </c>
      <c r="C1517" t="s">
        <v>1065</v>
      </c>
      <c r="D1517" t="s">
        <v>2347</v>
      </c>
      <c r="E1517" t="s">
        <v>2581</v>
      </c>
    </row>
    <row r="1518" spans="1:5">
      <c r="A1518" s="2" t="s">
        <v>2588</v>
      </c>
      <c r="B1518" t="s">
        <v>2589</v>
      </c>
      <c r="C1518" t="s">
        <v>254</v>
      </c>
      <c r="D1518" t="s">
        <v>2347</v>
      </c>
      <c r="E1518" t="s">
        <v>2354</v>
      </c>
    </row>
    <row r="1519" spans="1:5">
      <c r="A1519" s="2" t="s">
        <v>2590</v>
      </c>
      <c r="B1519" t="s">
        <v>2589</v>
      </c>
      <c r="C1519" t="s">
        <v>1649</v>
      </c>
      <c r="D1519" t="s">
        <v>2347</v>
      </c>
      <c r="E1519" t="s">
        <v>2354</v>
      </c>
    </row>
    <row r="1520" spans="1:5">
      <c r="A1520" s="2" t="s">
        <v>2591</v>
      </c>
      <c r="B1520" t="s">
        <v>2589</v>
      </c>
      <c r="C1520" t="s">
        <v>530</v>
      </c>
      <c r="D1520" t="s">
        <v>2347</v>
      </c>
      <c r="E1520" t="s">
        <v>2354</v>
      </c>
    </row>
    <row r="1521" spans="1:5">
      <c r="A1521" s="2" t="s">
        <v>2592</v>
      </c>
      <c r="B1521" t="s">
        <v>2589</v>
      </c>
      <c r="C1521" t="s">
        <v>1697</v>
      </c>
      <c r="D1521" t="s">
        <v>2347</v>
      </c>
      <c r="E1521" t="s">
        <v>2354</v>
      </c>
    </row>
    <row r="1522" spans="1:5">
      <c r="A1522" s="2" t="s">
        <v>2593</v>
      </c>
      <c r="B1522" t="s">
        <v>2594</v>
      </c>
      <c r="C1522" t="s">
        <v>254</v>
      </c>
      <c r="D1522" t="s">
        <v>2347</v>
      </c>
      <c r="E1522" t="s">
        <v>2359</v>
      </c>
    </row>
    <row r="1523" spans="1:5">
      <c r="A1523" s="2" t="s">
        <v>2595</v>
      </c>
      <c r="B1523" s="5" t="s">
        <v>2594</v>
      </c>
      <c r="C1523" s="5" t="s">
        <v>298</v>
      </c>
      <c r="D1523" s="5" t="s">
        <v>2347</v>
      </c>
      <c r="E1523" s="5" t="s">
        <v>2359</v>
      </c>
    </row>
    <row r="1524" spans="1:5">
      <c r="A1524" s="2" t="s">
        <v>2596</v>
      </c>
      <c r="B1524" t="s">
        <v>2594</v>
      </c>
      <c r="C1524" t="s">
        <v>330</v>
      </c>
      <c r="D1524" t="s">
        <v>2347</v>
      </c>
      <c r="E1524" t="s">
        <v>2359</v>
      </c>
    </row>
    <row r="1525" spans="1:5">
      <c r="A1525" s="2" t="s">
        <v>2597</v>
      </c>
      <c r="B1525" t="s">
        <v>2594</v>
      </c>
      <c r="C1525" t="s">
        <v>527</v>
      </c>
      <c r="D1525" t="s">
        <v>2347</v>
      </c>
      <c r="E1525" t="s">
        <v>2359</v>
      </c>
    </row>
    <row r="1526" spans="1:5">
      <c r="A1526" s="2" t="s">
        <v>2598</v>
      </c>
      <c r="B1526" t="s">
        <v>2594</v>
      </c>
      <c r="C1526" t="s">
        <v>1649</v>
      </c>
      <c r="D1526" t="s">
        <v>2347</v>
      </c>
      <c r="E1526" t="s">
        <v>2359</v>
      </c>
    </row>
    <row r="1527" spans="1:5">
      <c r="A1527" s="2" t="s">
        <v>2599</v>
      </c>
      <c r="B1527" t="s">
        <v>2594</v>
      </c>
      <c r="C1527" t="s">
        <v>1651</v>
      </c>
      <c r="D1527" t="s">
        <v>2347</v>
      </c>
      <c r="E1527" t="s">
        <v>2359</v>
      </c>
    </row>
    <row r="1528" spans="1:5">
      <c r="A1528" s="2" t="s">
        <v>2600</v>
      </c>
      <c r="B1528" t="s">
        <v>2594</v>
      </c>
      <c r="C1528" t="s">
        <v>2482</v>
      </c>
      <c r="D1528" t="s">
        <v>2347</v>
      </c>
      <c r="E1528" t="s">
        <v>2359</v>
      </c>
    </row>
    <row r="1529" spans="1:5">
      <c r="A1529" s="2" t="s">
        <v>2601</v>
      </c>
      <c r="B1529" t="s">
        <v>2594</v>
      </c>
      <c r="C1529" t="s">
        <v>2495</v>
      </c>
      <c r="D1529" t="s">
        <v>2347</v>
      </c>
      <c r="E1529" t="s">
        <v>2359</v>
      </c>
    </row>
    <row r="1530" spans="1:5">
      <c r="A1530" s="2" t="s">
        <v>2602</v>
      </c>
      <c r="B1530" t="s">
        <v>2594</v>
      </c>
      <c r="C1530" t="s">
        <v>530</v>
      </c>
      <c r="D1530" t="s">
        <v>2347</v>
      </c>
      <c r="E1530" t="s">
        <v>2359</v>
      </c>
    </row>
    <row r="1531" spans="1:5">
      <c r="A1531" s="2" t="s">
        <v>2603</v>
      </c>
      <c r="B1531" t="s">
        <v>2594</v>
      </c>
      <c r="C1531" t="s">
        <v>556</v>
      </c>
      <c r="D1531" t="s">
        <v>2347</v>
      </c>
      <c r="E1531" t="s">
        <v>2604</v>
      </c>
    </row>
    <row r="1532" spans="1:5">
      <c r="A1532" s="2" t="s">
        <v>2605</v>
      </c>
      <c r="B1532" t="s">
        <v>2594</v>
      </c>
      <c r="C1532" t="s">
        <v>590</v>
      </c>
      <c r="D1532" t="s">
        <v>2347</v>
      </c>
      <c r="E1532" t="s">
        <v>2606</v>
      </c>
    </row>
    <row r="1533" spans="1:5">
      <c r="A1533" s="2" t="s">
        <v>2607</v>
      </c>
      <c r="B1533" t="s">
        <v>2594</v>
      </c>
      <c r="C1533" t="s">
        <v>1667</v>
      </c>
      <c r="D1533" t="s">
        <v>2347</v>
      </c>
      <c r="E1533" t="s">
        <v>2359</v>
      </c>
    </row>
    <row r="1534" spans="1:5">
      <c r="A1534" s="2" t="s">
        <v>2608</v>
      </c>
      <c r="B1534" t="s">
        <v>2594</v>
      </c>
      <c r="C1534" t="s">
        <v>1669</v>
      </c>
      <c r="D1534" t="s">
        <v>2347</v>
      </c>
      <c r="E1534" t="s">
        <v>2359</v>
      </c>
    </row>
    <row r="1535" spans="1:5">
      <c r="A1535" s="2" t="s">
        <v>2609</v>
      </c>
      <c r="B1535" t="s">
        <v>2594</v>
      </c>
      <c r="C1535" t="s">
        <v>1645</v>
      </c>
      <c r="D1535" t="s">
        <v>2347</v>
      </c>
      <c r="E1535" t="s">
        <v>2359</v>
      </c>
    </row>
    <row r="1536" spans="1:5">
      <c r="A1536" s="2" t="s">
        <v>2610</v>
      </c>
      <c r="B1536" t="s">
        <v>2594</v>
      </c>
      <c r="C1536" t="s">
        <v>2611</v>
      </c>
      <c r="D1536" t="s">
        <v>2347</v>
      </c>
      <c r="E1536" t="s">
        <v>2359</v>
      </c>
    </row>
    <row r="1537" spans="1:5">
      <c r="A1537" s="2" t="s">
        <v>2612</v>
      </c>
      <c r="B1537" t="s">
        <v>2594</v>
      </c>
      <c r="C1537" t="s">
        <v>1697</v>
      </c>
      <c r="D1537" t="s">
        <v>2347</v>
      </c>
      <c r="E1537" t="s">
        <v>2359</v>
      </c>
    </row>
    <row r="1538" spans="1:5">
      <c r="A1538" s="2" t="s">
        <v>2613</v>
      </c>
      <c r="B1538" t="s">
        <v>2594</v>
      </c>
      <c r="C1538" t="s">
        <v>2586</v>
      </c>
      <c r="D1538" t="s">
        <v>2347</v>
      </c>
      <c r="E1538" t="s">
        <v>2604</v>
      </c>
    </row>
    <row r="1539" spans="1:5">
      <c r="A1539" s="2" t="s">
        <v>2614</v>
      </c>
      <c r="B1539" t="s">
        <v>2594</v>
      </c>
      <c r="C1539" t="s">
        <v>1065</v>
      </c>
      <c r="D1539" t="s">
        <v>2347</v>
      </c>
      <c r="E1539" t="s">
        <v>2606</v>
      </c>
    </row>
    <row r="1540" spans="1:5">
      <c r="A1540" s="2" t="s">
        <v>2615</v>
      </c>
      <c r="B1540" t="s">
        <v>2594</v>
      </c>
      <c r="C1540" t="s">
        <v>872</v>
      </c>
      <c r="D1540" t="s">
        <v>2347</v>
      </c>
      <c r="E1540" t="s">
        <v>2359</v>
      </c>
    </row>
    <row r="1541" spans="1:5">
      <c r="A1541" s="2" t="s">
        <v>2616</v>
      </c>
      <c r="B1541" t="s">
        <v>2594</v>
      </c>
      <c r="C1541" t="s">
        <v>817</v>
      </c>
      <c r="D1541" t="s">
        <v>2347</v>
      </c>
      <c r="E1541" t="s">
        <v>2606</v>
      </c>
    </row>
    <row r="1542" spans="1:5">
      <c r="A1542" s="2" t="s">
        <v>2617</v>
      </c>
      <c r="B1542" t="s">
        <v>2594</v>
      </c>
      <c r="C1542" t="s">
        <v>870</v>
      </c>
      <c r="D1542" t="s">
        <v>2347</v>
      </c>
      <c r="E1542" t="s">
        <v>2359</v>
      </c>
    </row>
    <row r="1543" spans="1:5">
      <c r="A1543" s="2" t="s">
        <v>2618</v>
      </c>
      <c r="B1543" t="s">
        <v>2594</v>
      </c>
      <c r="C1543" t="s">
        <v>815</v>
      </c>
      <c r="D1543" t="s">
        <v>2347</v>
      </c>
      <c r="E1543" t="s">
        <v>2359</v>
      </c>
    </row>
    <row r="1544" spans="1:5">
      <c r="A1544" s="2" t="s">
        <v>2619</v>
      </c>
      <c r="B1544" t="s">
        <v>2594</v>
      </c>
      <c r="C1544" t="s">
        <v>1560</v>
      </c>
      <c r="D1544" t="s">
        <v>2347</v>
      </c>
      <c r="E1544" t="s">
        <v>2359</v>
      </c>
    </row>
    <row r="1545" spans="1:5">
      <c r="A1545" s="2" t="s">
        <v>2620</v>
      </c>
      <c r="B1545" t="s">
        <v>2594</v>
      </c>
      <c r="C1545" t="s">
        <v>1556</v>
      </c>
      <c r="D1545" t="s">
        <v>2347</v>
      </c>
      <c r="E1545" t="s">
        <v>2359</v>
      </c>
    </row>
    <row r="1546" spans="1:5">
      <c r="A1546" s="2" t="s">
        <v>2621</v>
      </c>
      <c r="B1546" t="s">
        <v>2594</v>
      </c>
      <c r="C1546" t="s">
        <v>2622</v>
      </c>
      <c r="D1546" t="s">
        <v>2347</v>
      </c>
      <c r="E1546" t="s">
        <v>2359</v>
      </c>
    </row>
    <row r="1547" spans="1:5">
      <c r="A1547" s="2" t="s">
        <v>2623</v>
      </c>
      <c r="B1547" t="s">
        <v>2624</v>
      </c>
      <c r="C1547" t="s">
        <v>254</v>
      </c>
      <c r="D1547" t="s">
        <v>2347</v>
      </c>
      <c r="E1547" t="s">
        <v>2625</v>
      </c>
    </row>
    <row r="1548" spans="1:5">
      <c r="A1548" s="2" t="s">
        <v>2626</v>
      </c>
      <c r="B1548" s="3" t="s">
        <v>2624</v>
      </c>
      <c r="C1548" s="3" t="s">
        <v>1649</v>
      </c>
      <c r="D1548" s="3" t="s">
        <v>2347</v>
      </c>
      <c r="E1548" s="3" t="s">
        <v>2625</v>
      </c>
    </row>
    <row r="1549" spans="1:5">
      <c r="A1549" s="2" t="s">
        <v>2627</v>
      </c>
      <c r="B1549" s="3" t="s">
        <v>2624</v>
      </c>
      <c r="C1549" s="3" t="s">
        <v>530</v>
      </c>
      <c r="D1549" s="3" t="s">
        <v>2347</v>
      </c>
      <c r="E1549" s="3" t="s">
        <v>2625</v>
      </c>
    </row>
    <row r="1550" spans="1:5">
      <c r="A1550" s="2" t="s">
        <v>2628</v>
      </c>
      <c r="B1550" s="3" t="s">
        <v>2624</v>
      </c>
      <c r="C1550" s="3" t="s">
        <v>556</v>
      </c>
      <c r="D1550" s="3" t="s">
        <v>2347</v>
      </c>
      <c r="E1550" s="3" t="s">
        <v>2629</v>
      </c>
    </row>
    <row r="1551" spans="1:5">
      <c r="A1551" s="2" t="s">
        <v>2630</v>
      </c>
      <c r="B1551" s="3" t="s">
        <v>2624</v>
      </c>
      <c r="C1551" s="3" t="s">
        <v>590</v>
      </c>
      <c r="D1551" s="3" t="s">
        <v>2347</v>
      </c>
      <c r="E1551" s="3" t="s">
        <v>2631</v>
      </c>
    </row>
    <row r="1552" spans="1:5">
      <c r="A1552" s="2" t="s">
        <v>2632</v>
      </c>
      <c r="B1552" s="16" t="s">
        <v>2624</v>
      </c>
      <c r="C1552" s="16" t="s">
        <v>1697</v>
      </c>
      <c r="D1552" s="16" t="s">
        <v>2347</v>
      </c>
      <c r="E1552" s="16" t="s">
        <v>2625</v>
      </c>
    </row>
    <row r="1553" spans="1:5">
      <c r="A1553" s="2" t="s">
        <v>2633</v>
      </c>
      <c r="B1553" s="16" t="s">
        <v>2624</v>
      </c>
      <c r="C1553" s="16" t="s">
        <v>2586</v>
      </c>
      <c r="D1553" s="16" t="s">
        <v>2347</v>
      </c>
      <c r="E1553" s="16" t="s">
        <v>2629</v>
      </c>
    </row>
    <row r="1554" spans="1:5">
      <c r="A1554" s="2" t="s">
        <v>2634</v>
      </c>
      <c r="B1554" s="2" t="s">
        <v>2624</v>
      </c>
      <c r="C1554" s="2" t="s">
        <v>2635</v>
      </c>
      <c r="D1554" s="2" t="s">
        <v>2347</v>
      </c>
      <c r="E1554" s="2" t="s">
        <v>2631</v>
      </c>
    </row>
    <row r="1555" spans="1:5">
      <c r="A1555" s="2" t="s">
        <v>2636</v>
      </c>
      <c r="B1555" s="2" t="s">
        <v>2637</v>
      </c>
      <c r="C1555" s="2" t="s">
        <v>254</v>
      </c>
      <c r="D1555" s="2" t="s">
        <v>2347</v>
      </c>
      <c r="E1555" s="2" t="s">
        <v>2638</v>
      </c>
    </row>
    <row r="1556" spans="1:5">
      <c r="A1556" s="2" t="s">
        <v>2639</v>
      </c>
      <c r="B1556" s="2" t="s">
        <v>2637</v>
      </c>
      <c r="C1556" s="2" t="s">
        <v>1649</v>
      </c>
      <c r="D1556" s="2" t="s">
        <v>2347</v>
      </c>
      <c r="E1556" s="2" t="s">
        <v>2638</v>
      </c>
    </row>
    <row r="1557" spans="1:5">
      <c r="A1557" s="2" t="s">
        <v>2640</v>
      </c>
      <c r="B1557" s="2" t="s">
        <v>2637</v>
      </c>
      <c r="C1557" s="2" t="s">
        <v>530</v>
      </c>
      <c r="D1557" s="2" t="s">
        <v>2347</v>
      </c>
      <c r="E1557" s="2" t="s">
        <v>2638</v>
      </c>
    </row>
    <row r="1558" spans="1:5">
      <c r="A1558" s="2" t="s">
        <v>2641</v>
      </c>
      <c r="B1558" t="s">
        <v>2637</v>
      </c>
      <c r="C1558" t="s">
        <v>1697</v>
      </c>
      <c r="D1558" t="s">
        <v>2347</v>
      </c>
      <c r="E1558" t="s">
        <v>2638</v>
      </c>
    </row>
    <row r="1559" spans="1:5">
      <c r="A1559" s="2" t="s">
        <v>2642</v>
      </c>
      <c r="B1559" t="s">
        <v>2643</v>
      </c>
      <c r="C1559" t="s">
        <v>298</v>
      </c>
      <c r="D1559" t="s">
        <v>396</v>
      </c>
      <c r="E1559" t="s">
        <v>2184</v>
      </c>
    </row>
    <row r="1560" spans="1:5">
      <c r="A1560" s="2" t="s">
        <v>2644</v>
      </c>
      <c r="B1560" t="s">
        <v>2643</v>
      </c>
      <c r="C1560" t="s">
        <v>254</v>
      </c>
      <c r="D1560" t="s">
        <v>2347</v>
      </c>
      <c r="E1560" t="s">
        <v>2645</v>
      </c>
    </row>
    <row r="1561" spans="1:5">
      <c r="A1561" s="2" t="s">
        <v>2642</v>
      </c>
      <c r="B1561" t="s">
        <v>2643</v>
      </c>
      <c r="C1561" t="s">
        <v>298</v>
      </c>
      <c r="D1561" t="s">
        <v>2347</v>
      </c>
      <c r="E1561" t="s">
        <v>2645</v>
      </c>
    </row>
    <row r="1562" spans="1:5">
      <c r="A1562" s="2" t="s">
        <v>2646</v>
      </c>
      <c r="B1562" t="s">
        <v>2643</v>
      </c>
      <c r="C1562" t="s">
        <v>330</v>
      </c>
      <c r="D1562" t="s">
        <v>2347</v>
      </c>
      <c r="E1562" t="s">
        <v>2645</v>
      </c>
    </row>
    <row r="1563" spans="1:5">
      <c r="A1563" s="2" t="s">
        <v>2647</v>
      </c>
      <c r="B1563" t="s">
        <v>2643</v>
      </c>
      <c r="C1563" t="s">
        <v>527</v>
      </c>
      <c r="D1563" t="s">
        <v>2347</v>
      </c>
      <c r="E1563" t="s">
        <v>2645</v>
      </c>
    </row>
    <row r="1564" spans="1:5">
      <c r="A1564" s="2" t="s">
        <v>2648</v>
      </c>
      <c r="B1564" t="s">
        <v>2643</v>
      </c>
      <c r="C1564" t="s">
        <v>1649</v>
      </c>
      <c r="D1564" t="s">
        <v>2347</v>
      </c>
      <c r="E1564" t="s">
        <v>2645</v>
      </c>
    </row>
    <row r="1565" spans="1:5">
      <c r="A1565" s="2" t="s">
        <v>2649</v>
      </c>
      <c r="B1565" t="s">
        <v>2643</v>
      </c>
      <c r="C1565" t="s">
        <v>1651</v>
      </c>
      <c r="D1565" t="s">
        <v>2347</v>
      </c>
      <c r="E1565" t="s">
        <v>2645</v>
      </c>
    </row>
    <row r="1566" spans="1:5">
      <c r="A1566" s="2" t="s">
        <v>2650</v>
      </c>
      <c r="B1566" t="s">
        <v>2643</v>
      </c>
      <c r="C1566" t="s">
        <v>2482</v>
      </c>
      <c r="D1566" t="s">
        <v>2347</v>
      </c>
      <c r="E1566" t="s">
        <v>2645</v>
      </c>
    </row>
    <row r="1567" spans="1:5">
      <c r="A1567" s="2" t="s">
        <v>2651</v>
      </c>
      <c r="B1567" t="s">
        <v>2643</v>
      </c>
      <c r="C1567" t="s">
        <v>2495</v>
      </c>
      <c r="D1567" t="s">
        <v>2347</v>
      </c>
      <c r="E1567" t="s">
        <v>2645</v>
      </c>
    </row>
    <row r="1568" spans="1:5">
      <c r="A1568" s="2" t="s">
        <v>2652</v>
      </c>
      <c r="B1568" t="s">
        <v>2643</v>
      </c>
      <c r="C1568" t="s">
        <v>530</v>
      </c>
      <c r="D1568" t="s">
        <v>2347</v>
      </c>
      <c r="E1568" t="s">
        <v>2645</v>
      </c>
    </row>
    <row r="1569" spans="1:5">
      <c r="A1569" s="2" t="s">
        <v>2653</v>
      </c>
      <c r="B1569" t="s">
        <v>2643</v>
      </c>
      <c r="C1569" t="s">
        <v>556</v>
      </c>
      <c r="D1569" t="s">
        <v>2347</v>
      </c>
      <c r="E1569" t="s">
        <v>2654</v>
      </c>
    </row>
    <row r="1570" spans="1:5">
      <c r="A1570" s="2" t="s">
        <v>2655</v>
      </c>
      <c r="B1570" t="s">
        <v>2643</v>
      </c>
      <c r="C1570" t="s">
        <v>590</v>
      </c>
      <c r="D1570" t="s">
        <v>2347</v>
      </c>
      <c r="E1570" t="s">
        <v>2656</v>
      </c>
    </row>
    <row r="1571" spans="1:5">
      <c r="A1571" s="2" t="s">
        <v>2657</v>
      </c>
      <c r="B1571" t="s">
        <v>2643</v>
      </c>
      <c r="C1571" t="s">
        <v>1697</v>
      </c>
      <c r="D1571" t="s">
        <v>2347</v>
      </c>
      <c r="E1571" t="s">
        <v>2645</v>
      </c>
    </row>
    <row r="1572" spans="1:5">
      <c r="A1572" s="2" t="s">
        <v>2658</v>
      </c>
      <c r="B1572" t="s">
        <v>2643</v>
      </c>
      <c r="C1572" t="s">
        <v>2586</v>
      </c>
      <c r="D1572" t="s">
        <v>2347</v>
      </c>
      <c r="E1572" t="s">
        <v>2654</v>
      </c>
    </row>
    <row r="1573" spans="1:5">
      <c r="A1573" s="2" t="s">
        <v>2659</v>
      </c>
      <c r="B1573" t="s">
        <v>2643</v>
      </c>
      <c r="C1573" t="s">
        <v>2635</v>
      </c>
      <c r="D1573" t="s">
        <v>2347</v>
      </c>
      <c r="E1573" t="s">
        <v>2656</v>
      </c>
    </row>
    <row r="1574" spans="1:5">
      <c r="A1574" s="2" t="s">
        <v>2660</v>
      </c>
      <c r="B1574" t="s">
        <v>2643</v>
      </c>
      <c r="C1574" t="s">
        <v>638</v>
      </c>
      <c r="D1574" t="s">
        <v>2347</v>
      </c>
      <c r="E1574" t="s">
        <v>2654</v>
      </c>
    </row>
    <row r="1575" spans="1:5">
      <c r="A1575" s="2" t="s">
        <v>2661</v>
      </c>
      <c r="B1575" t="s">
        <v>2643</v>
      </c>
      <c r="C1575" t="s">
        <v>558</v>
      </c>
      <c r="D1575" t="s">
        <v>2347</v>
      </c>
      <c r="E1575" t="s">
        <v>2656</v>
      </c>
    </row>
    <row r="1576" spans="1:5">
      <c r="A1576" s="2" t="s">
        <v>2662</v>
      </c>
      <c r="B1576" t="s">
        <v>2643</v>
      </c>
      <c r="C1576" t="s">
        <v>573</v>
      </c>
      <c r="D1576" t="s">
        <v>2347</v>
      </c>
      <c r="E1576" t="s">
        <v>2654</v>
      </c>
    </row>
    <row r="1577" spans="1:5">
      <c r="A1577" s="2" t="s">
        <v>2663</v>
      </c>
      <c r="B1577" t="s">
        <v>2643</v>
      </c>
      <c r="C1577" t="s">
        <v>566</v>
      </c>
      <c r="D1577" t="s">
        <v>2347</v>
      </c>
      <c r="E1577" t="s">
        <v>2656</v>
      </c>
    </row>
    <row r="1578" spans="1:5">
      <c r="A1578" s="2" t="s">
        <v>2664</v>
      </c>
      <c r="B1578" t="s">
        <v>2643</v>
      </c>
      <c r="C1578" t="s">
        <v>870</v>
      </c>
      <c r="D1578" t="s">
        <v>2347</v>
      </c>
      <c r="E1578" t="s">
        <v>2645</v>
      </c>
    </row>
    <row r="1579" spans="1:5">
      <c r="A1579" s="2" t="s">
        <v>2665</v>
      </c>
      <c r="B1579" t="s">
        <v>2643</v>
      </c>
      <c r="C1579" t="s">
        <v>872</v>
      </c>
      <c r="D1579" t="s">
        <v>2347</v>
      </c>
      <c r="E1579" t="s">
        <v>2645</v>
      </c>
    </row>
    <row r="1580" spans="1:5">
      <c r="A1580" s="2" t="s">
        <v>2666</v>
      </c>
      <c r="B1580" t="s">
        <v>2643</v>
      </c>
      <c r="C1580" t="s">
        <v>817</v>
      </c>
      <c r="D1580" t="s">
        <v>2347</v>
      </c>
      <c r="E1580" t="s">
        <v>2656</v>
      </c>
    </row>
    <row r="1581" spans="1:5">
      <c r="A1581" s="2" t="s">
        <v>2667</v>
      </c>
      <c r="B1581" t="s">
        <v>2643</v>
      </c>
      <c r="C1581" t="s">
        <v>815</v>
      </c>
      <c r="D1581" t="s">
        <v>2347</v>
      </c>
      <c r="E1581" t="s">
        <v>2654</v>
      </c>
    </row>
    <row r="1582" spans="1:5">
      <c r="A1582" s="2" t="s">
        <v>2668</v>
      </c>
      <c r="B1582" t="s">
        <v>2643</v>
      </c>
      <c r="C1582" t="s">
        <v>594</v>
      </c>
      <c r="D1582" t="s">
        <v>2347</v>
      </c>
      <c r="E1582" t="s">
        <v>2645</v>
      </c>
    </row>
    <row r="1583" spans="1:5">
      <c r="A1583" s="2" t="s">
        <v>2669</v>
      </c>
      <c r="B1583" t="s">
        <v>2643</v>
      </c>
      <c r="C1583" t="s">
        <v>581</v>
      </c>
      <c r="D1583" t="s">
        <v>2347</v>
      </c>
      <c r="E1583" t="s">
        <v>2645</v>
      </c>
    </row>
    <row r="1584" spans="1:5">
      <c r="A1584" s="2" t="s">
        <v>2670</v>
      </c>
      <c r="B1584" t="s">
        <v>2643</v>
      </c>
      <c r="C1584" t="s">
        <v>1541</v>
      </c>
      <c r="D1584" t="s">
        <v>2347</v>
      </c>
      <c r="E1584" t="s">
        <v>2645</v>
      </c>
    </row>
    <row r="1585" spans="1:5">
      <c r="A1585" s="2" t="s">
        <v>2671</v>
      </c>
      <c r="B1585" t="s">
        <v>2643</v>
      </c>
      <c r="C1585" t="s">
        <v>1560</v>
      </c>
      <c r="D1585" t="s">
        <v>2347</v>
      </c>
      <c r="E1585" t="s">
        <v>2645</v>
      </c>
    </row>
    <row r="1586" spans="1:5">
      <c r="A1586" s="2" t="s">
        <v>2672</v>
      </c>
      <c r="B1586" t="s">
        <v>2643</v>
      </c>
      <c r="C1586" t="s">
        <v>604</v>
      </c>
      <c r="D1586" t="s">
        <v>2347</v>
      </c>
      <c r="E1586" t="s">
        <v>2645</v>
      </c>
    </row>
    <row r="1587" spans="1:5">
      <c r="A1587" s="2" t="s">
        <v>2673</v>
      </c>
      <c r="B1587" t="s">
        <v>2643</v>
      </c>
      <c r="C1587" t="s">
        <v>614</v>
      </c>
      <c r="D1587" t="s">
        <v>2347</v>
      </c>
      <c r="E1587" t="s">
        <v>2645</v>
      </c>
    </row>
    <row r="1588" spans="1:5">
      <c r="A1588" s="2" t="s">
        <v>2674</v>
      </c>
      <c r="B1588" t="s">
        <v>2643</v>
      </c>
      <c r="C1588" t="s">
        <v>648</v>
      </c>
      <c r="D1588" t="s">
        <v>2347</v>
      </c>
      <c r="E1588" t="s">
        <v>2645</v>
      </c>
    </row>
    <row r="1589" spans="1:5">
      <c r="A1589" s="2" t="s">
        <v>2675</v>
      </c>
      <c r="B1589" t="s">
        <v>2643</v>
      </c>
      <c r="C1589" t="s">
        <v>650</v>
      </c>
      <c r="D1589" t="s">
        <v>2347</v>
      </c>
      <c r="E1589" t="s">
        <v>2645</v>
      </c>
    </row>
    <row r="1590" spans="1:5">
      <c r="A1590" s="2" t="s">
        <v>2676</v>
      </c>
      <c r="B1590" t="s">
        <v>2643</v>
      </c>
      <c r="C1590" t="s">
        <v>767</v>
      </c>
      <c r="D1590" t="s">
        <v>2347</v>
      </c>
      <c r="E1590" t="s">
        <v>2645</v>
      </c>
    </row>
    <row r="1591" spans="1:5">
      <c r="A1591" s="2" t="s">
        <v>2677</v>
      </c>
      <c r="B1591" t="s">
        <v>2643</v>
      </c>
      <c r="C1591" t="s">
        <v>1556</v>
      </c>
      <c r="D1591" t="s">
        <v>2347</v>
      </c>
      <c r="E1591" t="s">
        <v>2645</v>
      </c>
    </row>
    <row r="1592" spans="1:5">
      <c r="A1592" s="2" t="s">
        <v>2678</v>
      </c>
      <c r="B1592" t="s">
        <v>2643</v>
      </c>
      <c r="C1592" t="s">
        <v>2412</v>
      </c>
      <c r="D1592" t="s">
        <v>2347</v>
      </c>
      <c r="E1592" t="s">
        <v>2645</v>
      </c>
    </row>
    <row r="1593" spans="1:5">
      <c r="A1593" s="2" t="s">
        <v>2679</v>
      </c>
      <c r="B1593" t="s">
        <v>2643</v>
      </c>
      <c r="C1593" t="s">
        <v>2622</v>
      </c>
      <c r="D1593" t="s">
        <v>2347</v>
      </c>
      <c r="E1593" t="s">
        <v>2645</v>
      </c>
    </row>
    <row r="1594" spans="1:5">
      <c r="A1594" s="2" t="s">
        <v>2680</v>
      </c>
      <c r="B1594" t="s">
        <v>2681</v>
      </c>
      <c r="C1594" t="s">
        <v>1965</v>
      </c>
      <c r="D1594" t="s">
        <v>177</v>
      </c>
      <c r="E1594" t="s">
        <v>2682</v>
      </c>
    </row>
    <row r="1595" spans="1:5">
      <c r="A1595" s="2" t="s">
        <v>2683</v>
      </c>
      <c r="B1595" t="s">
        <v>2681</v>
      </c>
      <c r="C1595" t="s">
        <v>2684</v>
      </c>
      <c r="D1595" t="s">
        <v>177</v>
      </c>
      <c r="E1595" t="s">
        <v>2682</v>
      </c>
    </row>
    <row r="1596" spans="1:5">
      <c r="A1596" s="2" t="s">
        <v>2685</v>
      </c>
      <c r="B1596" t="s">
        <v>2681</v>
      </c>
      <c r="C1596" t="s">
        <v>1210</v>
      </c>
      <c r="D1596" t="s">
        <v>177</v>
      </c>
      <c r="E1596" t="s">
        <v>2682</v>
      </c>
    </row>
    <row r="1597" spans="1:5">
      <c r="A1597" s="2" t="s">
        <v>2686</v>
      </c>
      <c r="B1597" t="s">
        <v>2681</v>
      </c>
      <c r="C1597" t="s">
        <v>1649</v>
      </c>
      <c r="D1597" t="s">
        <v>177</v>
      </c>
      <c r="E1597" t="s">
        <v>2682</v>
      </c>
    </row>
    <row r="1598" spans="1:5">
      <c r="A1598" s="2" t="s">
        <v>2687</v>
      </c>
      <c r="B1598" t="s">
        <v>2681</v>
      </c>
      <c r="C1598" t="s">
        <v>254</v>
      </c>
      <c r="D1598" t="s">
        <v>177</v>
      </c>
      <c r="E1598" t="s">
        <v>2682</v>
      </c>
    </row>
    <row r="1599" spans="1:5">
      <c r="A1599" s="2" t="s">
        <v>2688</v>
      </c>
      <c r="B1599" t="s">
        <v>2681</v>
      </c>
      <c r="C1599" t="s">
        <v>298</v>
      </c>
      <c r="D1599" t="s">
        <v>177</v>
      </c>
      <c r="E1599" t="s">
        <v>2682</v>
      </c>
    </row>
    <row r="1600" spans="1:5">
      <c r="A1600" s="2" t="s">
        <v>2689</v>
      </c>
      <c r="B1600" t="s">
        <v>2681</v>
      </c>
      <c r="C1600" t="s">
        <v>1667</v>
      </c>
      <c r="D1600" t="s">
        <v>177</v>
      </c>
      <c r="E1600" t="s">
        <v>2682</v>
      </c>
    </row>
    <row r="1601" spans="1:5">
      <c r="A1601" s="2" t="s">
        <v>2690</v>
      </c>
      <c r="B1601" t="s">
        <v>2691</v>
      </c>
      <c r="C1601" t="s">
        <v>2692</v>
      </c>
      <c r="D1601" t="s">
        <v>177</v>
      </c>
      <c r="E1601" t="s">
        <v>2693</v>
      </c>
    </row>
    <row r="1602" spans="1:5">
      <c r="A1602" s="2" t="s">
        <v>2694</v>
      </c>
      <c r="B1602" t="s">
        <v>2691</v>
      </c>
      <c r="C1602" t="s">
        <v>2695</v>
      </c>
      <c r="D1602" t="s">
        <v>177</v>
      </c>
      <c r="E1602" t="s">
        <v>2693</v>
      </c>
    </row>
    <row r="1603" spans="1:5">
      <c r="A1603" s="2" t="s">
        <v>2696</v>
      </c>
      <c r="B1603" t="s">
        <v>2691</v>
      </c>
      <c r="C1603" t="s">
        <v>1965</v>
      </c>
      <c r="D1603" t="s">
        <v>177</v>
      </c>
      <c r="E1603" t="s">
        <v>2693</v>
      </c>
    </row>
    <row r="1604" spans="1:5">
      <c r="A1604" s="2" t="s">
        <v>2697</v>
      </c>
      <c r="B1604" t="s">
        <v>2691</v>
      </c>
      <c r="C1604" t="s">
        <v>2684</v>
      </c>
      <c r="D1604" t="s">
        <v>177</v>
      </c>
      <c r="E1604" t="s">
        <v>2693</v>
      </c>
    </row>
    <row r="1605" spans="1:5">
      <c r="A1605" s="2" t="s">
        <v>2698</v>
      </c>
      <c r="B1605" t="s">
        <v>2691</v>
      </c>
      <c r="C1605" t="s">
        <v>1667</v>
      </c>
      <c r="D1605" t="s">
        <v>177</v>
      </c>
      <c r="E1605" t="s">
        <v>2693</v>
      </c>
    </row>
    <row r="1606" spans="1:5">
      <c r="A1606" s="2" t="s">
        <v>2699</v>
      </c>
      <c r="B1606" t="s">
        <v>2691</v>
      </c>
      <c r="C1606" t="s">
        <v>1210</v>
      </c>
      <c r="D1606" t="s">
        <v>177</v>
      </c>
      <c r="E1606" t="s">
        <v>2693</v>
      </c>
    </row>
    <row r="1607" spans="1:5">
      <c r="A1607" s="2" t="s">
        <v>2700</v>
      </c>
      <c r="B1607" t="s">
        <v>2691</v>
      </c>
      <c r="C1607" t="s">
        <v>1649</v>
      </c>
      <c r="D1607" t="s">
        <v>177</v>
      </c>
      <c r="E1607" t="s">
        <v>2693</v>
      </c>
    </row>
    <row r="1608" spans="1:5">
      <c r="A1608" s="2" t="s">
        <v>2701</v>
      </c>
      <c r="B1608" t="s">
        <v>2691</v>
      </c>
      <c r="C1608" t="s">
        <v>254</v>
      </c>
      <c r="D1608" t="s">
        <v>177</v>
      </c>
      <c r="E1608" t="s">
        <v>2693</v>
      </c>
    </row>
    <row r="1609" spans="1:5">
      <c r="A1609" s="2" t="s">
        <v>2702</v>
      </c>
      <c r="B1609" t="s">
        <v>2691</v>
      </c>
      <c r="C1609" t="s">
        <v>298</v>
      </c>
      <c r="D1609" t="s">
        <v>177</v>
      </c>
      <c r="E1609" t="s">
        <v>2693</v>
      </c>
    </row>
    <row r="1610" spans="1:5">
      <c r="A1610" s="2" t="s">
        <v>2703</v>
      </c>
      <c r="B1610" t="s">
        <v>2704</v>
      </c>
      <c r="C1610" t="s">
        <v>2692</v>
      </c>
      <c r="D1610" t="s">
        <v>177</v>
      </c>
      <c r="E1610" t="s">
        <v>2705</v>
      </c>
    </row>
    <row r="1611" spans="1:5">
      <c r="A1611" s="2" t="s">
        <v>2706</v>
      </c>
      <c r="B1611" t="s">
        <v>2704</v>
      </c>
      <c r="C1611" t="s">
        <v>2707</v>
      </c>
      <c r="D1611" t="s">
        <v>177</v>
      </c>
      <c r="E1611" t="s">
        <v>2708</v>
      </c>
    </row>
    <row r="1612" spans="1:5">
      <c r="A1612" s="2" t="s">
        <v>2709</v>
      </c>
      <c r="B1612" t="s">
        <v>2704</v>
      </c>
      <c r="C1612" t="s">
        <v>2710</v>
      </c>
      <c r="D1612" t="s">
        <v>177</v>
      </c>
      <c r="E1612" t="s">
        <v>2708</v>
      </c>
    </row>
    <row r="1613" spans="1:5">
      <c r="A1613" s="2" t="s">
        <v>2711</v>
      </c>
      <c r="B1613" t="s">
        <v>2704</v>
      </c>
      <c r="C1613" t="s">
        <v>2695</v>
      </c>
      <c r="D1613" t="s">
        <v>177</v>
      </c>
      <c r="E1613" t="s">
        <v>2705</v>
      </c>
    </row>
    <row r="1614" spans="1:5">
      <c r="A1614" s="2" t="s">
        <v>2712</v>
      </c>
      <c r="B1614" t="s">
        <v>2704</v>
      </c>
      <c r="C1614" t="s">
        <v>1965</v>
      </c>
      <c r="D1614" t="s">
        <v>177</v>
      </c>
      <c r="E1614" t="s">
        <v>2705</v>
      </c>
    </row>
    <row r="1615" spans="1:5">
      <c r="A1615" s="2" t="s">
        <v>2713</v>
      </c>
      <c r="B1615" t="s">
        <v>2704</v>
      </c>
      <c r="C1615" t="s">
        <v>2714</v>
      </c>
      <c r="D1615" t="s">
        <v>177</v>
      </c>
      <c r="E1615" t="s">
        <v>2708</v>
      </c>
    </row>
    <row r="1616" spans="1:5">
      <c r="A1616" s="2" t="s">
        <v>2715</v>
      </c>
      <c r="B1616" t="s">
        <v>2704</v>
      </c>
      <c r="C1616" t="s">
        <v>2716</v>
      </c>
      <c r="D1616" t="s">
        <v>177</v>
      </c>
      <c r="E1616" t="s">
        <v>2708</v>
      </c>
    </row>
    <row r="1617" spans="1:5">
      <c r="A1617" s="2" t="s">
        <v>2717</v>
      </c>
      <c r="B1617" t="s">
        <v>2704</v>
      </c>
      <c r="C1617" t="s">
        <v>2684</v>
      </c>
      <c r="D1617" t="s">
        <v>177</v>
      </c>
      <c r="E1617" t="s">
        <v>2705</v>
      </c>
    </row>
    <row r="1618" spans="1:5">
      <c r="A1618" s="2" t="s">
        <v>2718</v>
      </c>
      <c r="B1618" t="s">
        <v>2704</v>
      </c>
      <c r="C1618" t="s">
        <v>2719</v>
      </c>
      <c r="D1618" t="s">
        <v>177</v>
      </c>
      <c r="E1618" t="s">
        <v>2705</v>
      </c>
    </row>
    <row r="1619" spans="1:5">
      <c r="A1619" s="2" t="s">
        <v>2720</v>
      </c>
      <c r="B1619" t="s">
        <v>2704</v>
      </c>
      <c r="C1619" t="s">
        <v>1667</v>
      </c>
      <c r="D1619" t="s">
        <v>177</v>
      </c>
      <c r="E1619" t="s">
        <v>2705</v>
      </c>
    </row>
    <row r="1620" spans="1:5">
      <c r="A1620" s="2" t="s">
        <v>2721</v>
      </c>
      <c r="B1620" t="s">
        <v>2704</v>
      </c>
      <c r="C1620" t="s">
        <v>1645</v>
      </c>
      <c r="D1620" t="s">
        <v>177</v>
      </c>
      <c r="E1620" t="s">
        <v>2705</v>
      </c>
    </row>
    <row r="1621" spans="1:5">
      <c r="A1621" s="2" t="s">
        <v>2722</v>
      </c>
      <c r="B1621" t="s">
        <v>2704</v>
      </c>
      <c r="C1621" t="s">
        <v>1210</v>
      </c>
      <c r="D1621" t="s">
        <v>177</v>
      </c>
      <c r="E1621" t="s">
        <v>2705</v>
      </c>
    </row>
    <row r="1622" spans="1:5">
      <c r="A1622" s="2" t="s">
        <v>2723</v>
      </c>
      <c r="B1622" t="s">
        <v>2704</v>
      </c>
      <c r="C1622" t="s">
        <v>313</v>
      </c>
      <c r="D1622" t="s">
        <v>177</v>
      </c>
      <c r="E1622" t="s">
        <v>2705</v>
      </c>
    </row>
    <row r="1623" spans="1:5">
      <c r="A1623" s="2" t="s">
        <v>2724</v>
      </c>
      <c r="B1623" t="s">
        <v>2704</v>
      </c>
      <c r="C1623" t="s">
        <v>1649</v>
      </c>
      <c r="D1623" t="s">
        <v>177</v>
      </c>
      <c r="E1623" t="s">
        <v>2705</v>
      </c>
    </row>
    <row r="1624" spans="1:5">
      <c r="A1624" s="2" t="s">
        <v>2725</v>
      </c>
      <c r="B1624" t="s">
        <v>2704</v>
      </c>
      <c r="C1624" t="s">
        <v>2482</v>
      </c>
      <c r="D1624" t="s">
        <v>177</v>
      </c>
      <c r="E1624" t="s">
        <v>2705</v>
      </c>
    </row>
    <row r="1625" spans="1:5">
      <c r="A1625" s="2" t="s">
        <v>2726</v>
      </c>
      <c r="B1625" t="s">
        <v>2704</v>
      </c>
      <c r="C1625" t="s">
        <v>254</v>
      </c>
      <c r="D1625" t="s">
        <v>177</v>
      </c>
      <c r="E1625" t="s">
        <v>2705</v>
      </c>
    </row>
    <row r="1626" spans="1:5">
      <c r="A1626" s="2" t="s">
        <v>2727</v>
      </c>
      <c r="B1626" t="s">
        <v>2704</v>
      </c>
      <c r="C1626" t="s">
        <v>298</v>
      </c>
      <c r="D1626" t="s">
        <v>177</v>
      </c>
      <c r="E1626" t="s">
        <v>2705</v>
      </c>
    </row>
    <row r="1627" spans="1:5">
      <c r="A1627" s="2" t="s">
        <v>2728</v>
      </c>
      <c r="B1627" t="s">
        <v>2704</v>
      </c>
      <c r="C1627" t="s">
        <v>330</v>
      </c>
      <c r="D1627" t="s">
        <v>177</v>
      </c>
      <c r="E1627" t="s">
        <v>2705</v>
      </c>
    </row>
    <row r="1628" spans="1:5">
      <c r="A1628" s="2" t="s">
        <v>2729</v>
      </c>
      <c r="B1628" t="s">
        <v>2704</v>
      </c>
      <c r="C1628" t="s">
        <v>527</v>
      </c>
      <c r="D1628" t="s">
        <v>177</v>
      </c>
      <c r="E1628" t="s">
        <v>2705</v>
      </c>
    </row>
    <row r="1629" spans="1:5">
      <c r="A1629" s="2" t="s">
        <v>2730</v>
      </c>
      <c r="B1629" t="s">
        <v>2731</v>
      </c>
      <c r="C1629" t="s">
        <v>1965</v>
      </c>
      <c r="D1629" t="s">
        <v>177</v>
      </c>
      <c r="E1629" t="s">
        <v>2732</v>
      </c>
    </row>
    <row r="1630" spans="1:5">
      <c r="A1630" s="2" t="s">
        <v>2733</v>
      </c>
      <c r="B1630" t="s">
        <v>2731</v>
      </c>
      <c r="C1630" t="s">
        <v>2684</v>
      </c>
      <c r="D1630" t="s">
        <v>177</v>
      </c>
      <c r="E1630" t="s">
        <v>2732</v>
      </c>
    </row>
    <row r="1631" spans="1:5">
      <c r="A1631" s="2" t="s">
        <v>2734</v>
      </c>
      <c r="B1631" t="s">
        <v>2731</v>
      </c>
      <c r="C1631" t="s">
        <v>1210</v>
      </c>
      <c r="D1631" t="s">
        <v>177</v>
      </c>
      <c r="E1631" t="s">
        <v>2732</v>
      </c>
    </row>
    <row r="1632" spans="1:5">
      <c r="A1632" s="2" t="s">
        <v>2735</v>
      </c>
      <c r="B1632" t="s">
        <v>2731</v>
      </c>
      <c r="C1632" t="s">
        <v>1649</v>
      </c>
      <c r="D1632" t="s">
        <v>177</v>
      </c>
      <c r="E1632" t="s">
        <v>2732</v>
      </c>
    </row>
    <row r="1633" spans="1:5">
      <c r="A1633" s="2" t="s">
        <v>2736</v>
      </c>
      <c r="B1633" t="s">
        <v>2731</v>
      </c>
      <c r="C1633" t="s">
        <v>254</v>
      </c>
      <c r="D1633" t="s">
        <v>177</v>
      </c>
      <c r="E1633" t="s">
        <v>2732</v>
      </c>
    </row>
    <row r="1634" spans="1:5">
      <c r="A1634" s="2" t="s">
        <v>2737</v>
      </c>
      <c r="B1634" t="s">
        <v>2731</v>
      </c>
      <c r="C1634" t="s">
        <v>298</v>
      </c>
      <c r="D1634" t="s">
        <v>177</v>
      </c>
      <c r="E1634" t="s">
        <v>2732</v>
      </c>
    </row>
    <row r="1635" spans="1:5">
      <c r="A1635" s="2" t="s">
        <v>2738</v>
      </c>
      <c r="B1635" t="s">
        <v>2731</v>
      </c>
      <c r="C1635" t="s">
        <v>1667</v>
      </c>
      <c r="D1635" t="s">
        <v>177</v>
      </c>
      <c r="E1635" t="s">
        <v>2732</v>
      </c>
    </row>
    <row r="1636" spans="1:5">
      <c r="A1636" s="2" t="s">
        <v>2739</v>
      </c>
      <c r="B1636" t="s">
        <v>2740</v>
      </c>
      <c r="C1636" t="s">
        <v>2692</v>
      </c>
      <c r="D1636" t="s">
        <v>177</v>
      </c>
      <c r="E1636" t="s">
        <v>2741</v>
      </c>
    </row>
    <row r="1637" spans="1:5">
      <c r="A1637" s="2" t="s">
        <v>2742</v>
      </c>
      <c r="B1637" t="s">
        <v>2740</v>
      </c>
      <c r="C1637" t="s">
        <v>2695</v>
      </c>
      <c r="D1637" t="s">
        <v>177</v>
      </c>
      <c r="E1637" t="s">
        <v>2741</v>
      </c>
    </row>
    <row r="1638" spans="1:5">
      <c r="A1638" s="2" t="s">
        <v>2743</v>
      </c>
      <c r="B1638" t="s">
        <v>2740</v>
      </c>
      <c r="C1638" t="s">
        <v>1965</v>
      </c>
      <c r="D1638" t="s">
        <v>177</v>
      </c>
      <c r="E1638" t="s">
        <v>2741</v>
      </c>
    </row>
    <row r="1639" spans="1:5">
      <c r="A1639" s="2" t="s">
        <v>2744</v>
      </c>
      <c r="B1639" t="s">
        <v>2740</v>
      </c>
      <c r="C1639" t="s">
        <v>2684</v>
      </c>
      <c r="D1639" t="s">
        <v>177</v>
      </c>
      <c r="E1639" t="s">
        <v>2741</v>
      </c>
    </row>
    <row r="1640" spans="1:5">
      <c r="A1640" s="2" t="s">
        <v>2745</v>
      </c>
      <c r="B1640" t="s">
        <v>2740</v>
      </c>
      <c r="C1640" t="s">
        <v>1667</v>
      </c>
      <c r="D1640" t="s">
        <v>177</v>
      </c>
      <c r="E1640" t="s">
        <v>2741</v>
      </c>
    </row>
    <row r="1641" spans="1:5">
      <c r="A1641" s="2" t="s">
        <v>2746</v>
      </c>
      <c r="B1641" t="s">
        <v>2740</v>
      </c>
      <c r="C1641" t="s">
        <v>1210</v>
      </c>
      <c r="D1641" t="s">
        <v>177</v>
      </c>
      <c r="E1641" t="s">
        <v>2741</v>
      </c>
    </row>
    <row r="1642" spans="1:5">
      <c r="A1642" s="2" t="s">
        <v>2747</v>
      </c>
      <c r="B1642" t="s">
        <v>2740</v>
      </c>
      <c r="C1642" t="s">
        <v>1649</v>
      </c>
      <c r="D1642" t="s">
        <v>177</v>
      </c>
      <c r="E1642" t="s">
        <v>2741</v>
      </c>
    </row>
    <row r="1643" spans="1:5">
      <c r="A1643" s="2" t="s">
        <v>2748</v>
      </c>
      <c r="B1643" s="2" t="s">
        <v>2740</v>
      </c>
      <c r="C1643" s="2" t="s">
        <v>254</v>
      </c>
      <c r="D1643" s="2" t="s">
        <v>177</v>
      </c>
      <c r="E1643" s="2" t="s">
        <v>2741</v>
      </c>
    </row>
    <row r="1644" spans="1:5">
      <c r="A1644" s="2" t="s">
        <v>2749</v>
      </c>
      <c r="B1644" s="2" t="s">
        <v>2740</v>
      </c>
      <c r="C1644" s="2" t="s">
        <v>298</v>
      </c>
      <c r="D1644" s="2" t="s">
        <v>177</v>
      </c>
      <c r="E1644" s="2" t="s">
        <v>2741</v>
      </c>
    </row>
    <row r="1645" spans="1:5">
      <c r="A1645" s="2" t="s">
        <v>2750</v>
      </c>
      <c r="B1645" s="2" t="s">
        <v>2751</v>
      </c>
      <c r="C1645" s="2" t="s">
        <v>2692</v>
      </c>
      <c r="D1645" s="2" t="s">
        <v>177</v>
      </c>
      <c r="E1645" s="2" t="s">
        <v>2752</v>
      </c>
    </row>
    <row r="1646" spans="1:5">
      <c r="A1646" s="2" t="s">
        <v>2753</v>
      </c>
      <c r="B1646" s="2" t="s">
        <v>2751</v>
      </c>
      <c r="C1646" s="2" t="s">
        <v>2707</v>
      </c>
      <c r="D1646" s="2" t="s">
        <v>177</v>
      </c>
      <c r="E1646" s="2" t="s">
        <v>2754</v>
      </c>
    </row>
    <row r="1647" spans="1:5">
      <c r="A1647" s="2" t="s">
        <v>2755</v>
      </c>
      <c r="B1647" s="2" t="s">
        <v>2751</v>
      </c>
      <c r="C1647" s="2" t="s">
        <v>2695</v>
      </c>
      <c r="D1647" s="2" t="s">
        <v>177</v>
      </c>
      <c r="E1647" s="2" t="s">
        <v>2752</v>
      </c>
    </row>
    <row r="1648" spans="1:5">
      <c r="A1648" s="2" t="s">
        <v>2756</v>
      </c>
      <c r="B1648" s="2" t="s">
        <v>2751</v>
      </c>
      <c r="C1648" s="2" t="s">
        <v>1965</v>
      </c>
      <c r="D1648" s="2" t="s">
        <v>177</v>
      </c>
      <c r="E1648" s="2" t="s">
        <v>2752</v>
      </c>
    </row>
    <row r="1649" spans="1:5">
      <c r="A1649" s="2" t="s">
        <v>2757</v>
      </c>
      <c r="B1649" s="2" t="s">
        <v>2751</v>
      </c>
      <c r="C1649" s="2" t="s">
        <v>2714</v>
      </c>
      <c r="D1649" s="2" t="s">
        <v>177</v>
      </c>
      <c r="E1649" s="2" t="s">
        <v>2754</v>
      </c>
    </row>
    <row r="1650" spans="1:5">
      <c r="A1650" s="2" t="s">
        <v>2758</v>
      </c>
      <c r="B1650" s="2" t="s">
        <v>2751</v>
      </c>
      <c r="C1650" s="2" t="s">
        <v>2684</v>
      </c>
      <c r="D1650" s="2" t="s">
        <v>177</v>
      </c>
      <c r="E1650" s="2" t="s">
        <v>2752</v>
      </c>
    </row>
    <row r="1651" spans="1:5">
      <c r="A1651" s="2" t="s">
        <v>2759</v>
      </c>
      <c r="B1651" s="17" t="s">
        <v>2751</v>
      </c>
      <c r="C1651" s="18" t="s">
        <v>2719</v>
      </c>
      <c r="D1651" s="2" t="s">
        <v>177</v>
      </c>
      <c r="E1651" s="2" t="s">
        <v>2752</v>
      </c>
    </row>
    <row r="1652" spans="1:5">
      <c r="A1652" s="2" t="s">
        <v>2760</v>
      </c>
      <c r="B1652" s="17" t="s">
        <v>2751</v>
      </c>
      <c r="C1652" s="18" t="s">
        <v>1667</v>
      </c>
      <c r="D1652" s="2" t="s">
        <v>177</v>
      </c>
      <c r="E1652" s="2" t="s">
        <v>2752</v>
      </c>
    </row>
    <row r="1653" spans="1:5">
      <c r="A1653" s="2" t="s">
        <v>2761</v>
      </c>
      <c r="B1653" t="s">
        <v>2751</v>
      </c>
      <c r="C1653" t="s">
        <v>1210</v>
      </c>
      <c r="D1653" s="2" t="s">
        <v>177</v>
      </c>
      <c r="E1653" s="2" t="s">
        <v>2752</v>
      </c>
    </row>
    <row r="1654" spans="1:5">
      <c r="A1654" s="2" t="s">
        <v>2762</v>
      </c>
      <c r="B1654" t="s">
        <v>2751</v>
      </c>
      <c r="C1654" t="s">
        <v>313</v>
      </c>
      <c r="D1654" t="s">
        <v>177</v>
      </c>
      <c r="E1654" t="s">
        <v>2752</v>
      </c>
    </row>
    <row r="1655" spans="1:5">
      <c r="A1655" s="2" t="s">
        <v>2763</v>
      </c>
      <c r="B1655" t="s">
        <v>2751</v>
      </c>
      <c r="C1655" t="s">
        <v>1649</v>
      </c>
      <c r="D1655" t="s">
        <v>177</v>
      </c>
      <c r="E1655" t="s">
        <v>2752</v>
      </c>
    </row>
    <row r="1656" spans="1:5">
      <c r="A1656" s="2" t="s">
        <v>2764</v>
      </c>
      <c r="B1656" t="s">
        <v>2751</v>
      </c>
      <c r="C1656" t="s">
        <v>2482</v>
      </c>
      <c r="D1656" t="s">
        <v>177</v>
      </c>
      <c r="E1656" t="s">
        <v>2752</v>
      </c>
    </row>
    <row r="1657" spans="1:5">
      <c r="A1657" s="2" t="s">
        <v>2765</v>
      </c>
      <c r="B1657" t="s">
        <v>2751</v>
      </c>
      <c r="C1657" t="s">
        <v>254</v>
      </c>
      <c r="D1657" t="s">
        <v>177</v>
      </c>
      <c r="E1657" t="s">
        <v>2752</v>
      </c>
    </row>
    <row r="1658" spans="1:5">
      <c r="A1658" s="2" t="s">
        <v>2766</v>
      </c>
      <c r="B1658" t="s">
        <v>2751</v>
      </c>
      <c r="C1658" t="s">
        <v>298</v>
      </c>
      <c r="D1658" t="s">
        <v>177</v>
      </c>
      <c r="E1658" t="s">
        <v>2752</v>
      </c>
    </row>
    <row r="1659" spans="1:5">
      <c r="A1659" s="2" t="s">
        <v>2767</v>
      </c>
      <c r="B1659" t="s">
        <v>2751</v>
      </c>
      <c r="C1659" t="s">
        <v>330</v>
      </c>
      <c r="D1659" t="s">
        <v>177</v>
      </c>
      <c r="E1659" t="s">
        <v>2752</v>
      </c>
    </row>
    <row r="1660" spans="1:5">
      <c r="A1660" s="2" t="s">
        <v>2768</v>
      </c>
      <c r="B1660" t="s">
        <v>2751</v>
      </c>
      <c r="C1660" t="s">
        <v>527</v>
      </c>
      <c r="D1660" t="s">
        <v>177</v>
      </c>
      <c r="E1660" t="s">
        <v>2752</v>
      </c>
    </row>
    <row r="1661" spans="1:5">
      <c r="A1661" s="2" t="s">
        <v>2769</v>
      </c>
      <c r="B1661" t="s">
        <v>2751</v>
      </c>
      <c r="C1661" t="s">
        <v>1645</v>
      </c>
      <c r="D1661" t="s">
        <v>177</v>
      </c>
      <c r="E1661" t="s">
        <v>2752</v>
      </c>
    </row>
    <row r="1662" spans="1:5">
      <c r="A1662" s="2" t="s">
        <v>2770</v>
      </c>
      <c r="B1662" t="s">
        <v>2771</v>
      </c>
      <c r="C1662" t="s">
        <v>2692</v>
      </c>
      <c r="D1662" t="s">
        <v>177</v>
      </c>
      <c r="E1662" t="s">
        <v>2772</v>
      </c>
    </row>
    <row r="1663" spans="1:5">
      <c r="A1663" s="2" t="s">
        <v>2773</v>
      </c>
      <c r="B1663" t="s">
        <v>2771</v>
      </c>
      <c r="C1663" t="s">
        <v>2695</v>
      </c>
      <c r="D1663" t="s">
        <v>177</v>
      </c>
      <c r="E1663" t="s">
        <v>2772</v>
      </c>
    </row>
    <row r="1664" spans="1:5">
      <c r="A1664" s="2" t="s">
        <v>2774</v>
      </c>
      <c r="B1664" t="s">
        <v>2771</v>
      </c>
      <c r="C1664" t="s">
        <v>1965</v>
      </c>
      <c r="D1664" t="s">
        <v>177</v>
      </c>
      <c r="E1664" t="s">
        <v>2772</v>
      </c>
    </row>
    <row r="1665" spans="1:5">
      <c r="A1665" s="2" t="s">
        <v>2775</v>
      </c>
      <c r="B1665" t="s">
        <v>2771</v>
      </c>
      <c r="C1665" t="s">
        <v>2684</v>
      </c>
      <c r="D1665" t="s">
        <v>177</v>
      </c>
      <c r="E1665" t="s">
        <v>2772</v>
      </c>
    </row>
    <row r="1666" spans="1:5">
      <c r="A1666" s="2" t="s">
        <v>2776</v>
      </c>
      <c r="B1666" s="5" t="s">
        <v>2771</v>
      </c>
      <c r="C1666" s="5" t="s">
        <v>2777</v>
      </c>
      <c r="D1666" s="5" t="s">
        <v>177</v>
      </c>
      <c r="E1666" s="5" t="s">
        <v>2772</v>
      </c>
    </row>
    <row r="1667" spans="1:5">
      <c r="A1667" s="2" t="s">
        <v>2778</v>
      </c>
      <c r="B1667" s="5" t="s">
        <v>2771</v>
      </c>
      <c r="C1667" s="635" t="s">
        <v>2779</v>
      </c>
      <c r="D1667" s="5" t="s">
        <v>177</v>
      </c>
      <c r="E1667" s="5" t="s">
        <v>2772</v>
      </c>
    </row>
    <row r="1668" spans="1:5">
      <c r="A1668" s="2" t="s">
        <v>2780</v>
      </c>
      <c r="B1668" s="5" t="s">
        <v>2771</v>
      </c>
      <c r="C1668" s="635" t="s">
        <v>1026</v>
      </c>
      <c r="D1668" s="5" t="s">
        <v>177</v>
      </c>
      <c r="E1668" s="5" t="s">
        <v>2772</v>
      </c>
    </row>
    <row r="1669" spans="1:5">
      <c r="A1669" s="2" t="s">
        <v>2781</v>
      </c>
      <c r="B1669" t="s">
        <v>2771</v>
      </c>
      <c r="C1669" s="632" t="s">
        <v>1223</v>
      </c>
      <c r="D1669" t="s">
        <v>177</v>
      </c>
      <c r="E1669" t="s">
        <v>2772</v>
      </c>
    </row>
    <row r="1670" spans="1:5">
      <c r="A1670" s="2" t="s">
        <v>2782</v>
      </c>
      <c r="B1670" t="s">
        <v>2771</v>
      </c>
      <c r="C1670" s="632" t="s">
        <v>1212</v>
      </c>
      <c r="D1670" t="s">
        <v>177</v>
      </c>
      <c r="E1670" t="s">
        <v>2772</v>
      </c>
    </row>
    <row r="1671" spans="1:5">
      <c r="A1671" s="2" t="s">
        <v>2783</v>
      </c>
      <c r="B1671" t="s">
        <v>2771</v>
      </c>
      <c r="C1671" s="632" t="s">
        <v>1210</v>
      </c>
      <c r="D1671" t="s">
        <v>177</v>
      </c>
      <c r="E1671" t="s">
        <v>2772</v>
      </c>
    </row>
    <row r="1672" spans="1:5">
      <c r="A1672" s="2" t="s">
        <v>2784</v>
      </c>
      <c r="B1672" t="s">
        <v>2771</v>
      </c>
      <c r="C1672" s="632" t="s">
        <v>313</v>
      </c>
      <c r="D1672" t="s">
        <v>177</v>
      </c>
      <c r="E1672" t="s">
        <v>2772</v>
      </c>
    </row>
    <row r="1673" spans="1:5">
      <c r="A1673" s="2" t="s">
        <v>2785</v>
      </c>
      <c r="B1673" t="s">
        <v>2771</v>
      </c>
      <c r="C1673" s="632" t="s">
        <v>1649</v>
      </c>
      <c r="D1673" t="s">
        <v>177</v>
      </c>
      <c r="E1673" t="s">
        <v>2772</v>
      </c>
    </row>
    <row r="1674" spans="1:5">
      <c r="A1674" s="2" t="s">
        <v>2786</v>
      </c>
      <c r="B1674" t="s">
        <v>2771</v>
      </c>
      <c r="C1674" s="632" t="s">
        <v>2482</v>
      </c>
      <c r="D1674" t="s">
        <v>177</v>
      </c>
      <c r="E1674" t="s">
        <v>2772</v>
      </c>
    </row>
    <row r="1675" spans="1:5">
      <c r="A1675" s="2" t="s">
        <v>2787</v>
      </c>
      <c r="B1675" t="s">
        <v>2771</v>
      </c>
      <c r="C1675" t="s">
        <v>254</v>
      </c>
      <c r="D1675" t="s">
        <v>177</v>
      </c>
      <c r="E1675" t="s">
        <v>2772</v>
      </c>
    </row>
    <row r="1676" spans="1:5">
      <c r="A1676" s="2" t="s">
        <v>2788</v>
      </c>
      <c r="B1676" t="s">
        <v>2771</v>
      </c>
      <c r="C1676" t="s">
        <v>298</v>
      </c>
      <c r="D1676" t="s">
        <v>177</v>
      </c>
      <c r="E1676" t="s">
        <v>2772</v>
      </c>
    </row>
    <row r="1677" spans="1:5">
      <c r="A1677" s="2" t="s">
        <v>2789</v>
      </c>
      <c r="B1677" t="s">
        <v>2771</v>
      </c>
      <c r="C1677" t="s">
        <v>330</v>
      </c>
      <c r="D1677" t="s">
        <v>177</v>
      </c>
      <c r="E1677" t="s">
        <v>2772</v>
      </c>
    </row>
    <row r="1678" spans="1:5">
      <c r="A1678" s="2" t="s">
        <v>2790</v>
      </c>
      <c r="B1678" t="s">
        <v>2771</v>
      </c>
      <c r="C1678" t="s">
        <v>527</v>
      </c>
      <c r="D1678" t="s">
        <v>177</v>
      </c>
      <c r="E1678" t="s">
        <v>2772</v>
      </c>
    </row>
    <row r="1679" spans="1:5">
      <c r="A1679" s="2" t="s">
        <v>2791</v>
      </c>
      <c r="B1679" t="s">
        <v>2792</v>
      </c>
      <c r="C1679" t="s">
        <v>254</v>
      </c>
      <c r="D1679" t="s">
        <v>2793</v>
      </c>
      <c r="E1679" t="s">
        <v>2794</v>
      </c>
    </row>
    <row r="1680" spans="1:5">
      <c r="A1680" s="2" t="str">
        <f>B1680&amp;C1680</f>
        <v>NYC200R-DHXMBD06</v>
      </c>
      <c r="B1680" t="s">
        <v>2795</v>
      </c>
      <c r="C1680" s="632" t="s">
        <v>1212</v>
      </c>
      <c r="D1680" t="s">
        <v>2793</v>
      </c>
      <c r="E1680" t="s">
        <v>2794</v>
      </c>
    </row>
    <row r="1681" spans="1:5">
      <c r="A1681" s="2" t="str">
        <f>B1681&amp;C1681</f>
        <v>NYC200R-DHXMBD02</v>
      </c>
      <c r="B1681" t="s">
        <v>2795</v>
      </c>
      <c r="C1681" s="632" t="s">
        <v>330</v>
      </c>
      <c r="D1681" t="s">
        <v>2793</v>
      </c>
      <c r="E1681" t="s">
        <v>2794</v>
      </c>
    </row>
    <row r="1682" spans="1:5">
      <c r="A1682" s="2" t="str">
        <f>B1682&amp;C1682</f>
        <v>NYC200R-DHXMBD04</v>
      </c>
      <c r="B1682" t="s">
        <v>2795</v>
      </c>
      <c r="C1682" s="632" t="s">
        <v>1026</v>
      </c>
      <c r="D1682" t="s">
        <v>2793</v>
      </c>
      <c r="E1682" t="s">
        <v>2794</v>
      </c>
    </row>
    <row r="1683" spans="1:5">
      <c r="A1683" s="2" t="str">
        <f>B1683&amp;C1683</f>
        <v>NYC200R-DHXMBD00</v>
      </c>
      <c r="B1683" t="s">
        <v>2795</v>
      </c>
      <c r="C1683" s="632" t="s">
        <v>254</v>
      </c>
      <c r="D1683" t="s">
        <v>2793</v>
      </c>
      <c r="E1683" t="s">
        <v>2794</v>
      </c>
    </row>
    <row r="1684" spans="1:5">
      <c r="A1684" s="2" t="s">
        <v>2796</v>
      </c>
      <c r="B1684" t="s">
        <v>2792</v>
      </c>
      <c r="C1684" t="s">
        <v>564</v>
      </c>
      <c r="D1684" t="s">
        <v>2793</v>
      </c>
      <c r="E1684" t="s">
        <v>2794</v>
      </c>
    </row>
    <row r="1685" spans="1:5">
      <c r="A1685" s="2" t="s">
        <v>2797</v>
      </c>
      <c r="B1685" t="s">
        <v>2792</v>
      </c>
      <c r="C1685">
        <v>11</v>
      </c>
      <c r="D1685" t="s">
        <v>2793</v>
      </c>
      <c r="E1685" t="s">
        <v>2794</v>
      </c>
    </row>
    <row r="1686" spans="1:5">
      <c r="A1686" s="2" t="s">
        <v>2798</v>
      </c>
      <c r="B1686" t="s">
        <v>2792</v>
      </c>
      <c r="C1686" t="s">
        <v>579</v>
      </c>
      <c r="D1686" t="s">
        <v>2793</v>
      </c>
      <c r="E1686" t="s">
        <v>2794</v>
      </c>
    </row>
    <row r="1687" spans="1:5">
      <c r="A1687" s="2" t="s">
        <v>2799</v>
      </c>
      <c r="B1687" t="s">
        <v>2792</v>
      </c>
      <c r="C1687" t="s">
        <v>612</v>
      </c>
      <c r="D1687" t="s">
        <v>2793</v>
      </c>
      <c r="E1687" t="s">
        <v>2794</v>
      </c>
    </row>
    <row r="1688" spans="1:5">
      <c r="A1688" s="2" t="s">
        <v>2800</v>
      </c>
      <c r="B1688" t="s">
        <v>2792</v>
      </c>
      <c r="C1688" t="s">
        <v>2801</v>
      </c>
      <c r="D1688" t="s">
        <v>2793</v>
      </c>
      <c r="E1688" t="s">
        <v>2794</v>
      </c>
    </row>
    <row r="1689" spans="1:5">
      <c r="A1689" s="2" t="s">
        <v>2802</v>
      </c>
      <c r="B1689" t="s">
        <v>2792</v>
      </c>
      <c r="C1689" t="s">
        <v>1406</v>
      </c>
      <c r="D1689" t="s">
        <v>2793</v>
      </c>
      <c r="E1689" t="s">
        <v>2794</v>
      </c>
    </row>
    <row r="1690" spans="1:5">
      <c r="A1690" s="2" t="s">
        <v>2803</v>
      </c>
      <c r="B1690" t="s">
        <v>2792</v>
      </c>
      <c r="C1690" t="s">
        <v>298</v>
      </c>
      <c r="D1690" t="s">
        <v>2793</v>
      </c>
      <c r="E1690" t="s">
        <v>2794</v>
      </c>
    </row>
    <row r="1691" spans="1:5">
      <c r="A1691" s="2" t="s">
        <v>2804</v>
      </c>
      <c r="B1691" t="s">
        <v>2792</v>
      </c>
      <c r="C1691" t="s">
        <v>1026</v>
      </c>
      <c r="D1691" t="s">
        <v>2793</v>
      </c>
      <c r="E1691" t="s">
        <v>2794</v>
      </c>
    </row>
    <row r="1692" spans="1:5">
      <c r="A1692" s="2" t="s">
        <v>2805</v>
      </c>
      <c r="B1692" t="s">
        <v>2792</v>
      </c>
      <c r="C1692" t="s">
        <v>1223</v>
      </c>
      <c r="D1692" t="s">
        <v>2793</v>
      </c>
      <c r="E1692" t="s">
        <v>2794</v>
      </c>
    </row>
    <row r="1693" spans="1:5">
      <c r="A1693" s="2" t="s">
        <v>2806</v>
      </c>
      <c r="B1693" t="s">
        <v>2792</v>
      </c>
      <c r="C1693" t="s">
        <v>330</v>
      </c>
      <c r="D1693" t="s">
        <v>2793</v>
      </c>
      <c r="E1693" t="s">
        <v>2794</v>
      </c>
    </row>
    <row r="1694" spans="1:5">
      <c r="A1694" s="2" t="s">
        <v>2807</v>
      </c>
      <c r="B1694" t="s">
        <v>2792</v>
      </c>
      <c r="C1694" t="s">
        <v>527</v>
      </c>
      <c r="D1694" t="s">
        <v>2793</v>
      </c>
      <c r="E1694" t="s">
        <v>2794</v>
      </c>
    </row>
    <row r="1695" spans="1:5">
      <c r="A1695" s="2" t="s">
        <v>2808</v>
      </c>
      <c r="B1695" t="s">
        <v>2792</v>
      </c>
      <c r="C1695" t="s">
        <v>1212</v>
      </c>
      <c r="D1695" t="s">
        <v>2793</v>
      </c>
      <c r="E1695" t="s">
        <v>2794</v>
      </c>
    </row>
    <row r="1696" spans="1:5">
      <c r="A1696" s="2" t="s">
        <v>2809</v>
      </c>
      <c r="B1696" t="s">
        <v>2792</v>
      </c>
      <c r="C1696" t="s">
        <v>544</v>
      </c>
      <c r="D1696" t="s">
        <v>2793</v>
      </c>
      <c r="E1696" t="s">
        <v>2810</v>
      </c>
    </row>
    <row r="1697" spans="1:5">
      <c r="A1697" s="2" t="s">
        <v>2811</v>
      </c>
      <c r="B1697" t="s">
        <v>2792</v>
      </c>
      <c r="C1697" t="s">
        <v>573</v>
      </c>
      <c r="D1697" t="s">
        <v>2793</v>
      </c>
      <c r="E1697" t="s">
        <v>2810</v>
      </c>
    </row>
    <row r="1698" spans="1:5">
      <c r="A1698" s="2" t="s">
        <v>2812</v>
      </c>
      <c r="B1698" t="s">
        <v>2792</v>
      </c>
      <c r="C1698" t="s">
        <v>1210</v>
      </c>
      <c r="D1698" t="s">
        <v>2793</v>
      </c>
      <c r="E1698" t="s">
        <v>2794</v>
      </c>
    </row>
    <row r="1699" spans="1:5">
      <c r="A1699" s="2" t="s">
        <v>2813</v>
      </c>
      <c r="B1699" t="s">
        <v>2814</v>
      </c>
      <c r="C1699" t="s">
        <v>254</v>
      </c>
      <c r="D1699" t="s">
        <v>2815</v>
      </c>
      <c r="E1699" t="s">
        <v>2814</v>
      </c>
    </row>
    <row r="1700" spans="1:5">
      <c r="A1700" s="2" t="s">
        <v>2816</v>
      </c>
      <c r="B1700" t="s">
        <v>2817</v>
      </c>
      <c r="C1700" t="s">
        <v>254</v>
      </c>
      <c r="D1700" t="s">
        <v>2181</v>
      </c>
      <c r="E1700" t="s">
        <v>2818</v>
      </c>
    </row>
    <row r="1701" spans="1:5">
      <c r="A1701" s="2" t="s">
        <v>2819</v>
      </c>
      <c r="B1701" t="s">
        <v>2820</v>
      </c>
      <c r="C1701" t="s">
        <v>530</v>
      </c>
      <c r="D1701" t="s">
        <v>185</v>
      </c>
      <c r="E1701" t="s">
        <v>2821</v>
      </c>
    </row>
    <row r="1702" spans="1:5">
      <c r="A1702" s="2" t="s">
        <v>2822</v>
      </c>
      <c r="B1702" t="s">
        <v>2820</v>
      </c>
      <c r="C1702" t="s">
        <v>556</v>
      </c>
      <c r="D1702" t="s">
        <v>185</v>
      </c>
      <c r="E1702" t="s">
        <v>2821</v>
      </c>
    </row>
    <row r="1703" spans="1:5">
      <c r="A1703" s="2" t="s">
        <v>2823</v>
      </c>
      <c r="B1703" t="s">
        <v>2820</v>
      </c>
      <c r="C1703" t="s">
        <v>883</v>
      </c>
      <c r="D1703" t="s">
        <v>185</v>
      </c>
      <c r="E1703" t="s">
        <v>2821</v>
      </c>
    </row>
    <row r="1704" spans="1:5">
      <c r="A1704" s="2" t="s">
        <v>2824</v>
      </c>
      <c r="B1704" t="s">
        <v>2820</v>
      </c>
      <c r="C1704" t="s">
        <v>254</v>
      </c>
      <c r="D1704" t="s">
        <v>185</v>
      </c>
      <c r="E1704" t="s">
        <v>2821</v>
      </c>
    </row>
    <row r="1705" spans="1:5">
      <c r="A1705" s="2" t="s">
        <v>2825</v>
      </c>
      <c r="B1705" t="s">
        <v>2820</v>
      </c>
      <c r="C1705" t="s">
        <v>815</v>
      </c>
      <c r="D1705" t="s">
        <v>185</v>
      </c>
      <c r="E1705" t="s">
        <v>2821</v>
      </c>
    </row>
    <row r="1706" spans="1:5">
      <c r="A1706" s="2" t="s">
        <v>2826</v>
      </c>
      <c r="B1706" s="9" t="s">
        <v>2827</v>
      </c>
      <c r="C1706" s="9" t="s">
        <v>254</v>
      </c>
      <c r="D1706" s="9" t="s">
        <v>185</v>
      </c>
      <c r="E1706" s="9" t="s">
        <v>2828</v>
      </c>
    </row>
    <row r="1707" spans="1:5">
      <c r="A1707" s="2" t="s">
        <v>2829</v>
      </c>
      <c r="B1707" s="5" t="s">
        <v>2827</v>
      </c>
      <c r="C1707" s="5" t="s">
        <v>530</v>
      </c>
      <c r="D1707" s="5" t="s">
        <v>185</v>
      </c>
      <c r="E1707" s="5" t="s">
        <v>2828</v>
      </c>
    </row>
    <row r="1708" spans="1:5">
      <c r="A1708" s="2" t="s">
        <v>2830</v>
      </c>
      <c r="B1708" t="s">
        <v>2827</v>
      </c>
      <c r="C1708" t="s">
        <v>556</v>
      </c>
      <c r="D1708" t="s">
        <v>185</v>
      </c>
      <c r="E1708" t="s">
        <v>2828</v>
      </c>
    </row>
    <row r="1709" spans="1:5">
      <c r="A1709" s="2" t="s">
        <v>2831</v>
      </c>
      <c r="B1709" t="s">
        <v>2827</v>
      </c>
      <c r="C1709" t="s">
        <v>767</v>
      </c>
      <c r="D1709" t="s">
        <v>185</v>
      </c>
      <c r="E1709" t="s">
        <v>2828</v>
      </c>
    </row>
    <row r="1710" spans="1:5">
      <c r="A1710" s="2" t="s">
        <v>2832</v>
      </c>
      <c r="B1710" t="s">
        <v>2833</v>
      </c>
      <c r="C1710" t="s">
        <v>254</v>
      </c>
      <c r="D1710" t="s">
        <v>185</v>
      </c>
      <c r="E1710" t="s">
        <v>2834</v>
      </c>
    </row>
    <row r="1711" spans="1:5">
      <c r="A1711" s="2" t="s">
        <v>2835</v>
      </c>
      <c r="B1711" t="s">
        <v>2833</v>
      </c>
      <c r="C1711" t="s">
        <v>530</v>
      </c>
      <c r="D1711" t="s">
        <v>185</v>
      </c>
      <c r="E1711" t="s">
        <v>2834</v>
      </c>
    </row>
    <row r="1712" spans="1:5">
      <c r="A1712" s="2" t="s">
        <v>2836</v>
      </c>
      <c r="B1712" t="s">
        <v>2833</v>
      </c>
      <c r="C1712" t="s">
        <v>534</v>
      </c>
      <c r="D1712" t="s">
        <v>185</v>
      </c>
      <c r="E1712" t="s">
        <v>2834</v>
      </c>
    </row>
    <row r="1713" spans="1:5">
      <c r="A1713" s="2" t="s">
        <v>2837</v>
      </c>
      <c r="B1713" t="s">
        <v>2833</v>
      </c>
      <c r="C1713" t="s">
        <v>532</v>
      </c>
      <c r="D1713" t="s">
        <v>185</v>
      </c>
      <c r="E1713" t="s">
        <v>2834</v>
      </c>
    </row>
    <row r="1714" spans="1:5">
      <c r="A1714" s="2" t="s">
        <v>2838</v>
      </c>
      <c r="B1714" t="s">
        <v>2839</v>
      </c>
      <c r="C1714" t="s">
        <v>254</v>
      </c>
      <c r="D1714" t="s">
        <v>185</v>
      </c>
      <c r="E1714" t="s">
        <v>2834</v>
      </c>
    </row>
    <row r="1715" spans="1:5">
      <c r="A1715" s="2" t="s">
        <v>2840</v>
      </c>
      <c r="B1715" t="s">
        <v>2839</v>
      </c>
      <c r="C1715" t="s">
        <v>1541</v>
      </c>
      <c r="D1715" t="s">
        <v>185</v>
      </c>
      <c r="E1715" t="s">
        <v>2834</v>
      </c>
    </row>
    <row r="1716" spans="1:5">
      <c r="A1716" s="2" t="s">
        <v>2841</v>
      </c>
      <c r="B1716" t="s">
        <v>2839</v>
      </c>
      <c r="C1716" t="s">
        <v>1697</v>
      </c>
      <c r="D1716" t="s">
        <v>185</v>
      </c>
      <c r="E1716" t="s">
        <v>2834</v>
      </c>
    </row>
    <row r="1717" spans="1:5">
      <c r="A1717" s="2" t="s">
        <v>2842</v>
      </c>
      <c r="B1717" t="s">
        <v>2839</v>
      </c>
      <c r="C1717" t="s">
        <v>530</v>
      </c>
      <c r="D1717" t="s">
        <v>185</v>
      </c>
      <c r="E1717" t="s">
        <v>2834</v>
      </c>
    </row>
    <row r="1718" spans="1:5">
      <c r="A1718" s="2" t="s">
        <v>2843</v>
      </c>
      <c r="B1718" t="s">
        <v>2839</v>
      </c>
      <c r="C1718" t="s">
        <v>767</v>
      </c>
      <c r="D1718" t="s">
        <v>185</v>
      </c>
      <c r="E1718" t="s">
        <v>2834</v>
      </c>
    </row>
    <row r="1719" spans="1:5">
      <c r="A1719" s="2" t="s">
        <v>2844</v>
      </c>
      <c r="B1719" t="s">
        <v>2845</v>
      </c>
      <c r="C1719" t="s">
        <v>298</v>
      </c>
      <c r="D1719" t="s">
        <v>391</v>
      </c>
      <c r="E1719" t="s">
        <v>2846</v>
      </c>
    </row>
    <row r="1720" spans="1:5">
      <c r="A1720" s="2" t="s">
        <v>2847</v>
      </c>
      <c r="B1720" t="s">
        <v>2845</v>
      </c>
      <c r="C1720" t="s">
        <v>532</v>
      </c>
      <c r="D1720" t="s">
        <v>391</v>
      </c>
      <c r="E1720" t="s">
        <v>2848</v>
      </c>
    </row>
    <row r="1721" spans="1:5">
      <c r="A1721" s="2" t="s">
        <v>2849</v>
      </c>
      <c r="B1721" t="s">
        <v>2845</v>
      </c>
      <c r="C1721" t="s">
        <v>530</v>
      </c>
      <c r="D1721" t="s">
        <v>391</v>
      </c>
      <c r="E1721" t="s">
        <v>2846</v>
      </c>
    </row>
    <row r="1722" spans="1:5">
      <c r="A1722" s="2" t="s">
        <v>2850</v>
      </c>
      <c r="B1722" t="s">
        <v>2845</v>
      </c>
      <c r="C1722" t="s">
        <v>1649</v>
      </c>
      <c r="D1722" t="s">
        <v>391</v>
      </c>
      <c r="E1722" t="s">
        <v>2846</v>
      </c>
    </row>
    <row r="1723" spans="1:5">
      <c r="A1723" s="2" t="s">
        <v>2851</v>
      </c>
      <c r="B1723" t="s">
        <v>2845</v>
      </c>
      <c r="C1723" t="s">
        <v>556</v>
      </c>
      <c r="D1723" t="s">
        <v>391</v>
      </c>
      <c r="E1723" t="s">
        <v>2846</v>
      </c>
    </row>
    <row r="1724" spans="1:5">
      <c r="A1724" s="2" t="s">
        <v>2852</v>
      </c>
      <c r="B1724" t="s">
        <v>2845</v>
      </c>
      <c r="C1724" t="s">
        <v>326</v>
      </c>
      <c r="D1724" t="s">
        <v>391</v>
      </c>
      <c r="E1724" t="s">
        <v>2848</v>
      </c>
    </row>
    <row r="1725" spans="1:5">
      <c r="A1725" s="2" t="s">
        <v>2853</v>
      </c>
      <c r="B1725" t="s">
        <v>2845</v>
      </c>
      <c r="C1725" t="s">
        <v>254</v>
      </c>
      <c r="D1725" t="s">
        <v>391</v>
      </c>
      <c r="E1725" t="s">
        <v>2846</v>
      </c>
    </row>
    <row r="1726" spans="1:5">
      <c r="A1726" s="2" t="s">
        <v>2854</v>
      </c>
      <c r="B1726" t="s">
        <v>2845</v>
      </c>
      <c r="C1726" t="s">
        <v>1639</v>
      </c>
      <c r="D1726" t="s">
        <v>391</v>
      </c>
      <c r="E1726" t="s">
        <v>2846</v>
      </c>
    </row>
    <row r="1727" spans="1:5">
      <c r="A1727" s="2" t="s">
        <v>2855</v>
      </c>
      <c r="B1727" t="s">
        <v>2845</v>
      </c>
      <c r="C1727" t="s">
        <v>330</v>
      </c>
      <c r="D1727" t="s">
        <v>391</v>
      </c>
      <c r="E1727" t="s">
        <v>2848</v>
      </c>
    </row>
    <row r="1728" spans="1:5">
      <c r="A1728" s="2" t="s">
        <v>2856</v>
      </c>
      <c r="B1728" t="s">
        <v>2845</v>
      </c>
      <c r="C1728" t="s">
        <v>2857</v>
      </c>
      <c r="D1728" t="s">
        <v>391</v>
      </c>
      <c r="E1728" t="s">
        <v>2858</v>
      </c>
    </row>
    <row r="1729" spans="1:5">
      <c r="A1729" s="2" t="s">
        <v>2859</v>
      </c>
      <c r="B1729" t="s">
        <v>2845</v>
      </c>
      <c r="C1729" t="s">
        <v>2860</v>
      </c>
      <c r="D1729" t="s">
        <v>391</v>
      </c>
      <c r="E1729" t="s">
        <v>2858</v>
      </c>
    </row>
    <row r="1730" spans="1:5">
      <c r="A1730" s="2" t="s">
        <v>2861</v>
      </c>
      <c r="B1730" t="s">
        <v>2845</v>
      </c>
      <c r="C1730" t="s">
        <v>2131</v>
      </c>
      <c r="D1730" t="s">
        <v>391</v>
      </c>
      <c r="E1730" t="s">
        <v>2848</v>
      </c>
    </row>
    <row r="1731" spans="1:5">
      <c r="A1731" s="2" t="s">
        <v>2862</v>
      </c>
      <c r="B1731" t="s">
        <v>2845</v>
      </c>
      <c r="C1731" t="s">
        <v>1203</v>
      </c>
      <c r="D1731" t="s">
        <v>391</v>
      </c>
      <c r="E1731" t="s">
        <v>2848</v>
      </c>
    </row>
    <row r="1732" spans="1:5">
      <c r="A1732" s="2" t="s">
        <v>2863</v>
      </c>
      <c r="B1732" t="s">
        <v>2845</v>
      </c>
      <c r="C1732" t="s">
        <v>974</v>
      </c>
      <c r="D1732" t="s">
        <v>391</v>
      </c>
      <c r="E1732" t="s">
        <v>2846</v>
      </c>
    </row>
    <row r="1733" spans="1:5">
      <c r="A1733" s="2" t="s">
        <v>2864</v>
      </c>
      <c r="B1733" t="s">
        <v>2845</v>
      </c>
      <c r="C1733" t="s">
        <v>1697</v>
      </c>
      <c r="D1733" t="s">
        <v>391</v>
      </c>
      <c r="E1733" t="s">
        <v>2846</v>
      </c>
    </row>
    <row r="1734" spans="1:5">
      <c r="A1734" s="2" t="s">
        <v>2865</v>
      </c>
      <c r="B1734" t="s">
        <v>2845</v>
      </c>
      <c r="C1734" t="s">
        <v>1642</v>
      </c>
      <c r="D1734" t="s">
        <v>391</v>
      </c>
      <c r="E1734" t="s">
        <v>2848</v>
      </c>
    </row>
    <row r="1735" spans="1:5">
      <c r="A1735" s="2" t="s">
        <v>2866</v>
      </c>
      <c r="B1735" t="s">
        <v>2845</v>
      </c>
      <c r="C1735" t="s">
        <v>2867</v>
      </c>
      <c r="D1735" t="s">
        <v>391</v>
      </c>
      <c r="E1735" t="s">
        <v>2858</v>
      </c>
    </row>
    <row r="1736" spans="1:5">
      <c r="A1736" s="2" t="s">
        <v>2868</v>
      </c>
      <c r="B1736" t="s">
        <v>2845</v>
      </c>
      <c r="C1736" t="s">
        <v>2869</v>
      </c>
      <c r="D1736" t="s">
        <v>391</v>
      </c>
      <c r="E1736" t="s">
        <v>2858</v>
      </c>
    </row>
    <row r="1737" spans="1:5">
      <c r="A1737" s="2" t="s">
        <v>2870</v>
      </c>
      <c r="B1737" t="s">
        <v>2845</v>
      </c>
      <c r="C1737" t="s">
        <v>2871</v>
      </c>
      <c r="D1737" t="s">
        <v>391</v>
      </c>
      <c r="E1737" t="s">
        <v>2848</v>
      </c>
    </row>
    <row r="1738" spans="1:5">
      <c r="A1738" s="2" t="s">
        <v>2872</v>
      </c>
      <c r="B1738" t="s">
        <v>2845</v>
      </c>
      <c r="C1738" t="s">
        <v>2873</v>
      </c>
      <c r="D1738" t="s">
        <v>391</v>
      </c>
      <c r="E1738" t="s">
        <v>2858</v>
      </c>
    </row>
    <row r="1739" spans="1:5">
      <c r="A1739" s="2" t="s">
        <v>2874</v>
      </c>
      <c r="B1739" t="s">
        <v>2845</v>
      </c>
      <c r="C1739" t="s">
        <v>2875</v>
      </c>
      <c r="D1739" t="s">
        <v>391</v>
      </c>
      <c r="E1739" t="s">
        <v>2858</v>
      </c>
    </row>
    <row r="1740" spans="1:5">
      <c r="A1740" s="2" t="s">
        <v>2876</v>
      </c>
      <c r="B1740" t="s">
        <v>2845</v>
      </c>
      <c r="C1740" t="s">
        <v>2877</v>
      </c>
      <c r="D1740" t="s">
        <v>391</v>
      </c>
      <c r="E1740" t="s">
        <v>2848</v>
      </c>
    </row>
    <row r="1741" spans="1:5">
      <c r="A1741" s="2" t="s">
        <v>2878</v>
      </c>
      <c r="B1741" t="s">
        <v>2845</v>
      </c>
      <c r="C1741" t="s">
        <v>1667</v>
      </c>
      <c r="D1741" t="s">
        <v>391</v>
      </c>
      <c r="E1741" t="s">
        <v>2846</v>
      </c>
    </row>
    <row r="1742" spans="1:5">
      <c r="A1742" s="2" t="s">
        <v>2879</v>
      </c>
      <c r="B1742" t="s">
        <v>2845</v>
      </c>
      <c r="C1742" t="s">
        <v>1645</v>
      </c>
      <c r="D1742" t="s">
        <v>391</v>
      </c>
      <c r="E1742" t="s">
        <v>2848</v>
      </c>
    </row>
    <row r="1743" spans="1:5">
      <c r="A1743" s="2" t="s">
        <v>2880</v>
      </c>
      <c r="B1743" t="s">
        <v>2845</v>
      </c>
      <c r="C1743" t="s">
        <v>538</v>
      </c>
      <c r="D1743" t="s">
        <v>391</v>
      </c>
      <c r="E1743" t="s">
        <v>2858</v>
      </c>
    </row>
    <row r="1744" spans="1:5">
      <c r="A1744" s="2" t="s">
        <v>2881</v>
      </c>
      <c r="B1744" t="s">
        <v>2845</v>
      </c>
      <c r="C1744" t="s">
        <v>562</v>
      </c>
      <c r="D1744" t="s">
        <v>391</v>
      </c>
      <c r="E1744" t="s">
        <v>2858</v>
      </c>
    </row>
    <row r="1745" spans="1:5">
      <c r="A1745" s="2" t="s">
        <v>2882</v>
      </c>
      <c r="B1745" t="s">
        <v>2883</v>
      </c>
      <c r="C1745" t="s">
        <v>530</v>
      </c>
      <c r="D1745" t="s">
        <v>391</v>
      </c>
      <c r="E1745" t="s">
        <v>2858</v>
      </c>
    </row>
    <row r="1746" spans="1:5">
      <c r="A1746" s="2" t="s">
        <v>2884</v>
      </c>
      <c r="B1746" t="s">
        <v>2883</v>
      </c>
      <c r="C1746" t="s">
        <v>1649</v>
      </c>
      <c r="D1746" t="s">
        <v>391</v>
      </c>
      <c r="E1746" t="s">
        <v>2858</v>
      </c>
    </row>
    <row r="1747" spans="1:5">
      <c r="A1747" s="2" t="s">
        <v>2885</v>
      </c>
      <c r="B1747" t="s">
        <v>2883</v>
      </c>
      <c r="C1747" t="s">
        <v>1651</v>
      </c>
      <c r="D1747" t="s">
        <v>391</v>
      </c>
      <c r="E1747" t="s">
        <v>2858</v>
      </c>
    </row>
    <row r="1748" spans="1:5">
      <c r="A1748" s="2" t="s">
        <v>2886</v>
      </c>
      <c r="B1748" t="s">
        <v>2883</v>
      </c>
      <c r="C1748" t="s">
        <v>534</v>
      </c>
      <c r="D1748" t="s">
        <v>391</v>
      </c>
      <c r="E1748" t="s">
        <v>2858</v>
      </c>
    </row>
    <row r="1749" spans="1:5">
      <c r="A1749" s="2" t="s">
        <v>2887</v>
      </c>
      <c r="B1749" s="9" t="s">
        <v>2883</v>
      </c>
      <c r="C1749" s="9" t="s">
        <v>536</v>
      </c>
      <c r="D1749" s="9" t="s">
        <v>391</v>
      </c>
      <c r="E1749" s="9" t="s">
        <v>2858</v>
      </c>
    </row>
    <row r="1750" spans="1:5">
      <c r="A1750" s="2" t="s">
        <v>2888</v>
      </c>
      <c r="B1750" s="5" t="s">
        <v>2883</v>
      </c>
      <c r="C1750" s="5" t="s">
        <v>1439</v>
      </c>
      <c r="D1750" s="5" t="s">
        <v>391</v>
      </c>
      <c r="E1750" s="5" t="s">
        <v>2858</v>
      </c>
    </row>
    <row r="1751" spans="1:5">
      <c r="A1751" s="2" t="s">
        <v>2889</v>
      </c>
      <c r="B1751" t="s">
        <v>2883</v>
      </c>
      <c r="C1751" t="s">
        <v>592</v>
      </c>
      <c r="D1751" t="s">
        <v>391</v>
      </c>
      <c r="E1751" t="s">
        <v>2858</v>
      </c>
    </row>
    <row r="1752" spans="1:5">
      <c r="A1752" s="2" t="s">
        <v>2890</v>
      </c>
      <c r="B1752" t="s">
        <v>2883</v>
      </c>
      <c r="C1752" t="s">
        <v>1216</v>
      </c>
      <c r="D1752" t="s">
        <v>391</v>
      </c>
      <c r="E1752" t="s">
        <v>2858</v>
      </c>
    </row>
    <row r="1753" spans="1:5">
      <c r="A1753" s="2" t="s">
        <v>2891</v>
      </c>
      <c r="B1753" t="s">
        <v>2883</v>
      </c>
      <c r="C1753" t="s">
        <v>254</v>
      </c>
      <c r="D1753" t="s">
        <v>391</v>
      </c>
      <c r="E1753" t="s">
        <v>2858</v>
      </c>
    </row>
    <row r="1754" spans="1:5">
      <c r="A1754" s="2" t="s">
        <v>2892</v>
      </c>
      <c r="B1754" t="s">
        <v>2883</v>
      </c>
      <c r="C1754" t="s">
        <v>1639</v>
      </c>
      <c r="D1754" t="s">
        <v>391</v>
      </c>
      <c r="E1754" t="s">
        <v>2858</v>
      </c>
    </row>
    <row r="1755" spans="1:5">
      <c r="A1755" s="2" t="s">
        <v>2893</v>
      </c>
      <c r="B1755" t="s">
        <v>2883</v>
      </c>
      <c r="C1755" t="s">
        <v>298</v>
      </c>
      <c r="D1755" t="s">
        <v>391</v>
      </c>
      <c r="E1755" t="s">
        <v>2858</v>
      </c>
    </row>
    <row r="1756" spans="1:5">
      <c r="A1756" s="2" t="s">
        <v>2894</v>
      </c>
      <c r="B1756" t="s">
        <v>2883</v>
      </c>
      <c r="C1756" t="s">
        <v>1030</v>
      </c>
      <c r="D1756" t="s">
        <v>391</v>
      </c>
      <c r="E1756" t="s">
        <v>2858</v>
      </c>
    </row>
    <row r="1757" spans="1:5">
      <c r="A1757" s="2" t="s">
        <v>2895</v>
      </c>
      <c r="B1757" t="s">
        <v>2883</v>
      </c>
      <c r="C1757" t="s">
        <v>1667</v>
      </c>
      <c r="D1757" t="s">
        <v>391</v>
      </c>
      <c r="E1757" t="s">
        <v>1624</v>
      </c>
    </row>
    <row r="1758" spans="1:5">
      <c r="A1758" s="2" t="s">
        <v>2896</v>
      </c>
      <c r="B1758" t="s">
        <v>2883</v>
      </c>
      <c r="C1758" t="s">
        <v>1662</v>
      </c>
      <c r="D1758" t="s">
        <v>391</v>
      </c>
      <c r="E1758" t="s">
        <v>2858</v>
      </c>
    </row>
    <row r="1759" spans="1:5">
      <c r="A1759" s="2" t="s">
        <v>2897</v>
      </c>
      <c r="B1759" t="s">
        <v>2883</v>
      </c>
      <c r="C1759" t="s">
        <v>1664</v>
      </c>
      <c r="D1759" t="s">
        <v>391</v>
      </c>
      <c r="E1759" t="s">
        <v>2858</v>
      </c>
    </row>
    <row r="1760" spans="1:5">
      <c r="A1760" s="2" t="s">
        <v>2898</v>
      </c>
      <c r="B1760" t="s">
        <v>2899</v>
      </c>
      <c r="C1760" t="s">
        <v>530</v>
      </c>
      <c r="D1760" t="s">
        <v>391</v>
      </c>
      <c r="E1760" t="s">
        <v>2900</v>
      </c>
    </row>
    <row r="1761" spans="1:5">
      <c r="A1761" s="2" t="s">
        <v>2901</v>
      </c>
      <c r="B1761" t="s">
        <v>2899</v>
      </c>
      <c r="C1761" t="s">
        <v>1649</v>
      </c>
      <c r="D1761" t="s">
        <v>391</v>
      </c>
      <c r="E1761" t="s">
        <v>2900</v>
      </c>
    </row>
    <row r="1762" spans="1:5">
      <c r="A1762" s="2" t="s">
        <v>2902</v>
      </c>
      <c r="B1762" t="s">
        <v>2899</v>
      </c>
      <c r="C1762" t="s">
        <v>1651</v>
      </c>
      <c r="D1762" t="s">
        <v>391</v>
      </c>
      <c r="E1762" t="s">
        <v>2900</v>
      </c>
    </row>
    <row r="1763" spans="1:5">
      <c r="A1763" s="2" t="s">
        <v>2903</v>
      </c>
      <c r="B1763" t="s">
        <v>2899</v>
      </c>
      <c r="C1763" t="s">
        <v>534</v>
      </c>
      <c r="D1763" t="s">
        <v>391</v>
      </c>
      <c r="E1763" t="s">
        <v>2900</v>
      </c>
    </row>
    <row r="1764" spans="1:5">
      <c r="A1764" s="2" t="s">
        <v>2904</v>
      </c>
      <c r="B1764" t="s">
        <v>2899</v>
      </c>
      <c r="C1764" t="s">
        <v>556</v>
      </c>
      <c r="D1764" t="s">
        <v>391</v>
      </c>
      <c r="E1764" t="s">
        <v>2900</v>
      </c>
    </row>
    <row r="1765" spans="1:5">
      <c r="A1765" s="2" t="s">
        <v>2905</v>
      </c>
      <c r="B1765" t="s">
        <v>2899</v>
      </c>
      <c r="C1765" t="s">
        <v>590</v>
      </c>
      <c r="D1765" t="s">
        <v>391</v>
      </c>
      <c r="E1765" t="s">
        <v>2900</v>
      </c>
    </row>
    <row r="1766" spans="1:5">
      <c r="A1766" s="2" t="s">
        <v>2906</v>
      </c>
      <c r="B1766" t="s">
        <v>2899</v>
      </c>
      <c r="C1766" t="s">
        <v>254</v>
      </c>
      <c r="D1766" t="s">
        <v>391</v>
      </c>
      <c r="E1766" t="s">
        <v>2900</v>
      </c>
    </row>
    <row r="1767" spans="1:5">
      <c r="A1767" s="2" t="s">
        <v>2907</v>
      </c>
      <c r="B1767" t="s">
        <v>2899</v>
      </c>
      <c r="C1767" t="s">
        <v>1639</v>
      </c>
      <c r="D1767" t="s">
        <v>391</v>
      </c>
      <c r="E1767" t="s">
        <v>2900</v>
      </c>
    </row>
    <row r="1768" spans="1:5">
      <c r="A1768" s="2" t="s">
        <v>2908</v>
      </c>
      <c r="B1768" t="s">
        <v>2899</v>
      </c>
      <c r="C1768" t="s">
        <v>298</v>
      </c>
      <c r="D1768" t="s">
        <v>391</v>
      </c>
      <c r="E1768" t="s">
        <v>2900</v>
      </c>
    </row>
    <row r="1769" spans="1:5">
      <c r="A1769" s="2" t="s">
        <v>2909</v>
      </c>
      <c r="B1769" t="s">
        <v>2899</v>
      </c>
      <c r="C1769" t="s">
        <v>815</v>
      </c>
      <c r="D1769" t="s">
        <v>391</v>
      </c>
      <c r="E1769" t="s">
        <v>2900</v>
      </c>
    </row>
    <row r="1770" spans="1:5">
      <c r="A1770" s="2" t="s">
        <v>2910</v>
      </c>
      <c r="B1770" t="s">
        <v>2899</v>
      </c>
      <c r="C1770" t="s">
        <v>817</v>
      </c>
      <c r="D1770" t="s">
        <v>391</v>
      </c>
      <c r="E1770" t="s">
        <v>2900</v>
      </c>
    </row>
    <row r="1771" spans="1:5">
      <c r="A1771" s="2" t="s">
        <v>2911</v>
      </c>
      <c r="B1771" t="s">
        <v>2899</v>
      </c>
      <c r="C1771" t="s">
        <v>974</v>
      </c>
      <c r="D1771" t="s">
        <v>391</v>
      </c>
      <c r="E1771" t="s">
        <v>2900</v>
      </c>
    </row>
    <row r="1772" spans="1:5">
      <c r="A1772" s="2" t="s">
        <v>2912</v>
      </c>
      <c r="B1772" t="s">
        <v>2899</v>
      </c>
      <c r="C1772" t="s">
        <v>1667</v>
      </c>
      <c r="D1772" t="s">
        <v>391</v>
      </c>
      <c r="E1772" t="s">
        <v>2900</v>
      </c>
    </row>
    <row r="1773" spans="1:5">
      <c r="A1773" s="2" t="s">
        <v>2913</v>
      </c>
      <c r="B1773" t="s">
        <v>2899</v>
      </c>
      <c r="C1773" t="s">
        <v>1697</v>
      </c>
      <c r="D1773" t="s">
        <v>391</v>
      </c>
      <c r="E1773" t="s">
        <v>2900</v>
      </c>
    </row>
    <row r="1774" spans="1:5">
      <c r="A1774" s="2" t="s">
        <v>2914</v>
      </c>
      <c r="B1774" t="s">
        <v>2899</v>
      </c>
      <c r="C1774" t="s">
        <v>1699</v>
      </c>
      <c r="D1774" t="s">
        <v>391</v>
      </c>
      <c r="E1774" t="s">
        <v>2900</v>
      </c>
    </row>
    <row r="1775" spans="1:5">
      <c r="A1775" s="2" t="s">
        <v>2915</v>
      </c>
      <c r="B1775" t="s">
        <v>2899</v>
      </c>
      <c r="C1775" t="s">
        <v>870</v>
      </c>
      <c r="D1775" t="s">
        <v>391</v>
      </c>
      <c r="E1775" t="s">
        <v>2900</v>
      </c>
    </row>
    <row r="1776" spans="1:5">
      <c r="A1776" s="2" t="s">
        <v>2916</v>
      </c>
      <c r="B1776" s="9" t="s">
        <v>2899</v>
      </c>
      <c r="C1776" s="9" t="s">
        <v>872</v>
      </c>
      <c r="D1776" s="9" t="s">
        <v>391</v>
      </c>
      <c r="E1776" s="9" t="s">
        <v>2900</v>
      </c>
    </row>
    <row r="1777" spans="1:5">
      <c r="A1777" s="2" t="s">
        <v>2917</v>
      </c>
      <c r="B1777" s="5" t="s">
        <v>2899</v>
      </c>
      <c r="C1777" s="5" t="s">
        <v>2857</v>
      </c>
      <c r="D1777" s="5" t="s">
        <v>391</v>
      </c>
      <c r="E1777" s="5" t="s">
        <v>2900</v>
      </c>
    </row>
    <row r="1778" spans="1:5">
      <c r="A1778" s="2" t="s">
        <v>2918</v>
      </c>
      <c r="B1778" t="s">
        <v>2899</v>
      </c>
      <c r="C1778" t="s">
        <v>1063</v>
      </c>
      <c r="D1778" t="s">
        <v>391</v>
      </c>
      <c r="E1778" t="s">
        <v>2900</v>
      </c>
    </row>
    <row r="1779" spans="1:5">
      <c r="A1779" s="2" t="s">
        <v>2919</v>
      </c>
      <c r="B1779" t="s">
        <v>2899</v>
      </c>
      <c r="C1779" t="s">
        <v>1065</v>
      </c>
      <c r="D1779" t="s">
        <v>391</v>
      </c>
      <c r="E1779" t="s">
        <v>2900</v>
      </c>
    </row>
    <row r="1780" spans="1:5">
      <c r="A1780" s="2" t="s">
        <v>2920</v>
      </c>
      <c r="B1780" t="s">
        <v>2899</v>
      </c>
      <c r="C1780" t="s">
        <v>2877</v>
      </c>
      <c r="D1780" t="s">
        <v>391</v>
      </c>
      <c r="E1780" t="s">
        <v>2900</v>
      </c>
    </row>
    <row r="1781" spans="1:5">
      <c r="A1781" s="2" t="s">
        <v>2921</v>
      </c>
      <c r="B1781" t="s">
        <v>2899</v>
      </c>
      <c r="C1781" t="s">
        <v>326</v>
      </c>
      <c r="D1781" t="s">
        <v>391</v>
      </c>
      <c r="E1781" t="s">
        <v>2900</v>
      </c>
    </row>
    <row r="1782" spans="1:5">
      <c r="A1782" s="2" t="s">
        <v>2922</v>
      </c>
      <c r="B1782" t="s">
        <v>2899</v>
      </c>
      <c r="C1782" t="s">
        <v>2131</v>
      </c>
      <c r="D1782" t="s">
        <v>391</v>
      </c>
      <c r="E1782" t="s">
        <v>2900</v>
      </c>
    </row>
    <row r="1783" spans="1:5">
      <c r="A1783" s="2" t="s">
        <v>2923</v>
      </c>
      <c r="B1783" t="s">
        <v>2899</v>
      </c>
      <c r="C1783" t="s">
        <v>638</v>
      </c>
      <c r="D1783" t="s">
        <v>391</v>
      </c>
      <c r="E1783" t="s">
        <v>2900</v>
      </c>
    </row>
    <row r="1784" spans="1:5">
      <c r="A1784" s="2" t="s">
        <v>2924</v>
      </c>
      <c r="B1784" t="s">
        <v>2899</v>
      </c>
      <c r="C1784" t="s">
        <v>606</v>
      </c>
      <c r="D1784" t="s">
        <v>391</v>
      </c>
      <c r="E1784" t="s">
        <v>2900</v>
      </c>
    </row>
    <row r="1785" spans="1:5">
      <c r="A1785" s="2" t="s">
        <v>2925</v>
      </c>
      <c r="B1785" t="s">
        <v>2899</v>
      </c>
      <c r="C1785" t="s">
        <v>1669</v>
      </c>
      <c r="D1785" t="s">
        <v>391</v>
      </c>
      <c r="E1785" t="s">
        <v>2900</v>
      </c>
    </row>
    <row r="1786" spans="1:5">
      <c r="A1786" s="2" t="s">
        <v>2926</v>
      </c>
      <c r="B1786" t="s">
        <v>2899</v>
      </c>
      <c r="C1786" t="s">
        <v>538</v>
      </c>
      <c r="D1786" t="s">
        <v>391</v>
      </c>
      <c r="E1786" t="s">
        <v>2900</v>
      </c>
    </row>
    <row r="1787" spans="1:5">
      <c r="A1787" s="2" t="s">
        <v>2927</v>
      </c>
      <c r="B1787" t="s">
        <v>2899</v>
      </c>
      <c r="C1787" t="s">
        <v>562</v>
      </c>
      <c r="D1787" t="s">
        <v>391</v>
      </c>
      <c r="E1787" t="s">
        <v>2900</v>
      </c>
    </row>
    <row r="1788" spans="1:5">
      <c r="A1788" s="2" t="s">
        <v>2928</v>
      </c>
      <c r="B1788" t="s">
        <v>2929</v>
      </c>
      <c r="C1788" t="s">
        <v>298</v>
      </c>
      <c r="D1788" t="s">
        <v>391</v>
      </c>
      <c r="E1788" t="s">
        <v>2930</v>
      </c>
    </row>
    <row r="1789" spans="1:5">
      <c r="A1789" s="2" t="s">
        <v>2931</v>
      </c>
      <c r="B1789" t="s">
        <v>2929</v>
      </c>
      <c r="C1789" t="s">
        <v>532</v>
      </c>
      <c r="D1789" t="s">
        <v>391</v>
      </c>
      <c r="E1789" t="s">
        <v>2932</v>
      </c>
    </row>
    <row r="1790" spans="1:5">
      <c r="A1790" s="2" t="s">
        <v>2933</v>
      </c>
      <c r="B1790" t="s">
        <v>2929</v>
      </c>
      <c r="C1790" t="s">
        <v>530</v>
      </c>
      <c r="D1790" t="s">
        <v>391</v>
      </c>
      <c r="E1790" t="s">
        <v>2930</v>
      </c>
    </row>
    <row r="1791" spans="1:5">
      <c r="A1791" s="2" t="s">
        <v>2934</v>
      </c>
      <c r="B1791" t="s">
        <v>2929</v>
      </c>
      <c r="C1791" t="s">
        <v>1649</v>
      </c>
      <c r="D1791" t="s">
        <v>391</v>
      </c>
      <c r="E1791" t="s">
        <v>2930</v>
      </c>
    </row>
    <row r="1792" spans="1:5">
      <c r="A1792" s="2" t="s">
        <v>2935</v>
      </c>
      <c r="B1792" t="s">
        <v>2929</v>
      </c>
      <c r="C1792" t="s">
        <v>556</v>
      </c>
      <c r="D1792" t="s">
        <v>391</v>
      </c>
      <c r="E1792" t="s">
        <v>2930</v>
      </c>
    </row>
    <row r="1793" spans="1:5">
      <c r="A1793" s="2" t="s">
        <v>2936</v>
      </c>
      <c r="B1793" t="s">
        <v>2929</v>
      </c>
      <c r="C1793" t="s">
        <v>326</v>
      </c>
      <c r="D1793" t="s">
        <v>391</v>
      </c>
      <c r="E1793" t="s">
        <v>2932</v>
      </c>
    </row>
    <row r="1794" spans="1:5">
      <c r="A1794" s="2" t="s">
        <v>2937</v>
      </c>
      <c r="B1794" t="s">
        <v>2929</v>
      </c>
      <c r="C1794" t="s">
        <v>254</v>
      </c>
      <c r="D1794" t="s">
        <v>391</v>
      </c>
      <c r="E1794" t="s">
        <v>2930</v>
      </c>
    </row>
    <row r="1795" spans="1:5">
      <c r="A1795" s="2" t="s">
        <v>2938</v>
      </c>
      <c r="B1795" t="s">
        <v>2929</v>
      </c>
      <c r="C1795" t="s">
        <v>1639</v>
      </c>
      <c r="D1795" t="s">
        <v>391</v>
      </c>
      <c r="E1795" t="s">
        <v>2930</v>
      </c>
    </row>
    <row r="1796" spans="1:5">
      <c r="A1796" s="2" t="s">
        <v>2939</v>
      </c>
      <c r="B1796" t="s">
        <v>2929</v>
      </c>
      <c r="C1796" t="s">
        <v>330</v>
      </c>
      <c r="D1796" t="s">
        <v>391</v>
      </c>
      <c r="E1796" t="s">
        <v>2932</v>
      </c>
    </row>
    <row r="1797" spans="1:5">
      <c r="A1797" s="2" t="s">
        <v>2940</v>
      </c>
      <c r="B1797" t="s">
        <v>2929</v>
      </c>
      <c r="C1797" t="s">
        <v>2857</v>
      </c>
      <c r="D1797" t="s">
        <v>391</v>
      </c>
      <c r="E1797" t="s">
        <v>2941</v>
      </c>
    </row>
    <row r="1798" spans="1:5">
      <c r="A1798" s="2" t="s">
        <v>2942</v>
      </c>
      <c r="B1798" t="s">
        <v>2929</v>
      </c>
      <c r="C1798" t="s">
        <v>2860</v>
      </c>
      <c r="D1798" t="s">
        <v>391</v>
      </c>
      <c r="E1798" t="s">
        <v>2941</v>
      </c>
    </row>
    <row r="1799" spans="1:5">
      <c r="A1799" s="2" t="s">
        <v>2943</v>
      </c>
      <c r="B1799" t="s">
        <v>2929</v>
      </c>
      <c r="C1799" t="s">
        <v>2131</v>
      </c>
      <c r="D1799" t="s">
        <v>391</v>
      </c>
      <c r="E1799" t="s">
        <v>2932</v>
      </c>
    </row>
    <row r="1800" spans="1:5">
      <c r="A1800" s="2" t="s">
        <v>2944</v>
      </c>
      <c r="B1800" t="s">
        <v>2929</v>
      </c>
      <c r="C1800" t="s">
        <v>974</v>
      </c>
      <c r="D1800" t="s">
        <v>391</v>
      </c>
      <c r="E1800" t="s">
        <v>2930</v>
      </c>
    </row>
    <row r="1801" spans="1:5">
      <c r="A1801" s="2" t="s">
        <v>2945</v>
      </c>
      <c r="B1801" t="s">
        <v>2929</v>
      </c>
      <c r="C1801" t="s">
        <v>1645</v>
      </c>
      <c r="D1801" t="s">
        <v>391</v>
      </c>
      <c r="E1801" t="s">
        <v>2932</v>
      </c>
    </row>
    <row r="1802" spans="1:5">
      <c r="A1802" s="2" t="s">
        <v>2946</v>
      </c>
      <c r="B1802" t="s">
        <v>2929</v>
      </c>
      <c r="C1802" t="s">
        <v>1697</v>
      </c>
      <c r="D1802" t="s">
        <v>391</v>
      </c>
      <c r="E1802" t="s">
        <v>2930</v>
      </c>
    </row>
    <row r="1803" spans="1:5">
      <c r="A1803" s="2" t="s">
        <v>2947</v>
      </c>
      <c r="B1803" t="s">
        <v>2929</v>
      </c>
      <c r="C1803" t="s">
        <v>1642</v>
      </c>
      <c r="D1803" t="s">
        <v>391</v>
      </c>
      <c r="E1803" t="s">
        <v>2932</v>
      </c>
    </row>
    <row r="1804" spans="1:5">
      <c r="A1804" s="2" t="s">
        <v>2948</v>
      </c>
      <c r="B1804" t="s">
        <v>2929</v>
      </c>
      <c r="C1804" t="s">
        <v>2867</v>
      </c>
      <c r="D1804" t="s">
        <v>391</v>
      </c>
      <c r="E1804" t="s">
        <v>2941</v>
      </c>
    </row>
    <row r="1805" spans="1:5">
      <c r="A1805" s="2" t="s">
        <v>2949</v>
      </c>
      <c r="B1805" t="s">
        <v>2929</v>
      </c>
      <c r="C1805" t="s">
        <v>2869</v>
      </c>
      <c r="D1805" t="s">
        <v>391</v>
      </c>
      <c r="E1805" t="s">
        <v>2941</v>
      </c>
    </row>
    <row r="1806" spans="1:5">
      <c r="A1806" s="2" t="s">
        <v>2950</v>
      </c>
      <c r="B1806" t="s">
        <v>2929</v>
      </c>
      <c r="C1806" t="s">
        <v>2871</v>
      </c>
      <c r="D1806" t="s">
        <v>391</v>
      </c>
      <c r="E1806" t="s">
        <v>2932</v>
      </c>
    </row>
    <row r="1807" spans="1:5">
      <c r="A1807" s="2" t="s">
        <v>2951</v>
      </c>
      <c r="B1807" t="s">
        <v>2929</v>
      </c>
      <c r="C1807" t="s">
        <v>2952</v>
      </c>
      <c r="D1807" t="s">
        <v>391</v>
      </c>
      <c r="E1807" t="s">
        <v>2941</v>
      </c>
    </row>
    <row r="1808" spans="1:5">
      <c r="A1808" s="2" t="s">
        <v>2953</v>
      </c>
      <c r="B1808" t="s">
        <v>2929</v>
      </c>
      <c r="C1808" t="s">
        <v>2873</v>
      </c>
      <c r="D1808" t="s">
        <v>391</v>
      </c>
      <c r="E1808" t="s">
        <v>2941</v>
      </c>
    </row>
    <row r="1809" spans="1:5">
      <c r="A1809" s="2" t="s">
        <v>2954</v>
      </c>
      <c r="B1809" t="s">
        <v>2929</v>
      </c>
      <c r="C1809" t="s">
        <v>2875</v>
      </c>
      <c r="D1809" t="s">
        <v>391</v>
      </c>
      <c r="E1809" t="s">
        <v>2941</v>
      </c>
    </row>
    <row r="1810" spans="1:5">
      <c r="A1810" s="2" t="s">
        <v>2955</v>
      </c>
      <c r="B1810" t="s">
        <v>2929</v>
      </c>
      <c r="C1810" t="s">
        <v>2877</v>
      </c>
      <c r="D1810" t="s">
        <v>391</v>
      </c>
      <c r="E1810" t="s">
        <v>2932</v>
      </c>
    </row>
    <row r="1811" spans="1:5">
      <c r="A1811" s="2" t="s">
        <v>2956</v>
      </c>
      <c r="B1811" t="s">
        <v>2929</v>
      </c>
      <c r="C1811" t="s">
        <v>1203</v>
      </c>
      <c r="D1811" t="s">
        <v>391</v>
      </c>
      <c r="E1811" t="s">
        <v>2932</v>
      </c>
    </row>
    <row r="1812" spans="1:5">
      <c r="A1812" s="2" t="s">
        <v>2957</v>
      </c>
      <c r="B1812" t="s">
        <v>2929</v>
      </c>
      <c r="C1812" t="s">
        <v>1667</v>
      </c>
      <c r="D1812" t="s">
        <v>391</v>
      </c>
      <c r="E1812" t="s">
        <v>2930</v>
      </c>
    </row>
    <row r="1813" spans="1:5">
      <c r="A1813" s="2" t="s">
        <v>2958</v>
      </c>
      <c r="B1813" t="s">
        <v>2929</v>
      </c>
      <c r="C1813" t="s">
        <v>538</v>
      </c>
      <c r="D1813" t="s">
        <v>391</v>
      </c>
      <c r="E1813" t="s">
        <v>2941</v>
      </c>
    </row>
    <row r="1814" spans="1:5">
      <c r="A1814" s="2" t="s">
        <v>2959</v>
      </c>
      <c r="B1814" t="s">
        <v>2929</v>
      </c>
      <c r="C1814" t="s">
        <v>562</v>
      </c>
      <c r="D1814" t="s">
        <v>391</v>
      </c>
      <c r="E1814" t="s">
        <v>2941</v>
      </c>
    </row>
    <row r="1815" spans="1:5">
      <c r="A1815" s="2" t="s">
        <v>2960</v>
      </c>
      <c r="B1815" t="s">
        <v>2961</v>
      </c>
      <c r="C1815" t="s">
        <v>530</v>
      </c>
      <c r="D1815" t="s">
        <v>391</v>
      </c>
      <c r="E1815" t="s">
        <v>2941</v>
      </c>
    </row>
    <row r="1816" spans="1:5">
      <c r="A1816" s="2" t="s">
        <v>2962</v>
      </c>
      <c r="B1816" t="s">
        <v>2961</v>
      </c>
      <c r="C1816" t="s">
        <v>1649</v>
      </c>
      <c r="D1816" t="s">
        <v>391</v>
      </c>
      <c r="E1816" t="s">
        <v>2941</v>
      </c>
    </row>
    <row r="1817" spans="1:5">
      <c r="A1817" s="2" t="s">
        <v>2963</v>
      </c>
      <c r="B1817" t="s">
        <v>2961</v>
      </c>
      <c r="C1817" t="s">
        <v>1651</v>
      </c>
      <c r="D1817" t="s">
        <v>391</v>
      </c>
      <c r="E1817" t="s">
        <v>2941</v>
      </c>
    </row>
    <row r="1818" spans="1:5">
      <c r="A1818" s="2" t="s">
        <v>2964</v>
      </c>
      <c r="B1818" s="9" t="s">
        <v>2961</v>
      </c>
      <c r="C1818" s="9" t="s">
        <v>534</v>
      </c>
      <c r="D1818" s="9" t="s">
        <v>391</v>
      </c>
      <c r="E1818" s="9" t="s">
        <v>2941</v>
      </c>
    </row>
    <row r="1819" spans="1:5">
      <c r="A1819" s="2" t="s">
        <v>2965</v>
      </c>
      <c r="B1819" s="5" t="s">
        <v>2961</v>
      </c>
      <c r="C1819" s="5" t="s">
        <v>536</v>
      </c>
      <c r="D1819" s="5" t="s">
        <v>391</v>
      </c>
      <c r="E1819" s="5" t="s">
        <v>2941</v>
      </c>
    </row>
    <row r="1820" spans="1:5">
      <c r="A1820" s="2" t="s">
        <v>2966</v>
      </c>
      <c r="B1820" t="s">
        <v>2961</v>
      </c>
      <c r="C1820" t="s">
        <v>1439</v>
      </c>
      <c r="D1820" t="s">
        <v>391</v>
      </c>
      <c r="E1820" t="s">
        <v>2941</v>
      </c>
    </row>
    <row r="1821" spans="1:5">
      <c r="A1821" s="2" t="s">
        <v>2967</v>
      </c>
      <c r="B1821" t="s">
        <v>2961</v>
      </c>
      <c r="C1821" t="s">
        <v>592</v>
      </c>
      <c r="D1821" t="s">
        <v>391</v>
      </c>
      <c r="E1821" t="s">
        <v>2941</v>
      </c>
    </row>
    <row r="1822" spans="1:5">
      <c r="A1822" s="2" t="s">
        <v>2968</v>
      </c>
      <c r="B1822" t="s">
        <v>2961</v>
      </c>
      <c r="C1822" t="s">
        <v>1216</v>
      </c>
      <c r="D1822" t="s">
        <v>391</v>
      </c>
      <c r="E1822" t="s">
        <v>2941</v>
      </c>
    </row>
    <row r="1823" spans="1:5">
      <c r="A1823" s="2" t="s">
        <v>2969</v>
      </c>
      <c r="B1823" t="s">
        <v>2961</v>
      </c>
      <c r="C1823" t="s">
        <v>254</v>
      </c>
      <c r="D1823" t="s">
        <v>391</v>
      </c>
      <c r="E1823" t="s">
        <v>2941</v>
      </c>
    </row>
    <row r="1824" spans="1:5">
      <c r="A1824" s="2" t="s">
        <v>2970</v>
      </c>
      <c r="B1824" t="s">
        <v>2961</v>
      </c>
      <c r="C1824" t="s">
        <v>1639</v>
      </c>
      <c r="D1824" t="s">
        <v>391</v>
      </c>
      <c r="E1824" t="s">
        <v>2941</v>
      </c>
    </row>
    <row r="1825" spans="1:5">
      <c r="A1825" s="2" t="s">
        <v>2971</v>
      </c>
      <c r="B1825" t="s">
        <v>2961</v>
      </c>
      <c r="C1825" t="s">
        <v>298</v>
      </c>
      <c r="D1825" t="s">
        <v>391</v>
      </c>
      <c r="E1825" t="s">
        <v>2941</v>
      </c>
    </row>
    <row r="1826" spans="1:5">
      <c r="A1826" s="2" t="s">
        <v>2972</v>
      </c>
      <c r="B1826" t="s">
        <v>2961</v>
      </c>
      <c r="C1826" t="s">
        <v>1030</v>
      </c>
      <c r="D1826" t="s">
        <v>391</v>
      </c>
      <c r="E1826" t="s">
        <v>2941</v>
      </c>
    </row>
    <row r="1827" spans="1:5">
      <c r="A1827" s="2" t="s">
        <v>2973</v>
      </c>
      <c r="B1827" t="s">
        <v>2961</v>
      </c>
      <c r="C1827" t="s">
        <v>1667</v>
      </c>
      <c r="D1827" t="s">
        <v>391</v>
      </c>
      <c r="E1827" t="s">
        <v>2941</v>
      </c>
    </row>
    <row r="1828" spans="1:5">
      <c r="A1828" s="2" t="s">
        <v>2974</v>
      </c>
      <c r="B1828" s="3" t="s">
        <v>2961</v>
      </c>
      <c r="C1828" s="3" t="s">
        <v>1662</v>
      </c>
      <c r="D1828" s="3" t="s">
        <v>391</v>
      </c>
      <c r="E1828" s="3" t="s">
        <v>2941</v>
      </c>
    </row>
    <row r="1829" spans="1:5">
      <c r="A1829" s="2" t="s">
        <v>2975</v>
      </c>
      <c r="B1829" s="3" t="s">
        <v>2961</v>
      </c>
      <c r="C1829" s="3" t="s">
        <v>1664</v>
      </c>
      <c r="D1829" s="3" t="s">
        <v>391</v>
      </c>
      <c r="E1829" s="3" t="s">
        <v>2941</v>
      </c>
    </row>
    <row r="1830" spans="1:5">
      <c r="A1830" s="2" t="s">
        <v>2976</v>
      </c>
      <c r="B1830" t="s">
        <v>2961</v>
      </c>
      <c r="C1830" t="s">
        <v>1669</v>
      </c>
      <c r="D1830" t="s">
        <v>391</v>
      </c>
      <c r="E1830" t="s">
        <v>2941</v>
      </c>
    </row>
    <row r="1831" spans="1:5">
      <c r="A1831" s="2" t="s">
        <v>2977</v>
      </c>
      <c r="B1831" t="s">
        <v>2978</v>
      </c>
      <c r="C1831" t="s">
        <v>530</v>
      </c>
      <c r="D1831" t="s">
        <v>391</v>
      </c>
      <c r="E1831" t="s">
        <v>2979</v>
      </c>
    </row>
    <row r="1832" spans="1:5">
      <c r="A1832" s="2" t="s">
        <v>2980</v>
      </c>
      <c r="B1832" t="s">
        <v>2978</v>
      </c>
      <c r="C1832" t="s">
        <v>1649</v>
      </c>
      <c r="D1832" t="s">
        <v>391</v>
      </c>
      <c r="E1832" t="s">
        <v>2979</v>
      </c>
    </row>
    <row r="1833" spans="1:5">
      <c r="A1833" s="2" t="s">
        <v>2981</v>
      </c>
      <c r="B1833" t="s">
        <v>2978</v>
      </c>
      <c r="C1833" t="s">
        <v>1651</v>
      </c>
      <c r="D1833" t="s">
        <v>391</v>
      </c>
      <c r="E1833" t="s">
        <v>2979</v>
      </c>
    </row>
    <row r="1834" spans="1:5">
      <c r="A1834" s="2" t="s">
        <v>2982</v>
      </c>
      <c r="B1834" t="s">
        <v>2978</v>
      </c>
      <c r="C1834" t="s">
        <v>534</v>
      </c>
      <c r="D1834" t="s">
        <v>391</v>
      </c>
      <c r="E1834" t="s">
        <v>2979</v>
      </c>
    </row>
    <row r="1835" spans="1:5">
      <c r="A1835" s="2" t="s">
        <v>2983</v>
      </c>
      <c r="B1835" t="s">
        <v>2978</v>
      </c>
      <c r="C1835" t="s">
        <v>556</v>
      </c>
      <c r="D1835" t="s">
        <v>391</v>
      </c>
      <c r="E1835" t="s">
        <v>2979</v>
      </c>
    </row>
    <row r="1836" spans="1:5">
      <c r="A1836" s="2" t="s">
        <v>2984</v>
      </c>
      <c r="B1836" t="s">
        <v>2978</v>
      </c>
      <c r="C1836" t="s">
        <v>590</v>
      </c>
      <c r="D1836" t="s">
        <v>391</v>
      </c>
      <c r="E1836" t="s">
        <v>2979</v>
      </c>
    </row>
    <row r="1837" spans="1:5">
      <c r="A1837" s="2" t="s">
        <v>2985</v>
      </c>
      <c r="B1837" t="s">
        <v>2978</v>
      </c>
      <c r="C1837" t="s">
        <v>254</v>
      </c>
      <c r="D1837" t="s">
        <v>391</v>
      </c>
      <c r="E1837" t="s">
        <v>2979</v>
      </c>
    </row>
    <row r="1838" spans="1:5">
      <c r="A1838" s="2" t="s">
        <v>2986</v>
      </c>
      <c r="B1838" t="s">
        <v>2978</v>
      </c>
      <c r="C1838" t="s">
        <v>1639</v>
      </c>
      <c r="D1838" t="s">
        <v>391</v>
      </c>
      <c r="E1838" t="s">
        <v>2979</v>
      </c>
    </row>
    <row r="1839" spans="1:5">
      <c r="A1839" s="2" t="s">
        <v>2987</v>
      </c>
      <c r="B1839" t="s">
        <v>2978</v>
      </c>
      <c r="C1839" t="s">
        <v>298</v>
      </c>
      <c r="D1839" t="s">
        <v>391</v>
      </c>
      <c r="E1839" t="s">
        <v>2979</v>
      </c>
    </row>
    <row r="1840" spans="1:5">
      <c r="A1840" s="2" t="s">
        <v>2988</v>
      </c>
      <c r="B1840" t="s">
        <v>2978</v>
      </c>
      <c r="C1840" t="s">
        <v>815</v>
      </c>
      <c r="D1840" t="s">
        <v>391</v>
      </c>
      <c r="E1840" t="s">
        <v>2979</v>
      </c>
    </row>
    <row r="1841" spans="1:5">
      <c r="A1841" s="2" t="s">
        <v>2989</v>
      </c>
      <c r="B1841" t="s">
        <v>2978</v>
      </c>
      <c r="C1841" t="s">
        <v>817</v>
      </c>
      <c r="D1841" t="s">
        <v>391</v>
      </c>
      <c r="E1841" t="s">
        <v>2979</v>
      </c>
    </row>
    <row r="1842" spans="1:5">
      <c r="A1842" s="2" t="s">
        <v>2990</v>
      </c>
      <c r="B1842" t="s">
        <v>2978</v>
      </c>
      <c r="C1842" t="s">
        <v>974</v>
      </c>
      <c r="D1842" t="s">
        <v>391</v>
      </c>
      <c r="E1842" t="s">
        <v>2979</v>
      </c>
    </row>
    <row r="1843" spans="1:5">
      <c r="A1843" s="2" t="s">
        <v>2991</v>
      </c>
      <c r="B1843" t="s">
        <v>2978</v>
      </c>
      <c r="C1843" t="s">
        <v>1667</v>
      </c>
      <c r="D1843" t="s">
        <v>391</v>
      </c>
      <c r="E1843" t="s">
        <v>2979</v>
      </c>
    </row>
    <row r="1844" spans="1:5">
      <c r="A1844" s="2" t="s">
        <v>2992</v>
      </c>
      <c r="B1844" t="s">
        <v>2978</v>
      </c>
      <c r="C1844" t="s">
        <v>1697</v>
      </c>
      <c r="D1844" t="s">
        <v>391</v>
      </c>
      <c r="E1844" t="s">
        <v>2979</v>
      </c>
    </row>
    <row r="1845" spans="1:5">
      <c r="A1845" s="2" t="s">
        <v>2993</v>
      </c>
      <c r="B1845" t="s">
        <v>2978</v>
      </c>
      <c r="C1845" t="s">
        <v>1699</v>
      </c>
      <c r="D1845" t="s">
        <v>391</v>
      </c>
      <c r="E1845" t="s">
        <v>2979</v>
      </c>
    </row>
    <row r="1846" spans="1:5">
      <c r="A1846" s="2" t="s">
        <v>2994</v>
      </c>
      <c r="B1846" t="s">
        <v>2978</v>
      </c>
      <c r="C1846" t="s">
        <v>870</v>
      </c>
      <c r="D1846" t="s">
        <v>391</v>
      </c>
      <c r="E1846" t="s">
        <v>2979</v>
      </c>
    </row>
    <row r="1847" spans="1:5">
      <c r="A1847" s="2" t="s">
        <v>2995</v>
      </c>
      <c r="B1847" t="s">
        <v>2978</v>
      </c>
      <c r="C1847" t="s">
        <v>872</v>
      </c>
      <c r="D1847" t="s">
        <v>391</v>
      </c>
      <c r="E1847" t="s">
        <v>2979</v>
      </c>
    </row>
    <row r="1848" spans="1:5">
      <c r="A1848" s="2" t="s">
        <v>2996</v>
      </c>
      <c r="B1848" t="s">
        <v>2978</v>
      </c>
      <c r="C1848" t="s">
        <v>2857</v>
      </c>
      <c r="D1848" t="s">
        <v>391</v>
      </c>
      <c r="E1848" t="s">
        <v>2979</v>
      </c>
    </row>
    <row r="1849" spans="1:5">
      <c r="A1849" s="2" t="s">
        <v>2997</v>
      </c>
      <c r="B1849" t="s">
        <v>2978</v>
      </c>
      <c r="C1849" t="s">
        <v>1063</v>
      </c>
      <c r="D1849" t="s">
        <v>391</v>
      </c>
      <c r="E1849" t="s">
        <v>2979</v>
      </c>
    </row>
    <row r="1850" spans="1:5">
      <c r="A1850" s="2" t="s">
        <v>2998</v>
      </c>
      <c r="B1850" t="s">
        <v>2978</v>
      </c>
      <c r="C1850" t="s">
        <v>1065</v>
      </c>
      <c r="D1850" t="s">
        <v>391</v>
      </c>
      <c r="E1850" t="s">
        <v>2979</v>
      </c>
    </row>
    <row r="1851" spans="1:5">
      <c r="A1851" s="2" t="s">
        <v>2999</v>
      </c>
      <c r="B1851" t="s">
        <v>2978</v>
      </c>
      <c r="C1851" t="s">
        <v>2877</v>
      </c>
      <c r="D1851" t="s">
        <v>391</v>
      </c>
      <c r="E1851" t="s">
        <v>2979</v>
      </c>
    </row>
    <row r="1852" spans="1:5">
      <c r="A1852" s="2" t="s">
        <v>3000</v>
      </c>
      <c r="B1852" t="s">
        <v>2978</v>
      </c>
      <c r="C1852" t="s">
        <v>326</v>
      </c>
      <c r="D1852" t="s">
        <v>391</v>
      </c>
      <c r="E1852" t="s">
        <v>2900</v>
      </c>
    </row>
    <row r="1853" spans="1:5">
      <c r="A1853" s="2" t="s">
        <v>3001</v>
      </c>
      <c r="B1853" t="s">
        <v>2978</v>
      </c>
      <c r="C1853" t="s">
        <v>2131</v>
      </c>
      <c r="D1853" t="s">
        <v>391</v>
      </c>
      <c r="E1853" t="s">
        <v>2979</v>
      </c>
    </row>
    <row r="1854" spans="1:5">
      <c r="A1854" s="2" t="s">
        <v>3002</v>
      </c>
      <c r="B1854" t="s">
        <v>2978</v>
      </c>
      <c r="C1854" t="s">
        <v>1669</v>
      </c>
      <c r="D1854" t="s">
        <v>391</v>
      </c>
      <c r="E1854" t="s">
        <v>2979</v>
      </c>
    </row>
    <row r="1855" spans="1:5">
      <c r="A1855" s="2" t="s">
        <v>3003</v>
      </c>
      <c r="B1855" t="s">
        <v>2978</v>
      </c>
      <c r="C1855" t="s">
        <v>538</v>
      </c>
      <c r="D1855" t="s">
        <v>391</v>
      </c>
      <c r="E1855" t="s">
        <v>2979</v>
      </c>
    </row>
    <row r="1856" spans="1:5">
      <c r="A1856" s="2" t="s">
        <v>3004</v>
      </c>
      <c r="B1856" t="s">
        <v>2978</v>
      </c>
      <c r="C1856" t="s">
        <v>562</v>
      </c>
      <c r="D1856" t="s">
        <v>391</v>
      </c>
      <c r="E1856" t="s">
        <v>2979</v>
      </c>
    </row>
    <row r="1857" spans="1:5">
      <c r="A1857" s="2" t="s">
        <v>3005</v>
      </c>
      <c r="B1857" t="s">
        <v>3006</v>
      </c>
      <c r="C1857" t="s">
        <v>530</v>
      </c>
      <c r="D1857" t="s">
        <v>391</v>
      </c>
      <c r="E1857" t="s">
        <v>1672</v>
      </c>
    </row>
    <row r="1858" spans="1:5">
      <c r="A1858" s="2" t="s">
        <v>3007</v>
      </c>
      <c r="B1858" t="s">
        <v>3008</v>
      </c>
      <c r="C1858" t="s">
        <v>796</v>
      </c>
      <c r="D1858" t="s">
        <v>392</v>
      </c>
      <c r="E1858" t="s">
        <v>3009</v>
      </c>
    </row>
    <row r="1859" spans="1:5">
      <c r="A1859" s="2" t="s">
        <v>3010</v>
      </c>
      <c r="B1859" t="s">
        <v>3011</v>
      </c>
      <c r="C1859" t="s">
        <v>254</v>
      </c>
      <c r="D1859" t="s">
        <v>392</v>
      </c>
      <c r="E1859" t="s">
        <v>3012</v>
      </c>
    </row>
    <row r="1860" spans="1:5">
      <c r="A1860" s="2" t="str">
        <f>B1860&amp;C1860</f>
        <v>TGN166R-SDTHKD45</v>
      </c>
      <c r="B1860" t="s">
        <v>3011</v>
      </c>
      <c r="C1860" s="632" t="s">
        <v>3013</v>
      </c>
      <c r="D1860" t="s">
        <v>392</v>
      </c>
      <c r="E1860" t="s">
        <v>3012</v>
      </c>
    </row>
    <row r="1861" spans="1:5">
      <c r="A1861" s="7" t="s">
        <v>3014</v>
      </c>
      <c r="B1861" t="s">
        <v>3011</v>
      </c>
      <c r="C1861">
        <v>44</v>
      </c>
      <c r="D1861" t="s">
        <v>392</v>
      </c>
      <c r="E1861" t="s">
        <v>3012</v>
      </c>
    </row>
    <row r="1862" spans="1:5">
      <c r="A1862" s="2" t="s">
        <v>3015</v>
      </c>
      <c r="B1862" t="s">
        <v>3011</v>
      </c>
      <c r="C1862">
        <v>41</v>
      </c>
      <c r="D1862" t="s">
        <v>392</v>
      </c>
      <c r="E1862" t="s">
        <v>3012</v>
      </c>
    </row>
    <row r="1863" spans="1:5">
      <c r="A1863" s="2" t="s">
        <v>3016</v>
      </c>
      <c r="B1863" t="s">
        <v>3011</v>
      </c>
      <c r="C1863">
        <v>42</v>
      </c>
      <c r="D1863" t="s">
        <v>392</v>
      </c>
      <c r="E1863" t="s">
        <v>3012</v>
      </c>
    </row>
    <row r="1864" spans="1:5">
      <c r="A1864" s="2" t="s">
        <v>3016</v>
      </c>
      <c r="B1864" t="s">
        <v>3011</v>
      </c>
      <c r="C1864">
        <v>43</v>
      </c>
      <c r="D1864" t="s">
        <v>392</v>
      </c>
      <c r="E1864" t="s">
        <v>3012</v>
      </c>
    </row>
    <row r="1865" spans="1:5">
      <c r="A1865" s="2" t="s">
        <v>3017</v>
      </c>
      <c r="B1865" t="s">
        <v>3011</v>
      </c>
      <c r="C1865" t="s">
        <v>1063</v>
      </c>
      <c r="D1865" t="s">
        <v>392</v>
      </c>
      <c r="E1865" t="s">
        <v>3012</v>
      </c>
    </row>
    <row r="1866" spans="1:5">
      <c r="A1866" s="2" t="s">
        <v>3018</v>
      </c>
      <c r="B1866" t="s">
        <v>3011</v>
      </c>
      <c r="C1866" t="s">
        <v>1065</v>
      </c>
      <c r="D1866" t="s">
        <v>392</v>
      </c>
      <c r="E1866" t="s">
        <v>3012</v>
      </c>
    </row>
    <row r="1867" spans="1:5">
      <c r="A1867" s="2" t="s">
        <v>3019</v>
      </c>
      <c r="B1867" t="s">
        <v>3011</v>
      </c>
      <c r="C1867">
        <v>43</v>
      </c>
      <c r="D1867" t="s">
        <v>392</v>
      </c>
      <c r="E1867" t="s">
        <v>3012</v>
      </c>
    </row>
    <row r="1868" spans="1:5">
      <c r="A1868" s="2" t="s">
        <v>3020</v>
      </c>
      <c r="B1868" t="s">
        <v>3011</v>
      </c>
      <c r="C1868" t="s">
        <v>298</v>
      </c>
      <c r="D1868" t="s">
        <v>392</v>
      </c>
      <c r="E1868" t="s">
        <v>3012</v>
      </c>
    </row>
    <row r="1869" spans="1:5">
      <c r="A1869" s="2" t="s">
        <v>3021</v>
      </c>
      <c r="B1869" t="s">
        <v>3011</v>
      </c>
      <c r="C1869">
        <v>46</v>
      </c>
      <c r="D1869" t="s">
        <v>392</v>
      </c>
      <c r="E1869" t="s">
        <v>3012</v>
      </c>
    </row>
    <row r="1870" spans="1:5">
      <c r="A1870" s="2" t="s">
        <v>3022</v>
      </c>
      <c r="B1870" t="s">
        <v>3011</v>
      </c>
      <c r="C1870" t="s">
        <v>534</v>
      </c>
      <c r="D1870" t="s">
        <v>392</v>
      </c>
      <c r="E1870" t="s">
        <v>3012</v>
      </c>
    </row>
    <row r="1871" spans="1:5">
      <c r="A1871" s="2" t="s">
        <v>3023</v>
      </c>
      <c r="B1871" t="s">
        <v>3011</v>
      </c>
      <c r="C1871" t="s">
        <v>590</v>
      </c>
      <c r="D1871" t="s">
        <v>392</v>
      </c>
      <c r="E1871" t="s">
        <v>3012</v>
      </c>
    </row>
    <row r="1872" spans="1:5">
      <c r="A1872" s="2" t="s">
        <v>3024</v>
      </c>
      <c r="B1872" t="s">
        <v>3011</v>
      </c>
      <c r="C1872" t="s">
        <v>817</v>
      </c>
      <c r="D1872" t="s">
        <v>392</v>
      </c>
      <c r="E1872" t="s">
        <v>3012</v>
      </c>
    </row>
    <row r="1873" spans="1:5">
      <c r="A1873" s="2" t="s">
        <v>3025</v>
      </c>
      <c r="B1873" t="s">
        <v>3026</v>
      </c>
      <c r="C1873">
        <v>21</v>
      </c>
      <c r="D1873" t="s">
        <v>392</v>
      </c>
      <c r="E1873" t="s">
        <v>3012</v>
      </c>
    </row>
    <row r="1874" spans="1:5">
      <c r="A1874" s="2" t="s">
        <v>3027</v>
      </c>
      <c r="B1874" t="s">
        <v>3028</v>
      </c>
      <c r="C1874" t="s">
        <v>254</v>
      </c>
      <c r="D1874" t="s">
        <v>392</v>
      </c>
      <c r="E1874" t="s">
        <v>3012</v>
      </c>
    </row>
    <row r="1875" spans="1:5">
      <c r="A1875" s="2" t="s">
        <v>3029</v>
      </c>
      <c r="B1875" t="s">
        <v>3028</v>
      </c>
      <c r="C1875" t="s">
        <v>1649</v>
      </c>
      <c r="D1875" t="s">
        <v>392</v>
      </c>
      <c r="E1875" t="s">
        <v>3012</v>
      </c>
    </row>
    <row r="1876" spans="1:5">
      <c r="A1876" s="2" t="s">
        <v>3030</v>
      </c>
      <c r="B1876" t="s">
        <v>3028</v>
      </c>
      <c r="C1876" t="s">
        <v>530</v>
      </c>
      <c r="D1876" t="s">
        <v>392</v>
      </c>
      <c r="E1876" t="s">
        <v>3012</v>
      </c>
    </row>
    <row r="1877" spans="1:5">
      <c r="A1877" s="2" t="s">
        <v>3031</v>
      </c>
      <c r="B1877" t="s">
        <v>3028</v>
      </c>
      <c r="C1877" t="s">
        <v>590</v>
      </c>
      <c r="D1877" t="s">
        <v>392</v>
      </c>
      <c r="E1877" t="s">
        <v>3012</v>
      </c>
    </row>
    <row r="1878" spans="1:5">
      <c r="A1878" s="2" t="s">
        <v>3032</v>
      </c>
      <c r="B1878" t="s">
        <v>3028</v>
      </c>
      <c r="C1878" t="s">
        <v>534</v>
      </c>
      <c r="D1878" t="s">
        <v>392</v>
      </c>
      <c r="E1878" t="s">
        <v>3012</v>
      </c>
    </row>
    <row r="1879" spans="1:5">
      <c r="A1879" s="2" t="s">
        <v>3033</v>
      </c>
      <c r="B1879" t="s">
        <v>3028</v>
      </c>
      <c r="C1879" t="s">
        <v>815</v>
      </c>
      <c r="D1879" t="s">
        <v>392</v>
      </c>
      <c r="E1879" t="s">
        <v>3012</v>
      </c>
    </row>
    <row r="1880" spans="1:5">
      <c r="A1880" s="2" t="s">
        <v>3034</v>
      </c>
      <c r="B1880" t="s">
        <v>3028</v>
      </c>
      <c r="C1880" t="s">
        <v>556</v>
      </c>
      <c r="D1880" t="s">
        <v>392</v>
      </c>
      <c r="E1880" t="s">
        <v>3012</v>
      </c>
    </row>
    <row r="1881" spans="1:5">
      <c r="A1881" s="2" t="s">
        <v>3035</v>
      </c>
      <c r="B1881" t="s">
        <v>3028</v>
      </c>
      <c r="C1881" t="s">
        <v>817</v>
      </c>
      <c r="D1881" t="s">
        <v>392</v>
      </c>
      <c r="E1881" t="s">
        <v>3012</v>
      </c>
    </row>
    <row r="1882" spans="1:5">
      <c r="A1882" s="2" t="s">
        <v>3036</v>
      </c>
      <c r="B1882" t="s">
        <v>3028</v>
      </c>
      <c r="C1882" t="s">
        <v>1667</v>
      </c>
      <c r="D1882" t="s">
        <v>392</v>
      </c>
      <c r="E1882" t="s">
        <v>3012</v>
      </c>
    </row>
    <row r="1883" spans="1:5">
      <c r="A1883" s="2" t="s">
        <v>3037</v>
      </c>
      <c r="B1883" t="s">
        <v>3028</v>
      </c>
      <c r="C1883" t="s">
        <v>1669</v>
      </c>
      <c r="D1883" t="s">
        <v>392</v>
      </c>
      <c r="E1883" t="s">
        <v>3012</v>
      </c>
    </row>
    <row r="1884" spans="1:5">
      <c r="A1884" s="2" t="s">
        <v>3038</v>
      </c>
      <c r="B1884" t="s">
        <v>3028</v>
      </c>
      <c r="C1884" t="s">
        <v>2131</v>
      </c>
      <c r="D1884" t="s">
        <v>392</v>
      </c>
      <c r="E1884" t="s">
        <v>3012</v>
      </c>
    </row>
    <row r="1885" spans="1:5">
      <c r="A1885" s="2" t="s">
        <v>3039</v>
      </c>
      <c r="B1885" t="s">
        <v>3028</v>
      </c>
      <c r="C1885" t="s">
        <v>1699</v>
      </c>
      <c r="D1885" t="s">
        <v>392</v>
      </c>
      <c r="E1885" t="s">
        <v>3012</v>
      </c>
    </row>
    <row r="1886" spans="1:5">
      <c r="A1886" s="2" t="s">
        <v>3040</v>
      </c>
      <c r="B1886" t="s">
        <v>3028</v>
      </c>
      <c r="C1886" t="s">
        <v>1697</v>
      </c>
      <c r="D1886" t="s">
        <v>392</v>
      </c>
      <c r="E1886" t="s">
        <v>3012</v>
      </c>
    </row>
    <row r="1887" spans="1:5">
      <c r="A1887" s="2" t="s">
        <v>3041</v>
      </c>
      <c r="B1887" t="s">
        <v>3028</v>
      </c>
      <c r="C1887" t="s">
        <v>974</v>
      </c>
      <c r="D1887" t="s">
        <v>392</v>
      </c>
      <c r="E1887" t="s">
        <v>3012</v>
      </c>
    </row>
    <row r="1888" spans="1:5">
      <c r="A1888" s="2" t="s">
        <v>3042</v>
      </c>
      <c r="B1888" t="s">
        <v>3028</v>
      </c>
      <c r="C1888" t="s">
        <v>1203</v>
      </c>
      <c r="D1888" t="s">
        <v>392</v>
      </c>
      <c r="E1888" t="s">
        <v>3012</v>
      </c>
    </row>
    <row r="1889" spans="1:5">
      <c r="A1889" s="2" t="s">
        <v>3043</v>
      </c>
      <c r="B1889" t="s">
        <v>3044</v>
      </c>
      <c r="C1889" t="s">
        <v>298</v>
      </c>
      <c r="D1889" t="s">
        <v>391</v>
      </c>
      <c r="E1889" t="s">
        <v>3045</v>
      </c>
    </row>
    <row r="1890" spans="1:5">
      <c r="A1890" s="2" t="s">
        <v>3046</v>
      </c>
      <c r="B1890" t="s">
        <v>3044</v>
      </c>
      <c r="C1890" t="s">
        <v>590</v>
      </c>
      <c r="D1890" t="s">
        <v>391</v>
      </c>
      <c r="E1890" t="s">
        <v>3045</v>
      </c>
    </row>
    <row r="1891" spans="1:5">
      <c r="A1891" s="2" t="s">
        <v>3047</v>
      </c>
      <c r="B1891" t="s">
        <v>3044</v>
      </c>
      <c r="C1891" t="s">
        <v>326</v>
      </c>
      <c r="D1891" t="s">
        <v>391</v>
      </c>
      <c r="E1891" t="s">
        <v>3045</v>
      </c>
    </row>
    <row r="1892" spans="1:5">
      <c r="A1892" s="2" t="s">
        <v>3048</v>
      </c>
      <c r="B1892" t="s">
        <v>3044</v>
      </c>
      <c r="C1892" t="s">
        <v>2049</v>
      </c>
      <c r="D1892" t="s">
        <v>391</v>
      </c>
      <c r="E1892" t="s">
        <v>3045</v>
      </c>
    </row>
    <row r="1893" spans="1:5">
      <c r="A1893" s="2" t="s">
        <v>3049</v>
      </c>
      <c r="B1893" t="s">
        <v>3044</v>
      </c>
      <c r="C1893" t="s">
        <v>3050</v>
      </c>
      <c r="D1893" t="s">
        <v>391</v>
      </c>
      <c r="E1893" t="s">
        <v>3045</v>
      </c>
    </row>
    <row r="1894" spans="1:5">
      <c r="A1894" s="2" t="s">
        <v>3051</v>
      </c>
      <c r="B1894" t="s">
        <v>3044</v>
      </c>
      <c r="C1894" t="s">
        <v>2051</v>
      </c>
      <c r="D1894" t="s">
        <v>391</v>
      </c>
      <c r="E1894" t="s">
        <v>3045</v>
      </c>
    </row>
    <row r="1895" spans="1:5">
      <c r="A1895" s="2" t="s">
        <v>3052</v>
      </c>
      <c r="B1895" t="s">
        <v>3044</v>
      </c>
      <c r="C1895" t="s">
        <v>2146</v>
      </c>
      <c r="D1895" t="s">
        <v>391</v>
      </c>
      <c r="E1895" t="s">
        <v>3045</v>
      </c>
    </row>
    <row r="1896" spans="1:5">
      <c r="A1896" s="2" t="s">
        <v>3053</v>
      </c>
      <c r="B1896" t="s">
        <v>3044</v>
      </c>
      <c r="C1896" t="s">
        <v>2053</v>
      </c>
      <c r="D1896" t="s">
        <v>391</v>
      </c>
      <c r="E1896" t="s">
        <v>3045</v>
      </c>
    </row>
    <row r="1897" spans="1:5">
      <c r="A1897" s="2" t="s">
        <v>3054</v>
      </c>
      <c r="B1897" t="s">
        <v>3044</v>
      </c>
      <c r="C1897" t="s">
        <v>3055</v>
      </c>
      <c r="D1897" t="s">
        <v>391</v>
      </c>
      <c r="E1897" t="s">
        <v>3045</v>
      </c>
    </row>
    <row r="1898" spans="1:5">
      <c r="A1898" s="2" t="s">
        <v>3056</v>
      </c>
      <c r="B1898" t="s">
        <v>3044</v>
      </c>
      <c r="C1898" t="s">
        <v>2055</v>
      </c>
      <c r="D1898" t="s">
        <v>391</v>
      </c>
      <c r="E1898" t="s">
        <v>3045</v>
      </c>
    </row>
    <row r="1899" spans="1:5">
      <c r="A1899" s="2" t="s">
        <v>3057</v>
      </c>
      <c r="B1899" t="s">
        <v>3044</v>
      </c>
      <c r="C1899" t="s">
        <v>3058</v>
      </c>
      <c r="D1899" t="s">
        <v>391</v>
      </c>
      <c r="E1899" t="s">
        <v>3045</v>
      </c>
    </row>
    <row r="1900" spans="1:5">
      <c r="A1900" s="2" t="s">
        <v>3059</v>
      </c>
      <c r="B1900" t="s">
        <v>3044</v>
      </c>
      <c r="C1900" t="s">
        <v>1216</v>
      </c>
      <c r="D1900" t="s">
        <v>391</v>
      </c>
      <c r="E1900" t="s">
        <v>3045</v>
      </c>
    </row>
    <row r="1901" spans="1:5">
      <c r="A1901" s="2" t="s">
        <v>3060</v>
      </c>
      <c r="B1901" t="s">
        <v>3044</v>
      </c>
      <c r="C1901" t="s">
        <v>817</v>
      </c>
      <c r="D1901" t="s">
        <v>391</v>
      </c>
      <c r="E1901" t="s">
        <v>3045</v>
      </c>
    </row>
    <row r="1902" spans="1:5">
      <c r="A1902" s="2" t="s">
        <v>3061</v>
      </c>
      <c r="B1902" t="s">
        <v>3044</v>
      </c>
      <c r="C1902" t="s">
        <v>2133</v>
      </c>
      <c r="D1902" t="s">
        <v>391</v>
      </c>
      <c r="E1902" t="s">
        <v>3045</v>
      </c>
    </row>
    <row r="1903" spans="1:5">
      <c r="A1903" s="2" t="s">
        <v>3062</v>
      </c>
      <c r="B1903" t="s">
        <v>3044</v>
      </c>
      <c r="C1903" t="s">
        <v>872</v>
      </c>
      <c r="D1903" t="s">
        <v>391</v>
      </c>
      <c r="E1903" t="s">
        <v>3045</v>
      </c>
    </row>
    <row r="1904" spans="1:5">
      <c r="A1904" s="2" t="s">
        <v>3063</v>
      </c>
      <c r="B1904" t="s">
        <v>3044</v>
      </c>
      <c r="C1904" t="s">
        <v>2860</v>
      </c>
      <c r="D1904" t="s">
        <v>391</v>
      </c>
      <c r="E1904" t="s">
        <v>3045</v>
      </c>
    </row>
    <row r="1905" spans="1:5">
      <c r="A1905" s="2" t="s">
        <v>3064</v>
      </c>
      <c r="B1905" t="s">
        <v>3044</v>
      </c>
      <c r="C1905" t="s">
        <v>1560</v>
      </c>
      <c r="D1905" t="s">
        <v>391</v>
      </c>
      <c r="E1905" t="s">
        <v>3045</v>
      </c>
    </row>
    <row r="1906" spans="1:5">
      <c r="A1906" s="2" t="s">
        <v>3065</v>
      </c>
      <c r="B1906" t="s">
        <v>3044</v>
      </c>
      <c r="C1906" t="s">
        <v>2869</v>
      </c>
      <c r="D1906" t="s">
        <v>391</v>
      </c>
      <c r="E1906" t="s">
        <v>3045</v>
      </c>
    </row>
    <row r="1907" spans="1:5">
      <c r="A1907" s="2" t="s">
        <v>3066</v>
      </c>
      <c r="B1907" t="s">
        <v>3044</v>
      </c>
      <c r="C1907" t="s">
        <v>2062</v>
      </c>
      <c r="D1907" t="s">
        <v>391</v>
      </c>
      <c r="E1907" t="s">
        <v>3045</v>
      </c>
    </row>
    <row r="1908" spans="1:5">
      <c r="A1908" s="2" t="s">
        <v>3067</v>
      </c>
      <c r="B1908" t="s">
        <v>3044</v>
      </c>
      <c r="C1908" t="s">
        <v>3068</v>
      </c>
      <c r="D1908" t="s">
        <v>391</v>
      </c>
      <c r="E1908" t="s">
        <v>3045</v>
      </c>
    </row>
    <row r="1909" spans="1:5">
      <c r="A1909" s="2" t="s">
        <v>3069</v>
      </c>
      <c r="B1909" t="s">
        <v>3044</v>
      </c>
      <c r="C1909" t="s">
        <v>791</v>
      </c>
      <c r="D1909" t="s">
        <v>391</v>
      </c>
      <c r="E1909" t="s">
        <v>3070</v>
      </c>
    </row>
    <row r="1910" spans="1:5">
      <c r="A1910" s="2" t="s">
        <v>3071</v>
      </c>
      <c r="B1910" t="s">
        <v>3044</v>
      </c>
      <c r="C1910" t="s">
        <v>534</v>
      </c>
      <c r="D1910" t="s">
        <v>391</v>
      </c>
      <c r="E1910" t="s">
        <v>3072</v>
      </c>
    </row>
    <row r="1911" spans="1:5">
      <c r="A1911" s="2" t="s">
        <v>3073</v>
      </c>
      <c r="B1911" t="s">
        <v>3074</v>
      </c>
      <c r="C1911" t="s">
        <v>298</v>
      </c>
      <c r="D1911" t="s">
        <v>391</v>
      </c>
      <c r="E1911" t="s">
        <v>3075</v>
      </c>
    </row>
    <row r="1912" spans="1:5">
      <c r="A1912" s="2" t="s">
        <v>3076</v>
      </c>
      <c r="B1912" t="s">
        <v>3074</v>
      </c>
      <c r="C1912" t="s">
        <v>534</v>
      </c>
      <c r="D1912" t="s">
        <v>391</v>
      </c>
      <c r="E1912" t="s">
        <v>3075</v>
      </c>
    </row>
    <row r="1913" spans="1:5">
      <c r="A1913" s="2" t="s">
        <v>3077</v>
      </c>
      <c r="B1913" t="s">
        <v>3074</v>
      </c>
      <c r="C1913" t="s">
        <v>2069</v>
      </c>
      <c r="D1913" t="s">
        <v>391</v>
      </c>
      <c r="E1913" t="s">
        <v>3075</v>
      </c>
    </row>
    <row r="1914" spans="1:5">
      <c r="A1914" s="2" t="s">
        <v>3078</v>
      </c>
      <c r="B1914" t="s">
        <v>3074</v>
      </c>
      <c r="C1914" t="s">
        <v>2049</v>
      </c>
      <c r="D1914" t="s">
        <v>391</v>
      </c>
      <c r="E1914" t="s">
        <v>3075</v>
      </c>
    </row>
    <row r="1915" spans="1:5">
      <c r="A1915" s="2" t="s">
        <v>3079</v>
      </c>
      <c r="B1915" t="s">
        <v>3074</v>
      </c>
      <c r="C1915" t="s">
        <v>2071</v>
      </c>
      <c r="D1915" t="s">
        <v>391</v>
      </c>
      <c r="E1915" t="s">
        <v>3075</v>
      </c>
    </row>
    <row r="1916" spans="1:5">
      <c r="A1916" s="2" t="s">
        <v>3080</v>
      </c>
      <c r="B1916" t="s">
        <v>3074</v>
      </c>
      <c r="C1916" t="s">
        <v>2051</v>
      </c>
      <c r="D1916" t="s">
        <v>391</v>
      </c>
      <c r="E1916" t="s">
        <v>3075</v>
      </c>
    </row>
    <row r="1917" spans="1:5">
      <c r="A1917" s="2" t="s">
        <v>3081</v>
      </c>
      <c r="B1917" t="s">
        <v>3074</v>
      </c>
      <c r="C1917" t="s">
        <v>2073</v>
      </c>
      <c r="D1917" t="s">
        <v>391</v>
      </c>
      <c r="E1917" t="s">
        <v>3075</v>
      </c>
    </row>
    <row r="1918" spans="1:5">
      <c r="A1918" s="2" t="s">
        <v>3082</v>
      </c>
      <c r="B1918" t="s">
        <v>3074</v>
      </c>
      <c r="C1918" t="s">
        <v>2053</v>
      </c>
      <c r="D1918" t="s">
        <v>391</v>
      </c>
      <c r="E1918" t="s">
        <v>3075</v>
      </c>
    </row>
    <row r="1919" spans="1:5">
      <c r="A1919" s="2" t="s">
        <v>3083</v>
      </c>
      <c r="B1919" t="s">
        <v>3074</v>
      </c>
      <c r="C1919" t="s">
        <v>1140</v>
      </c>
      <c r="D1919" t="s">
        <v>391</v>
      </c>
      <c r="E1919" t="s">
        <v>3075</v>
      </c>
    </row>
    <row r="1920" spans="1:5">
      <c r="A1920" s="2" t="s">
        <v>3084</v>
      </c>
      <c r="B1920" t="s">
        <v>3074</v>
      </c>
      <c r="C1920" t="s">
        <v>254</v>
      </c>
      <c r="D1920" t="s">
        <v>391</v>
      </c>
      <c r="E1920" t="s">
        <v>3075</v>
      </c>
    </row>
    <row r="1921" spans="1:5">
      <c r="A1921" s="2" t="s">
        <v>3085</v>
      </c>
      <c r="B1921" t="s">
        <v>3074</v>
      </c>
      <c r="C1921" t="s">
        <v>530</v>
      </c>
      <c r="D1921" t="s">
        <v>391</v>
      </c>
      <c r="E1921" t="s">
        <v>3075</v>
      </c>
    </row>
    <row r="1922" spans="1:5">
      <c r="A1922" s="2" t="s">
        <v>3086</v>
      </c>
      <c r="B1922" t="s">
        <v>3074</v>
      </c>
      <c r="C1922" t="s">
        <v>556</v>
      </c>
      <c r="D1922" t="s">
        <v>391</v>
      </c>
      <c r="E1922" t="s">
        <v>3075</v>
      </c>
    </row>
    <row r="1923" spans="1:5">
      <c r="A1923" s="2" t="s">
        <v>3087</v>
      </c>
      <c r="B1923" t="s">
        <v>3074</v>
      </c>
      <c r="C1923" t="s">
        <v>815</v>
      </c>
      <c r="D1923" t="s">
        <v>391</v>
      </c>
      <c r="E1923" t="s">
        <v>3075</v>
      </c>
    </row>
    <row r="1924" spans="1:5">
      <c r="A1924" s="2" t="s">
        <v>3088</v>
      </c>
      <c r="B1924" t="s">
        <v>3074</v>
      </c>
      <c r="C1924" t="s">
        <v>817</v>
      </c>
      <c r="D1924" t="s">
        <v>391</v>
      </c>
      <c r="E1924" t="s">
        <v>3075</v>
      </c>
    </row>
    <row r="1925" spans="1:5">
      <c r="A1925" s="2" t="s">
        <v>3089</v>
      </c>
      <c r="B1925" t="s">
        <v>3074</v>
      </c>
      <c r="C1925" t="s">
        <v>590</v>
      </c>
      <c r="D1925" t="s">
        <v>391</v>
      </c>
      <c r="E1925" t="s">
        <v>3075</v>
      </c>
    </row>
    <row r="1926" spans="1:5">
      <c r="A1926" s="2" t="s">
        <v>3090</v>
      </c>
      <c r="B1926" t="s">
        <v>3074</v>
      </c>
      <c r="C1926" t="s">
        <v>2079</v>
      </c>
      <c r="D1926" t="s">
        <v>391</v>
      </c>
      <c r="E1926" t="s">
        <v>3075</v>
      </c>
    </row>
    <row r="1927" spans="1:5">
      <c r="A1927" s="2" t="s">
        <v>3091</v>
      </c>
      <c r="B1927" t="s">
        <v>3074</v>
      </c>
      <c r="C1927" t="s">
        <v>2062</v>
      </c>
      <c r="D1927" t="s">
        <v>391</v>
      </c>
      <c r="E1927" t="s">
        <v>3075</v>
      </c>
    </row>
    <row r="1928" spans="1:5">
      <c r="A1928" s="2" t="s">
        <v>3092</v>
      </c>
      <c r="B1928" t="s">
        <v>3093</v>
      </c>
      <c r="C1928" t="s">
        <v>254</v>
      </c>
      <c r="D1928" t="s">
        <v>391</v>
      </c>
      <c r="E1928" t="s">
        <v>3094</v>
      </c>
    </row>
    <row r="1929" spans="1:5">
      <c r="A1929" s="2" t="s">
        <v>3095</v>
      </c>
      <c r="B1929" t="s">
        <v>3093</v>
      </c>
      <c r="C1929" t="s">
        <v>556</v>
      </c>
      <c r="D1929" t="s">
        <v>391</v>
      </c>
      <c r="E1929" t="s">
        <v>3094</v>
      </c>
    </row>
    <row r="1930" spans="1:5">
      <c r="A1930" s="2" t="s">
        <v>3096</v>
      </c>
      <c r="B1930" t="s">
        <v>3093</v>
      </c>
      <c r="C1930" t="s">
        <v>2069</v>
      </c>
      <c r="D1930" t="s">
        <v>391</v>
      </c>
      <c r="E1930" t="s">
        <v>3094</v>
      </c>
    </row>
    <row r="1931" spans="1:5">
      <c r="A1931" s="2" t="s">
        <v>3097</v>
      </c>
      <c r="B1931" t="s">
        <v>3093</v>
      </c>
      <c r="C1931" t="s">
        <v>2049</v>
      </c>
      <c r="D1931" t="s">
        <v>391</v>
      </c>
      <c r="E1931" t="s">
        <v>3094</v>
      </c>
    </row>
    <row r="1932" spans="1:5">
      <c r="A1932" s="2" t="s">
        <v>3098</v>
      </c>
      <c r="B1932" t="s">
        <v>3093</v>
      </c>
      <c r="C1932" t="s">
        <v>2071</v>
      </c>
      <c r="D1932" t="s">
        <v>391</v>
      </c>
      <c r="E1932" t="s">
        <v>3094</v>
      </c>
    </row>
    <row r="1933" spans="1:5">
      <c r="A1933" s="2" t="s">
        <v>3099</v>
      </c>
      <c r="B1933" t="s">
        <v>3093</v>
      </c>
      <c r="C1933" t="s">
        <v>2051</v>
      </c>
      <c r="D1933" t="s">
        <v>391</v>
      </c>
      <c r="E1933" t="s">
        <v>3094</v>
      </c>
    </row>
    <row r="1934" spans="1:5">
      <c r="A1934" s="2" t="s">
        <v>3100</v>
      </c>
      <c r="B1934" t="s">
        <v>3093</v>
      </c>
      <c r="C1934" t="s">
        <v>2073</v>
      </c>
      <c r="D1934" t="s">
        <v>391</v>
      </c>
      <c r="E1934" t="s">
        <v>3094</v>
      </c>
    </row>
    <row r="1935" spans="1:5">
      <c r="A1935" s="2" t="s">
        <v>3101</v>
      </c>
      <c r="B1935" t="s">
        <v>3093</v>
      </c>
      <c r="C1935" t="s">
        <v>2053</v>
      </c>
      <c r="D1935" t="s">
        <v>391</v>
      </c>
      <c r="E1935" t="s">
        <v>3094</v>
      </c>
    </row>
    <row r="1936" spans="1:5">
      <c r="A1936" s="2" t="s">
        <v>3102</v>
      </c>
      <c r="B1936" t="s">
        <v>3093</v>
      </c>
      <c r="C1936" t="s">
        <v>3103</v>
      </c>
      <c r="D1936" t="s">
        <v>391</v>
      </c>
      <c r="E1936" t="s">
        <v>3104</v>
      </c>
    </row>
    <row r="1937" spans="1:5">
      <c r="A1937" s="2" t="s">
        <v>3105</v>
      </c>
      <c r="B1937" t="s">
        <v>3093</v>
      </c>
      <c r="C1937" t="s">
        <v>1140</v>
      </c>
      <c r="D1937" t="s">
        <v>391</v>
      </c>
      <c r="E1937" t="s">
        <v>3094</v>
      </c>
    </row>
    <row r="1938" spans="1:5">
      <c r="A1938" s="2" t="s">
        <v>3106</v>
      </c>
      <c r="B1938" t="s">
        <v>3093</v>
      </c>
      <c r="C1938" t="s">
        <v>3058</v>
      </c>
      <c r="D1938" t="s">
        <v>391</v>
      </c>
      <c r="E1938" t="s">
        <v>3094</v>
      </c>
    </row>
    <row r="1939" spans="1:5">
      <c r="A1939" s="2" t="s">
        <v>3107</v>
      </c>
      <c r="B1939" t="s">
        <v>3093</v>
      </c>
      <c r="C1939" t="s">
        <v>592</v>
      </c>
      <c r="D1939" t="s">
        <v>391</v>
      </c>
      <c r="E1939" t="s">
        <v>3094</v>
      </c>
    </row>
    <row r="1940" spans="1:5">
      <c r="A1940" s="2" t="s">
        <v>3108</v>
      </c>
      <c r="B1940" t="s">
        <v>3093</v>
      </c>
      <c r="C1940" t="s">
        <v>1216</v>
      </c>
      <c r="D1940" t="s">
        <v>391</v>
      </c>
      <c r="E1940" t="s">
        <v>3094</v>
      </c>
    </row>
    <row r="1941" spans="1:5">
      <c r="A1941" s="2" t="s">
        <v>3109</v>
      </c>
      <c r="B1941" t="s">
        <v>3093</v>
      </c>
      <c r="C1941" t="s">
        <v>815</v>
      </c>
      <c r="D1941" t="s">
        <v>391</v>
      </c>
      <c r="E1941" t="s">
        <v>3094</v>
      </c>
    </row>
    <row r="1942" spans="1:5">
      <c r="A1942" s="2" t="s">
        <v>3110</v>
      </c>
      <c r="B1942" t="s">
        <v>3093</v>
      </c>
      <c r="C1942" t="s">
        <v>817</v>
      </c>
      <c r="D1942" t="s">
        <v>391</v>
      </c>
      <c r="E1942" t="s">
        <v>3094</v>
      </c>
    </row>
    <row r="1943" spans="1:5">
      <c r="A1943" s="2" t="s">
        <v>3111</v>
      </c>
      <c r="B1943" t="s">
        <v>3093</v>
      </c>
      <c r="C1943" t="s">
        <v>870</v>
      </c>
      <c r="D1943" t="s">
        <v>391</v>
      </c>
      <c r="E1943" t="s">
        <v>3094</v>
      </c>
    </row>
    <row r="1944" spans="1:5">
      <c r="A1944" s="2" t="s">
        <v>3112</v>
      </c>
      <c r="B1944" t="s">
        <v>3093</v>
      </c>
      <c r="C1944" t="s">
        <v>872</v>
      </c>
      <c r="D1944" t="s">
        <v>391</v>
      </c>
      <c r="E1944" t="s">
        <v>3094</v>
      </c>
    </row>
    <row r="1945" spans="1:5">
      <c r="A1945" s="2" t="s">
        <v>3113</v>
      </c>
      <c r="B1945" t="s">
        <v>3093</v>
      </c>
      <c r="C1945" t="s">
        <v>1541</v>
      </c>
      <c r="D1945" t="s">
        <v>391</v>
      </c>
      <c r="E1945" t="s">
        <v>3094</v>
      </c>
    </row>
    <row r="1946" spans="1:5">
      <c r="A1946" s="2" t="s">
        <v>3114</v>
      </c>
      <c r="B1946" t="s">
        <v>3093</v>
      </c>
      <c r="C1946" t="s">
        <v>1560</v>
      </c>
      <c r="D1946" t="s">
        <v>391</v>
      </c>
      <c r="E1946" t="s">
        <v>3094</v>
      </c>
    </row>
    <row r="1947" spans="1:5">
      <c r="A1947" s="2" t="s">
        <v>3115</v>
      </c>
      <c r="B1947" t="s">
        <v>3093</v>
      </c>
      <c r="C1947" t="s">
        <v>2079</v>
      </c>
      <c r="D1947" t="s">
        <v>391</v>
      </c>
      <c r="E1947" t="s">
        <v>3094</v>
      </c>
    </row>
    <row r="1948" spans="1:5">
      <c r="A1948" s="2" t="s">
        <v>3116</v>
      </c>
      <c r="B1948" t="s">
        <v>3093</v>
      </c>
      <c r="C1948" t="s">
        <v>2062</v>
      </c>
      <c r="D1948" t="s">
        <v>391</v>
      </c>
      <c r="E1948" t="s">
        <v>3094</v>
      </c>
    </row>
    <row r="1949" spans="1:5">
      <c r="A1949" s="2" t="s">
        <v>3117</v>
      </c>
      <c r="B1949" t="s">
        <v>3118</v>
      </c>
      <c r="C1949" t="s">
        <v>530</v>
      </c>
      <c r="D1949" t="s">
        <v>391</v>
      </c>
      <c r="E1949" t="s">
        <v>3119</v>
      </c>
    </row>
    <row r="1950" spans="1:5">
      <c r="A1950" s="2" t="s">
        <v>3120</v>
      </c>
      <c r="B1950" t="s">
        <v>3118</v>
      </c>
      <c r="C1950" t="s">
        <v>2071</v>
      </c>
      <c r="D1950" t="s">
        <v>391</v>
      </c>
      <c r="E1950" t="s">
        <v>3119</v>
      </c>
    </row>
    <row r="1951" spans="1:5">
      <c r="A1951" s="2" t="s">
        <v>3121</v>
      </c>
      <c r="B1951" t="s">
        <v>3118</v>
      </c>
      <c r="C1951" t="s">
        <v>2073</v>
      </c>
      <c r="D1951" t="s">
        <v>391</v>
      </c>
      <c r="E1951" t="s">
        <v>3119</v>
      </c>
    </row>
    <row r="1952" spans="1:5">
      <c r="A1952" s="2" t="s">
        <v>3122</v>
      </c>
      <c r="B1952" t="s">
        <v>3118</v>
      </c>
      <c r="C1952" t="s">
        <v>1140</v>
      </c>
      <c r="D1952" t="s">
        <v>391</v>
      </c>
      <c r="E1952" t="s">
        <v>3119</v>
      </c>
    </row>
    <row r="1953" spans="1:5">
      <c r="A1953" s="2" t="s">
        <v>3123</v>
      </c>
      <c r="B1953" t="s">
        <v>3118</v>
      </c>
      <c r="C1953" t="s">
        <v>556</v>
      </c>
      <c r="D1953" t="s">
        <v>391</v>
      </c>
      <c r="E1953" t="s">
        <v>3119</v>
      </c>
    </row>
    <row r="1954" spans="1:5">
      <c r="A1954" s="2" t="s">
        <v>3124</v>
      </c>
      <c r="B1954" t="s">
        <v>3118</v>
      </c>
      <c r="C1954" t="s">
        <v>815</v>
      </c>
      <c r="D1954" t="s">
        <v>391</v>
      </c>
      <c r="E1954" t="s">
        <v>3119</v>
      </c>
    </row>
    <row r="1955" spans="1:5">
      <c r="A1955" s="2" t="s">
        <v>3125</v>
      </c>
      <c r="B1955" t="s">
        <v>3118</v>
      </c>
      <c r="C1955" t="s">
        <v>870</v>
      </c>
      <c r="D1955" t="s">
        <v>391</v>
      </c>
      <c r="E1955" t="s">
        <v>3119</v>
      </c>
    </row>
    <row r="1956" spans="1:5">
      <c r="A1956" s="2" t="s">
        <v>3126</v>
      </c>
      <c r="B1956" t="s">
        <v>3118</v>
      </c>
      <c r="C1956" t="s">
        <v>2069</v>
      </c>
      <c r="D1956" t="s">
        <v>391</v>
      </c>
      <c r="E1956" t="s">
        <v>3119</v>
      </c>
    </row>
    <row r="1957" spans="1:5">
      <c r="A1957" s="2" t="s">
        <v>3127</v>
      </c>
      <c r="B1957" t="s">
        <v>3118</v>
      </c>
      <c r="C1957" t="s">
        <v>1541</v>
      </c>
      <c r="D1957" t="s">
        <v>391</v>
      </c>
      <c r="E1957" t="s">
        <v>3119</v>
      </c>
    </row>
    <row r="1958" spans="1:5">
      <c r="A1958" s="2" t="s">
        <v>3128</v>
      </c>
      <c r="B1958" t="s">
        <v>3118</v>
      </c>
      <c r="C1958" t="s">
        <v>2079</v>
      </c>
      <c r="D1958" t="s">
        <v>391</v>
      </c>
      <c r="E1958" t="s">
        <v>3119</v>
      </c>
    </row>
    <row r="1959" spans="1:5">
      <c r="A1959" s="2" t="s">
        <v>3129</v>
      </c>
      <c r="B1959" t="s">
        <v>3130</v>
      </c>
      <c r="C1959" t="s">
        <v>590</v>
      </c>
      <c r="D1959" t="s">
        <v>391</v>
      </c>
      <c r="E1959" t="s">
        <v>3131</v>
      </c>
    </row>
    <row r="1960" spans="1:5">
      <c r="A1960" s="2" t="s">
        <v>3132</v>
      </c>
      <c r="B1960" t="s">
        <v>3130</v>
      </c>
      <c r="C1960" t="s">
        <v>326</v>
      </c>
      <c r="D1960" t="s">
        <v>391</v>
      </c>
      <c r="E1960" t="s">
        <v>3131</v>
      </c>
    </row>
    <row r="1961" spans="1:5">
      <c r="A1961" s="2" t="s">
        <v>3133</v>
      </c>
      <c r="B1961" t="s">
        <v>3130</v>
      </c>
      <c r="C1961" t="s">
        <v>2131</v>
      </c>
      <c r="D1961" t="s">
        <v>391</v>
      </c>
      <c r="E1961" t="s">
        <v>3131</v>
      </c>
    </row>
    <row r="1962" spans="1:5">
      <c r="A1962" s="2" t="s">
        <v>3134</v>
      </c>
      <c r="B1962" t="s">
        <v>3130</v>
      </c>
      <c r="C1962" t="s">
        <v>791</v>
      </c>
      <c r="D1962" t="s">
        <v>391</v>
      </c>
      <c r="E1962" t="s">
        <v>3135</v>
      </c>
    </row>
    <row r="1963" spans="1:5">
      <c r="A1963" s="2" t="s">
        <v>3136</v>
      </c>
      <c r="B1963" t="s">
        <v>3130</v>
      </c>
      <c r="C1963" t="s">
        <v>2049</v>
      </c>
      <c r="D1963" t="s">
        <v>391</v>
      </c>
      <c r="E1963" t="s">
        <v>3131</v>
      </c>
    </row>
    <row r="1964" spans="1:5">
      <c r="A1964" s="2" t="s">
        <v>3137</v>
      </c>
      <c r="B1964" t="s">
        <v>3130</v>
      </c>
      <c r="C1964" t="s">
        <v>3050</v>
      </c>
      <c r="D1964" t="s">
        <v>391</v>
      </c>
      <c r="E1964" t="s">
        <v>3131</v>
      </c>
    </row>
    <row r="1965" spans="1:5">
      <c r="A1965" s="2" t="s">
        <v>3138</v>
      </c>
      <c r="B1965" t="s">
        <v>3130</v>
      </c>
      <c r="C1965" t="s">
        <v>2051</v>
      </c>
      <c r="D1965" t="s">
        <v>391</v>
      </c>
      <c r="E1965" t="s">
        <v>3131</v>
      </c>
    </row>
    <row r="1966" spans="1:5">
      <c r="A1966" s="2" t="s">
        <v>3139</v>
      </c>
      <c r="B1966" t="s">
        <v>3130</v>
      </c>
      <c r="C1966" t="s">
        <v>2146</v>
      </c>
      <c r="D1966" t="s">
        <v>391</v>
      </c>
      <c r="E1966" t="s">
        <v>3131</v>
      </c>
    </row>
    <row r="1967" spans="1:5">
      <c r="A1967" s="2" t="s">
        <v>3140</v>
      </c>
      <c r="B1967" t="s">
        <v>3130</v>
      </c>
      <c r="C1967" t="s">
        <v>2053</v>
      </c>
      <c r="D1967" t="s">
        <v>391</v>
      </c>
      <c r="E1967" t="s">
        <v>3131</v>
      </c>
    </row>
    <row r="1968" spans="1:5">
      <c r="A1968" s="2" t="s">
        <v>3141</v>
      </c>
      <c r="B1968" t="s">
        <v>3130</v>
      </c>
      <c r="C1968" t="s">
        <v>3055</v>
      </c>
      <c r="D1968" t="s">
        <v>391</v>
      </c>
      <c r="E1968" t="s">
        <v>3131</v>
      </c>
    </row>
    <row r="1969" spans="1:5">
      <c r="A1969" s="2" t="s">
        <v>3142</v>
      </c>
      <c r="B1969" t="s">
        <v>3130</v>
      </c>
      <c r="C1969" t="s">
        <v>2055</v>
      </c>
      <c r="D1969" t="s">
        <v>391</v>
      </c>
      <c r="E1969" t="s">
        <v>3131</v>
      </c>
    </row>
    <row r="1970" spans="1:5">
      <c r="A1970" s="2" t="s">
        <v>3143</v>
      </c>
      <c r="B1970" t="s">
        <v>3130</v>
      </c>
      <c r="C1970" t="s">
        <v>3058</v>
      </c>
      <c r="D1970" t="s">
        <v>391</v>
      </c>
      <c r="E1970" t="s">
        <v>3131</v>
      </c>
    </row>
    <row r="1971" spans="1:5">
      <c r="A1971" s="2" t="s">
        <v>3144</v>
      </c>
      <c r="B1971" t="s">
        <v>3130</v>
      </c>
      <c r="C1971" t="s">
        <v>592</v>
      </c>
      <c r="D1971" t="s">
        <v>391</v>
      </c>
      <c r="E1971" t="s">
        <v>3131</v>
      </c>
    </row>
    <row r="1972" spans="1:5">
      <c r="A1972" s="2" t="s">
        <v>3145</v>
      </c>
      <c r="B1972" t="s">
        <v>3130</v>
      </c>
      <c r="C1972" t="s">
        <v>1216</v>
      </c>
      <c r="D1972" t="s">
        <v>391</v>
      </c>
      <c r="E1972" t="s">
        <v>3131</v>
      </c>
    </row>
    <row r="1973" spans="1:5">
      <c r="A1973" s="2" t="s">
        <v>3146</v>
      </c>
      <c r="B1973" t="s">
        <v>3130</v>
      </c>
      <c r="C1973" t="s">
        <v>817</v>
      </c>
      <c r="D1973" t="s">
        <v>391</v>
      </c>
      <c r="E1973" t="s">
        <v>3131</v>
      </c>
    </row>
    <row r="1974" spans="1:5">
      <c r="A1974" s="2" t="s">
        <v>3147</v>
      </c>
      <c r="B1974" t="s">
        <v>3130</v>
      </c>
      <c r="C1974" t="s">
        <v>2133</v>
      </c>
      <c r="D1974" t="s">
        <v>391</v>
      </c>
      <c r="E1974" t="s">
        <v>3131</v>
      </c>
    </row>
    <row r="1975" spans="1:5">
      <c r="A1975" s="2" t="s">
        <v>3148</v>
      </c>
      <c r="B1975" t="s">
        <v>3130</v>
      </c>
      <c r="C1975" t="s">
        <v>872</v>
      </c>
      <c r="D1975" t="s">
        <v>391</v>
      </c>
      <c r="E1975" t="s">
        <v>3131</v>
      </c>
    </row>
    <row r="1976" spans="1:5">
      <c r="A1976" s="2" t="s">
        <v>3149</v>
      </c>
      <c r="B1976" t="s">
        <v>3130</v>
      </c>
      <c r="C1976" t="s">
        <v>2860</v>
      </c>
      <c r="D1976" t="s">
        <v>391</v>
      </c>
      <c r="E1976" t="s">
        <v>3131</v>
      </c>
    </row>
    <row r="1977" spans="1:5">
      <c r="A1977" s="2" t="s">
        <v>3150</v>
      </c>
      <c r="B1977" t="s">
        <v>3130</v>
      </c>
      <c r="C1977" t="s">
        <v>1560</v>
      </c>
      <c r="D1977" t="s">
        <v>391</v>
      </c>
      <c r="E1977" t="s">
        <v>3131</v>
      </c>
    </row>
    <row r="1978" spans="1:5">
      <c r="A1978" s="2" t="s">
        <v>3151</v>
      </c>
      <c r="B1978" t="s">
        <v>3130</v>
      </c>
      <c r="C1978" t="s">
        <v>2869</v>
      </c>
      <c r="D1978" t="s">
        <v>391</v>
      </c>
      <c r="E1978" t="s">
        <v>3131</v>
      </c>
    </row>
    <row r="1979" spans="1:5">
      <c r="A1979" s="2" t="s">
        <v>3152</v>
      </c>
      <c r="B1979" t="s">
        <v>3130</v>
      </c>
      <c r="C1979" t="s">
        <v>2062</v>
      </c>
      <c r="D1979" t="s">
        <v>391</v>
      </c>
      <c r="E1979" t="s">
        <v>3131</v>
      </c>
    </row>
    <row r="1980" spans="1:5">
      <c r="A1980" s="2" t="s">
        <v>3153</v>
      </c>
      <c r="B1980" t="s">
        <v>3130</v>
      </c>
      <c r="C1980" t="s">
        <v>3068</v>
      </c>
      <c r="D1980" t="s">
        <v>391</v>
      </c>
      <c r="E1980" t="s">
        <v>3131</v>
      </c>
    </row>
    <row r="1981" spans="1:5">
      <c r="A1981" s="2" t="s">
        <v>3154</v>
      </c>
      <c r="B1981" t="s">
        <v>3155</v>
      </c>
      <c r="C1981" t="s">
        <v>254</v>
      </c>
      <c r="D1981" t="s">
        <v>391</v>
      </c>
      <c r="E1981" t="s">
        <v>3156</v>
      </c>
    </row>
    <row r="1982" spans="1:5">
      <c r="A1982" s="2" t="s">
        <v>3157</v>
      </c>
      <c r="B1982" t="s">
        <v>3155</v>
      </c>
      <c r="C1982" t="s">
        <v>2049</v>
      </c>
      <c r="D1982" t="s">
        <v>391</v>
      </c>
      <c r="E1982" t="s">
        <v>3158</v>
      </c>
    </row>
    <row r="1983" spans="1:5">
      <c r="A1983" s="2" t="s">
        <v>3159</v>
      </c>
      <c r="B1983" t="s">
        <v>3155</v>
      </c>
      <c r="C1983" t="s">
        <v>2071</v>
      </c>
      <c r="D1983" t="s">
        <v>391</v>
      </c>
      <c r="E1983" t="s">
        <v>3158</v>
      </c>
    </row>
    <row r="1984" spans="1:5">
      <c r="A1984" s="2" t="s">
        <v>3160</v>
      </c>
      <c r="B1984" t="s">
        <v>3155</v>
      </c>
      <c r="C1984" t="s">
        <v>2051</v>
      </c>
      <c r="D1984" t="s">
        <v>391</v>
      </c>
      <c r="E1984" t="s">
        <v>3158</v>
      </c>
    </row>
    <row r="1985" spans="1:5">
      <c r="A1985" s="2" t="s">
        <v>3161</v>
      </c>
      <c r="B1985" t="s">
        <v>3155</v>
      </c>
      <c r="C1985" t="s">
        <v>2073</v>
      </c>
      <c r="D1985" t="s">
        <v>391</v>
      </c>
      <c r="E1985" t="s">
        <v>3158</v>
      </c>
    </row>
    <row r="1986" spans="1:5">
      <c r="A1986" s="2" t="s">
        <v>3162</v>
      </c>
      <c r="B1986" t="s">
        <v>3155</v>
      </c>
      <c r="C1986" t="s">
        <v>2053</v>
      </c>
      <c r="D1986" t="s">
        <v>391</v>
      </c>
      <c r="E1986" t="s">
        <v>3158</v>
      </c>
    </row>
    <row r="1987" spans="1:5">
      <c r="A1987" s="2" t="s">
        <v>3163</v>
      </c>
      <c r="B1987" t="s">
        <v>3155</v>
      </c>
      <c r="C1987" t="s">
        <v>1140</v>
      </c>
      <c r="D1987" t="s">
        <v>391</v>
      </c>
      <c r="E1987" t="s">
        <v>3158</v>
      </c>
    </row>
    <row r="1988" spans="1:5">
      <c r="A1988" s="2" t="s">
        <v>3164</v>
      </c>
      <c r="B1988" t="s">
        <v>3155</v>
      </c>
      <c r="C1988" t="s">
        <v>3058</v>
      </c>
      <c r="D1988" t="s">
        <v>391</v>
      </c>
      <c r="E1988" t="s">
        <v>3158</v>
      </c>
    </row>
    <row r="1989" spans="1:5">
      <c r="A1989" s="2" t="s">
        <v>3165</v>
      </c>
      <c r="B1989" t="s">
        <v>3155</v>
      </c>
      <c r="C1989" t="s">
        <v>556</v>
      </c>
      <c r="D1989" t="s">
        <v>391</v>
      </c>
      <c r="E1989" t="s">
        <v>3158</v>
      </c>
    </row>
    <row r="1990" spans="1:5">
      <c r="A1990" s="2" t="s">
        <v>3166</v>
      </c>
      <c r="B1990" t="s">
        <v>3155</v>
      </c>
      <c r="C1990" t="s">
        <v>592</v>
      </c>
      <c r="D1990" t="s">
        <v>391</v>
      </c>
      <c r="E1990" t="s">
        <v>3158</v>
      </c>
    </row>
    <row r="1991" spans="1:5">
      <c r="A1991" s="2" t="s">
        <v>3167</v>
      </c>
      <c r="B1991" t="s">
        <v>3155</v>
      </c>
      <c r="C1991" t="s">
        <v>1216</v>
      </c>
      <c r="D1991" t="s">
        <v>391</v>
      </c>
      <c r="E1991" t="s">
        <v>3158</v>
      </c>
    </row>
    <row r="1992" spans="1:5">
      <c r="A1992" s="2" t="s">
        <v>3168</v>
      </c>
      <c r="B1992" t="s">
        <v>3155</v>
      </c>
      <c r="C1992" t="s">
        <v>815</v>
      </c>
      <c r="D1992" t="s">
        <v>391</v>
      </c>
      <c r="E1992" t="s">
        <v>3158</v>
      </c>
    </row>
    <row r="1993" spans="1:5">
      <c r="A1993" s="2" t="s">
        <v>3169</v>
      </c>
      <c r="B1993" t="s">
        <v>3155</v>
      </c>
      <c r="C1993" t="s">
        <v>817</v>
      </c>
      <c r="D1993" t="s">
        <v>391</v>
      </c>
      <c r="E1993" t="s">
        <v>3158</v>
      </c>
    </row>
    <row r="1994" spans="1:5">
      <c r="A1994" s="2" t="s">
        <v>3170</v>
      </c>
      <c r="B1994" t="s">
        <v>3155</v>
      </c>
      <c r="C1994" t="s">
        <v>870</v>
      </c>
      <c r="D1994" t="s">
        <v>391</v>
      </c>
      <c r="E1994" t="s">
        <v>3158</v>
      </c>
    </row>
    <row r="1995" spans="1:5">
      <c r="A1995" s="2" t="s">
        <v>3171</v>
      </c>
      <c r="B1995" t="s">
        <v>3155</v>
      </c>
      <c r="C1995" t="s">
        <v>872</v>
      </c>
      <c r="D1995" t="s">
        <v>391</v>
      </c>
      <c r="E1995" t="s">
        <v>3158</v>
      </c>
    </row>
    <row r="1996" spans="1:5">
      <c r="A1996" s="2" t="s">
        <v>3172</v>
      </c>
      <c r="B1996" t="s">
        <v>3155</v>
      </c>
      <c r="C1996" t="s">
        <v>2069</v>
      </c>
      <c r="D1996" t="s">
        <v>391</v>
      </c>
      <c r="E1996" t="s">
        <v>3158</v>
      </c>
    </row>
    <row r="1997" spans="1:5">
      <c r="A1997" s="2" t="s">
        <v>3173</v>
      </c>
      <c r="B1997" t="s">
        <v>3155</v>
      </c>
      <c r="C1997" t="s">
        <v>1541</v>
      </c>
      <c r="D1997" t="s">
        <v>391</v>
      </c>
      <c r="E1997" t="s">
        <v>3158</v>
      </c>
    </row>
    <row r="1998" spans="1:5">
      <c r="A1998" s="2" t="s">
        <v>3174</v>
      </c>
      <c r="B1998" t="s">
        <v>3155</v>
      </c>
      <c r="C1998" t="s">
        <v>1560</v>
      </c>
      <c r="D1998" t="s">
        <v>391</v>
      </c>
      <c r="E1998" t="s">
        <v>3158</v>
      </c>
    </row>
    <row r="1999" spans="1:5">
      <c r="A1999" s="2" t="s">
        <v>3175</v>
      </c>
      <c r="B1999" t="s">
        <v>3155</v>
      </c>
      <c r="C1999" t="s">
        <v>2079</v>
      </c>
      <c r="D1999" t="s">
        <v>391</v>
      </c>
      <c r="E1999" t="s">
        <v>3158</v>
      </c>
    </row>
    <row r="2000" spans="1:5">
      <c r="A2000" s="2" t="s">
        <v>3176</v>
      </c>
      <c r="B2000" t="s">
        <v>3155</v>
      </c>
      <c r="C2000" t="s">
        <v>2062</v>
      </c>
      <c r="D2000" t="s">
        <v>391</v>
      </c>
      <c r="E2000" t="s">
        <v>3158</v>
      </c>
    </row>
    <row r="2001" spans="1:5">
      <c r="A2001" s="2" t="s">
        <v>3177</v>
      </c>
      <c r="B2001" t="s">
        <v>3155</v>
      </c>
      <c r="C2001" t="s">
        <v>530</v>
      </c>
      <c r="D2001" t="s">
        <v>391</v>
      </c>
      <c r="E2001" t="s">
        <v>3178</v>
      </c>
    </row>
    <row r="2002" spans="1:5">
      <c r="A2002" s="2" t="s">
        <v>3179</v>
      </c>
      <c r="B2002" t="s">
        <v>3180</v>
      </c>
      <c r="C2002" t="s">
        <v>2069</v>
      </c>
      <c r="D2002" t="s">
        <v>391</v>
      </c>
      <c r="E2002" t="s">
        <v>3181</v>
      </c>
    </row>
    <row r="2003" spans="1:5">
      <c r="A2003" s="2" t="s">
        <v>3182</v>
      </c>
      <c r="B2003" t="s">
        <v>3180</v>
      </c>
      <c r="C2003" t="s">
        <v>2049</v>
      </c>
      <c r="D2003" t="s">
        <v>391</v>
      </c>
      <c r="E2003" t="s">
        <v>3181</v>
      </c>
    </row>
    <row r="2004" spans="1:5">
      <c r="A2004" s="2" t="s">
        <v>3183</v>
      </c>
      <c r="B2004" t="s">
        <v>3180</v>
      </c>
      <c r="C2004" t="s">
        <v>2071</v>
      </c>
      <c r="D2004" t="s">
        <v>391</v>
      </c>
      <c r="E2004" t="s">
        <v>3181</v>
      </c>
    </row>
    <row r="2005" spans="1:5">
      <c r="A2005" s="2" t="s">
        <v>3184</v>
      </c>
      <c r="B2005" t="s">
        <v>3180</v>
      </c>
      <c r="C2005" t="s">
        <v>2073</v>
      </c>
      <c r="D2005" t="s">
        <v>391</v>
      </c>
      <c r="E2005" t="s">
        <v>3181</v>
      </c>
    </row>
    <row r="2006" spans="1:5">
      <c r="A2006" s="2" t="s">
        <v>3185</v>
      </c>
      <c r="B2006" t="s">
        <v>3180</v>
      </c>
      <c r="C2006" t="s">
        <v>1140</v>
      </c>
      <c r="D2006" t="s">
        <v>391</v>
      </c>
      <c r="E2006" t="s">
        <v>3181</v>
      </c>
    </row>
    <row r="2007" spans="1:5">
      <c r="A2007" s="2" t="s">
        <v>3186</v>
      </c>
      <c r="B2007" t="s">
        <v>3180</v>
      </c>
      <c r="C2007" t="s">
        <v>254</v>
      </c>
      <c r="D2007" t="s">
        <v>391</v>
      </c>
      <c r="E2007" t="s">
        <v>3181</v>
      </c>
    </row>
    <row r="2008" spans="1:5">
      <c r="A2008" s="2" t="s">
        <v>3187</v>
      </c>
      <c r="B2008" t="s">
        <v>3180</v>
      </c>
      <c r="C2008" t="s">
        <v>530</v>
      </c>
      <c r="D2008" t="s">
        <v>391</v>
      </c>
      <c r="E2008" t="s">
        <v>3181</v>
      </c>
    </row>
    <row r="2009" spans="1:5">
      <c r="A2009" s="2" t="s">
        <v>3188</v>
      </c>
      <c r="B2009" t="s">
        <v>3180</v>
      </c>
      <c r="C2009" t="s">
        <v>556</v>
      </c>
      <c r="D2009" t="s">
        <v>391</v>
      </c>
      <c r="E2009" t="s">
        <v>3181</v>
      </c>
    </row>
    <row r="2010" spans="1:5">
      <c r="A2010" s="2" t="s">
        <v>3189</v>
      </c>
      <c r="B2010" t="s">
        <v>3180</v>
      </c>
      <c r="C2010" t="s">
        <v>815</v>
      </c>
      <c r="D2010" t="s">
        <v>391</v>
      </c>
      <c r="E2010" t="s">
        <v>3181</v>
      </c>
    </row>
    <row r="2011" spans="1:5">
      <c r="A2011" s="2" t="s">
        <v>3190</v>
      </c>
      <c r="B2011" t="s">
        <v>3180</v>
      </c>
      <c r="C2011" t="s">
        <v>2079</v>
      </c>
      <c r="D2011" t="s">
        <v>391</v>
      </c>
      <c r="E2011" t="s">
        <v>3181</v>
      </c>
    </row>
    <row r="2012" spans="1:5">
      <c r="A2012" s="2" t="s">
        <v>3191</v>
      </c>
      <c r="B2012" t="s">
        <v>3192</v>
      </c>
      <c r="C2012" t="s">
        <v>254</v>
      </c>
      <c r="D2012" t="s">
        <v>182</v>
      </c>
      <c r="E2012" t="s">
        <v>3193</v>
      </c>
    </row>
    <row r="2013" spans="1:5">
      <c r="A2013" s="2" t="s">
        <v>3194</v>
      </c>
      <c r="B2013" t="s">
        <v>3192</v>
      </c>
      <c r="C2013" t="s">
        <v>2069</v>
      </c>
      <c r="D2013" t="s">
        <v>182</v>
      </c>
      <c r="E2013" t="s">
        <v>3193</v>
      </c>
    </row>
    <row r="2014" spans="1:5">
      <c r="A2014" s="2" t="s">
        <v>3195</v>
      </c>
      <c r="B2014" t="s">
        <v>3192</v>
      </c>
      <c r="C2014" t="s">
        <v>2071</v>
      </c>
      <c r="D2014" t="s">
        <v>182</v>
      </c>
      <c r="E2014" t="s">
        <v>3193</v>
      </c>
    </row>
    <row r="2015" spans="1:5">
      <c r="A2015" s="2" t="s">
        <v>3196</v>
      </c>
      <c r="B2015" t="s">
        <v>3192</v>
      </c>
      <c r="C2015" t="s">
        <v>2073</v>
      </c>
      <c r="D2015" t="s">
        <v>182</v>
      </c>
      <c r="E2015" t="s">
        <v>3193</v>
      </c>
    </row>
    <row r="2016" spans="1:5">
      <c r="A2016" s="2" t="s">
        <v>3197</v>
      </c>
      <c r="B2016" t="s">
        <v>3192</v>
      </c>
      <c r="C2016" t="s">
        <v>1140</v>
      </c>
      <c r="D2016" t="s">
        <v>182</v>
      </c>
      <c r="E2016" t="s">
        <v>3193</v>
      </c>
    </row>
    <row r="2017" spans="1:5">
      <c r="A2017" s="2" t="s">
        <v>3198</v>
      </c>
      <c r="B2017" t="s">
        <v>3192</v>
      </c>
      <c r="C2017" t="s">
        <v>556</v>
      </c>
      <c r="D2017" t="s">
        <v>182</v>
      </c>
      <c r="E2017" t="s">
        <v>3193</v>
      </c>
    </row>
    <row r="2018" spans="1:5">
      <c r="A2018" s="2" t="s">
        <v>3199</v>
      </c>
      <c r="B2018" t="s">
        <v>3192</v>
      </c>
      <c r="C2018" t="s">
        <v>815</v>
      </c>
      <c r="D2018" t="s">
        <v>182</v>
      </c>
      <c r="E2018" t="s">
        <v>3193</v>
      </c>
    </row>
    <row r="2019" spans="1:5">
      <c r="A2019" s="2" t="s">
        <v>3200</v>
      </c>
      <c r="B2019" t="s">
        <v>3192</v>
      </c>
      <c r="C2019" t="s">
        <v>870</v>
      </c>
      <c r="D2019" t="s">
        <v>182</v>
      </c>
      <c r="E2019" t="s">
        <v>3193</v>
      </c>
    </row>
    <row r="2020" spans="1:5">
      <c r="A2020" s="2" t="s">
        <v>3201</v>
      </c>
      <c r="B2020" t="s">
        <v>3192</v>
      </c>
      <c r="C2020" t="s">
        <v>1541</v>
      </c>
      <c r="D2020" t="s">
        <v>182</v>
      </c>
      <c r="E2020" t="s">
        <v>3193</v>
      </c>
    </row>
    <row r="2021" spans="1:5">
      <c r="A2021" s="2" t="s">
        <v>3202</v>
      </c>
      <c r="B2021" t="s">
        <v>3192</v>
      </c>
      <c r="C2021" t="s">
        <v>767</v>
      </c>
      <c r="D2021" t="s">
        <v>182</v>
      </c>
      <c r="E2021" t="s">
        <v>3193</v>
      </c>
    </row>
    <row r="2022" spans="1:5">
      <c r="A2022" s="2" t="s">
        <v>3203</v>
      </c>
      <c r="B2022" t="s">
        <v>3192</v>
      </c>
      <c r="C2022" t="s">
        <v>2079</v>
      </c>
      <c r="D2022" t="s">
        <v>182</v>
      </c>
      <c r="E2022" t="s">
        <v>3193</v>
      </c>
    </row>
    <row r="2023" spans="1:5">
      <c r="A2023" s="2" t="s">
        <v>3204</v>
      </c>
      <c r="B2023" t="s">
        <v>3205</v>
      </c>
      <c r="C2023" t="s">
        <v>254</v>
      </c>
      <c r="D2023" t="s">
        <v>182</v>
      </c>
      <c r="E2023" t="s">
        <v>3193</v>
      </c>
    </row>
    <row r="2024" spans="1:5">
      <c r="A2024" s="2" t="s">
        <v>3206</v>
      </c>
      <c r="B2024" t="s">
        <v>3207</v>
      </c>
      <c r="C2024" t="s">
        <v>2069</v>
      </c>
      <c r="D2024" t="s">
        <v>392</v>
      </c>
      <c r="E2024" t="s">
        <v>3208</v>
      </c>
    </row>
    <row r="2025" spans="1:5">
      <c r="A2025" s="2" t="s">
        <v>3209</v>
      </c>
      <c r="B2025" t="s">
        <v>3207</v>
      </c>
      <c r="C2025" t="s">
        <v>2049</v>
      </c>
      <c r="D2025" t="s">
        <v>392</v>
      </c>
      <c r="E2025" t="s">
        <v>3208</v>
      </c>
    </row>
    <row r="2026" spans="1:5">
      <c r="A2026" s="2" t="s">
        <v>3210</v>
      </c>
      <c r="B2026" t="s">
        <v>3207</v>
      </c>
      <c r="C2026" t="s">
        <v>2146</v>
      </c>
      <c r="D2026" t="s">
        <v>392</v>
      </c>
      <c r="E2026" t="s">
        <v>3208</v>
      </c>
    </row>
    <row r="2027" spans="1:5">
      <c r="A2027" s="2" t="s">
        <v>3211</v>
      </c>
      <c r="B2027" t="s">
        <v>3207</v>
      </c>
      <c r="C2027" t="s">
        <v>2055</v>
      </c>
      <c r="D2027" t="s">
        <v>392</v>
      </c>
      <c r="E2027" t="s">
        <v>3208</v>
      </c>
    </row>
    <row r="2028" spans="1:5">
      <c r="A2028" s="2" t="s">
        <v>3212</v>
      </c>
      <c r="B2028" t="s">
        <v>3207</v>
      </c>
      <c r="C2028" t="s">
        <v>2057</v>
      </c>
      <c r="D2028" t="s">
        <v>392</v>
      </c>
      <c r="E2028" t="s">
        <v>3208</v>
      </c>
    </row>
    <row r="2029" spans="1:5">
      <c r="A2029" s="2" t="s">
        <v>3213</v>
      </c>
      <c r="B2029" t="s">
        <v>3207</v>
      </c>
      <c r="C2029" t="s">
        <v>590</v>
      </c>
      <c r="D2029" t="s">
        <v>392</v>
      </c>
      <c r="E2029" t="s">
        <v>3208</v>
      </c>
    </row>
    <row r="2030" spans="1:5">
      <c r="A2030" s="2" t="s">
        <v>3214</v>
      </c>
      <c r="B2030" t="s">
        <v>3207</v>
      </c>
      <c r="C2030" t="s">
        <v>817</v>
      </c>
      <c r="D2030" t="s">
        <v>392</v>
      </c>
      <c r="E2030" t="s">
        <v>3208</v>
      </c>
    </row>
    <row r="2031" spans="1:5">
      <c r="A2031" s="2" t="s">
        <v>3215</v>
      </c>
      <c r="B2031" s="13" t="s">
        <v>3207</v>
      </c>
      <c r="C2031" s="13" t="s">
        <v>872</v>
      </c>
      <c r="D2031" s="13" t="s">
        <v>392</v>
      </c>
      <c r="E2031" s="13" t="s">
        <v>3208</v>
      </c>
    </row>
    <row r="2032" spans="1:5">
      <c r="A2032" s="2" t="s">
        <v>3216</v>
      </c>
      <c r="B2032" t="s">
        <v>3207</v>
      </c>
      <c r="C2032" t="s">
        <v>2857</v>
      </c>
      <c r="D2032" t="s">
        <v>392</v>
      </c>
      <c r="E2032" t="s">
        <v>3208</v>
      </c>
    </row>
    <row r="2033" spans="1:5">
      <c r="A2033" s="2" t="s">
        <v>3217</v>
      </c>
      <c r="B2033" t="s">
        <v>3207</v>
      </c>
      <c r="C2033" t="s">
        <v>2053</v>
      </c>
      <c r="D2033" t="s">
        <v>392</v>
      </c>
      <c r="E2033" t="s">
        <v>3208</v>
      </c>
    </row>
    <row r="2034" spans="1:5">
      <c r="A2034" s="2" t="s">
        <v>3218</v>
      </c>
      <c r="B2034" t="s">
        <v>3207</v>
      </c>
      <c r="C2034" t="s">
        <v>3219</v>
      </c>
      <c r="D2034" t="s">
        <v>392</v>
      </c>
      <c r="E2034" t="s">
        <v>3208</v>
      </c>
    </row>
    <row r="2035" spans="1:5">
      <c r="A2035" s="2" t="s">
        <v>3220</v>
      </c>
      <c r="B2035" t="s">
        <v>3207</v>
      </c>
      <c r="C2035" t="s">
        <v>2860</v>
      </c>
      <c r="D2035" t="s">
        <v>392</v>
      </c>
      <c r="E2035" t="s">
        <v>3208</v>
      </c>
    </row>
    <row r="2036" spans="1:5">
      <c r="A2036" s="2" t="s">
        <v>3221</v>
      </c>
      <c r="B2036" s="13" t="s">
        <v>3207</v>
      </c>
      <c r="C2036" s="13" t="s">
        <v>2051</v>
      </c>
      <c r="D2036" s="13" t="s">
        <v>392</v>
      </c>
      <c r="E2036" s="13" t="s">
        <v>3208</v>
      </c>
    </row>
    <row r="2037" spans="1:5">
      <c r="A2037" s="2" t="s">
        <v>3222</v>
      </c>
      <c r="B2037" s="13" t="s">
        <v>3207</v>
      </c>
      <c r="C2037" s="13" t="s">
        <v>1541</v>
      </c>
      <c r="D2037" s="13" t="s">
        <v>392</v>
      </c>
      <c r="E2037" s="13" t="s">
        <v>3208</v>
      </c>
    </row>
    <row r="2038" spans="1:5">
      <c r="A2038" s="2" t="s">
        <v>3223</v>
      </c>
      <c r="B2038" t="s">
        <v>3207</v>
      </c>
      <c r="C2038" t="s">
        <v>1560</v>
      </c>
      <c r="D2038" t="s">
        <v>392</v>
      </c>
      <c r="E2038" t="s">
        <v>3208</v>
      </c>
    </row>
    <row r="2039" spans="1:5">
      <c r="A2039" s="2" t="s">
        <v>3224</v>
      </c>
      <c r="B2039" t="s">
        <v>3207</v>
      </c>
      <c r="C2039" t="s">
        <v>767</v>
      </c>
      <c r="D2039" t="s">
        <v>392</v>
      </c>
      <c r="E2039" t="s">
        <v>3208</v>
      </c>
    </row>
    <row r="2040" spans="1:5">
      <c r="A2040" s="2" t="s">
        <v>3225</v>
      </c>
      <c r="B2040" t="s">
        <v>3207</v>
      </c>
      <c r="C2040" t="s">
        <v>1556</v>
      </c>
      <c r="D2040" t="s">
        <v>392</v>
      </c>
      <c r="E2040" t="s">
        <v>3208</v>
      </c>
    </row>
    <row r="2041" spans="1:5">
      <c r="A2041" s="2" t="s">
        <v>3226</v>
      </c>
      <c r="B2041" t="s">
        <v>3207</v>
      </c>
      <c r="C2041" t="s">
        <v>2062</v>
      </c>
      <c r="D2041" t="s">
        <v>392</v>
      </c>
      <c r="E2041" t="s">
        <v>3208</v>
      </c>
    </row>
    <row r="2042" spans="1:5">
      <c r="A2042" s="2" t="s">
        <v>3227</v>
      </c>
      <c r="B2042" s="13" t="s">
        <v>3207</v>
      </c>
      <c r="C2042" s="13" t="s">
        <v>2079</v>
      </c>
      <c r="D2042" s="13" t="s">
        <v>392</v>
      </c>
      <c r="E2042" s="13" t="s">
        <v>3208</v>
      </c>
    </row>
    <row r="2043" spans="1:5">
      <c r="A2043" s="2" t="s">
        <v>3228</v>
      </c>
      <c r="B2043" t="s">
        <v>3229</v>
      </c>
      <c r="C2043" t="s">
        <v>254</v>
      </c>
      <c r="D2043" t="s">
        <v>183</v>
      </c>
      <c r="E2043" t="s">
        <v>3230</v>
      </c>
    </row>
    <row r="2044" spans="1:5">
      <c r="A2044" s="2" t="s">
        <v>3231</v>
      </c>
      <c r="B2044" s="4" t="s">
        <v>3232</v>
      </c>
      <c r="C2044" s="4" t="s">
        <v>254</v>
      </c>
      <c r="D2044" s="4" t="s">
        <v>3233</v>
      </c>
      <c r="E2044" s="4" t="s">
        <v>3234</v>
      </c>
    </row>
    <row r="2045" spans="1:5">
      <c r="A2045" s="2" t="s">
        <v>3235</v>
      </c>
      <c r="B2045" s="4" t="s">
        <v>3236</v>
      </c>
      <c r="C2045" s="4" t="s">
        <v>767</v>
      </c>
      <c r="D2045" s="4" t="s">
        <v>192</v>
      </c>
      <c r="E2045" s="4" t="s">
        <v>3237</v>
      </c>
    </row>
    <row r="2046" spans="1:5">
      <c r="A2046" s="2" t="s">
        <v>3238</v>
      </c>
      <c r="B2046" s="4" t="s">
        <v>3236</v>
      </c>
      <c r="C2046" s="4" t="s">
        <v>1541</v>
      </c>
      <c r="D2046" s="4" t="s">
        <v>192</v>
      </c>
      <c r="E2046" s="4" t="s">
        <v>3237</v>
      </c>
    </row>
    <row r="2047" spans="1:5">
      <c r="A2047" s="2" t="s">
        <v>3239</v>
      </c>
      <c r="B2047" s="4" t="s">
        <v>3236</v>
      </c>
      <c r="C2047" s="4" t="s">
        <v>3240</v>
      </c>
      <c r="D2047" s="4" t="s">
        <v>192</v>
      </c>
      <c r="E2047" s="4" t="s">
        <v>3241</v>
      </c>
    </row>
    <row r="2048" spans="1:5">
      <c r="A2048" s="2" t="s">
        <v>3242</v>
      </c>
      <c r="B2048" s="5" t="s">
        <v>3236</v>
      </c>
      <c r="C2048" s="5" t="s">
        <v>254</v>
      </c>
      <c r="D2048" s="5" t="s">
        <v>192</v>
      </c>
      <c r="E2048" s="5" t="s">
        <v>3237</v>
      </c>
    </row>
    <row r="2049" spans="1:5">
      <c r="A2049" s="2" t="s">
        <v>3243</v>
      </c>
      <c r="B2049" t="s">
        <v>3236</v>
      </c>
      <c r="C2049" t="s">
        <v>298</v>
      </c>
      <c r="D2049" t="s">
        <v>192</v>
      </c>
      <c r="E2049" t="s">
        <v>3241</v>
      </c>
    </row>
    <row r="2050" spans="1:5">
      <c r="A2050" s="2" t="s">
        <v>3244</v>
      </c>
      <c r="B2050" s="4" t="s">
        <v>3236</v>
      </c>
      <c r="C2050" s="4" t="s">
        <v>534</v>
      </c>
      <c r="D2050" s="4" t="s">
        <v>192</v>
      </c>
      <c r="E2050" s="4" t="s">
        <v>3241</v>
      </c>
    </row>
    <row r="2051" spans="1:5">
      <c r="A2051" s="2" t="s">
        <v>3245</v>
      </c>
      <c r="B2051" s="4" t="s">
        <v>3236</v>
      </c>
      <c r="C2051" s="4" t="s">
        <v>530</v>
      </c>
      <c r="D2051" s="4" t="s">
        <v>192</v>
      </c>
      <c r="E2051" s="4" t="s">
        <v>3237</v>
      </c>
    </row>
    <row r="2052" spans="1:5">
      <c r="A2052" s="2" t="s">
        <v>3246</v>
      </c>
      <c r="B2052" s="4" t="s">
        <v>3236</v>
      </c>
      <c r="C2052" s="4" t="s">
        <v>556</v>
      </c>
      <c r="D2052" s="4" t="s">
        <v>192</v>
      </c>
      <c r="E2052" s="4" t="s">
        <v>3237</v>
      </c>
    </row>
    <row r="2053" spans="1:5">
      <c r="A2053" s="2" t="s">
        <v>3247</v>
      </c>
      <c r="B2053" s="4" t="s">
        <v>3236</v>
      </c>
      <c r="C2053" s="4" t="s">
        <v>590</v>
      </c>
      <c r="D2053" s="4" t="s">
        <v>192</v>
      </c>
      <c r="E2053" s="4" t="s">
        <v>3241</v>
      </c>
    </row>
    <row r="2054" spans="1:5">
      <c r="A2054" s="2" t="s">
        <v>3248</v>
      </c>
      <c r="B2054" s="4" t="s">
        <v>3236</v>
      </c>
      <c r="C2054" s="4" t="s">
        <v>815</v>
      </c>
      <c r="D2054" s="4" t="s">
        <v>192</v>
      </c>
      <c r="E2054" s="4" t="s">
        <v>3237</v>
      </c>
    </row>
    <row r="2055" spans="1:5">
      <c r="A2055" s="2" t="s">
        <v>3249</v>
      </c>
      <c r="B2055" s="5" t="s">
        <v>3236</v>
      </c>
      <c r="C2055" s="5" t="s">
        <v>870</v>
      </c>
      <c r="D2055" s="5" t="s">
        <v>192</v>
      </c>
      <c r="E2055" s="5" t="s">
        <v>3237</v>
      </c>
    </row>
    <row r="2056" spans="1:5">
      <c r="A2056" s="2" t="s">
        <v>3250</v>
      </c>
      <c r="B2056" s="5" t="s">
        <v>3236</v>
      </c>
      <c r="C2056" s="5" t="s">
        <v>2412</v>
      </c>
      <c r="D2056" s="5" t="s">
        <v>192</v>
      </c>
      <c r="E2056" s="5" t="s">
        <v>3237</v>
      </c>
    </row>
    <row r="2057" spans="1:5">
      <c r="A2057" s="2" t="s">
        <v>3251</v>
      </c>
      <c r="B2057" s="6" t="s">
        <v>3236</v>
      </c>
      <c r="C2057" s="6" t="s">
        <v>2622</v>
      </c>
      <c r="D2057" t="s">
        <v>192</v>
      </c>
      <c r="E2057" t="s">
        <v>3237</v>
      </c>
    </row>
    <row r="2058" spans="1:5">
      <c r="A2058" s="2" t="s">
        <v>3252</v>
      </c>
      <c r="B2058" t="s">
        <v>3253</v>
      </c>
      <c r="C2058" t="s">
        <v>1556</v>
      </c>
      <c r="D2058" t="s">
        <v>192</v>
      </c>
      <c r="E2058" t="s">
        <v>3254</v>
      </c>
    </row>
    <row r="2059" spans="1:5">
      <c r="A2059" s="2" t="s">
        <v>3255</v>
      </c>
      <c r="B2059" t="s">
        <v>3253</v>
      </c>
      <c r="C2059" t="s">
        <v>1560</v>
      </c>
      <c r="D2059" t="s">
        <v>192</v>
      </c>
      <c r="E2059" t="s">
        <v>3254</v>
      </c>
    </row>
    <row r="2060" spans="1:5">
      <c r="A2060" s="2" t="s">
        <v>3256</v>
      </c>
      <c r="B2060" t="s">
        <v>3253</v>
      </c>
      <c r="C2060" t="s">
        <v>817</v>
      </c>
      <c r="D2060" t="s">
        <v>192</v>
      </c>
      <c r="E2060" t="s">
        <v>3254</v>
      </c>
    </row>
    <row r="2061" spans="1:5">
      <c r="A2061" s="2" t="s">
        <v>3257</v>
      </c>
      <c r="B2061" t="s">
        <v>3253</v>
      </c>
      <c r="C2061" t="s">
        <v>872</v>
      </c>
      <c r="D2061" t="s">
        <v>192</v>
      </c>
      <c r="E2061" t="s">
        <v>3254</v>
      </c>
    </row>
    <row r="2062" spans="1:5">
      <c r="A2062" s="2" t="s">
        <v>3258</v>
      </c>
      <c r="B2062" t="s">
        <v>3253</v>
      </c>
      <c r="C2062" t="s">
        <v>2412</v>
      </c>
      <c r="D2062" t="s">
        <v>192</v>
      </c>
      <c r="E2062" t="s">
        <v>3254</v>
      </c>
    </row>
    <row r="2063" spans="1:5">
      <c r="A2063" s="2" t="s">
        <v>3259</v>
      </c>
      <c r="B2063" s="3" t="s">
        <v>3253</v>
      </c>
      <c r="C2063" s="3" t="s">
        <v>2622</v>
      </c>
      <c r="D2063" s="3" t="s">
        <v>192</v>
      </c>
      <c r="E2063" s="3" t="s">
        <v>3254</v>
      </c>
    </row>
    <row r="2064" spans="1:5">
      <c r="A2064" s="2" t="s">
        <v>3260</v>
      </c>
      <c r="B2064" s="3" t="s">
        <v>3261</v>
      </c>
      <c r="C2064" s="3" t="s">
        <v>815</v>
      </c>
      <c r="D2064" s="3" t="s">
        <v>204</v>
      </c>
      <c r="E2064" s="3" t="s">
        <v>3262</v>
      </c>
    </row>
    <row r="2065" spans="1:5">
      <c r="A2065" s="2" t="s">
        <v>3263</v>
      </c>
      <c r="B2065" s="3" t="s">
        <v>3261</v>
      </c>
      <c r="C2065" s="3" t="s">
        <v>254</v>
      </c>
      <c r="D2065" s="3" t="s">
        <v>204</v>
      </c>
      <c r="E2065" s="3" t="s">
        <v>3264</v>
      </c>
    </row>
    <row r="2066" spans="1:5">
      <c r="A2066" s="2" t="s">
        <v>3265</v>
      </c>
      <c r="B2066" s="3" t="s">
        <v>3261</v>
      </c>
      <c r="C2066" s="3" t="s">
        <v>530</v>
      </c>
      <c r="D2066" s="3" t="s">
        <v>204</v>
      </c>
      <c r="E2066" s="3" t="s">
        <v>3264</v>
      </c>
    </row>
    <row r="2067" spans="1:5">
      <c r="A2067" s="2" t="s">
        <v>3266</v>
      </c>
      <c r="B2067" s="3" t="s">
        <v>3261</v>
      </c>
      <c r="C2067" s="3" t="s">
        <v>556</v>
      </c>
      <c r="D2067" s="3" t="s">
        <v>204</v>
      </c>
      <c r="E2067" s="3" t="s">
        <v>3267</v>
      </c>
    </row>
    <row r="2068" spans="1:5">
      <c r="A2068" s="2" t="s">
        <v>3268</v>
      </c>
      <c r="B2068" s="4" t="s">
        <v>3261</v>
      </c>
      <c r="C2068" s="4" t="s">
        <v>870</v>
      </c>
      <c r="D2068" s="4" t="s">
        <v>204</v>
      </c>
      <c r="E2068" s="4" t="s">
        <v>3262</v>
      </c>
    </row>
    <row r="2069" spans="1:5">
      <c r="A2069" s="2" t="s">
        <v>3269</v>
      </c>
      <c r="B2069" s="4" t="s">
        <v>3270</v>
      </c>
      <c r="C2069" s="4" t="s">
        <v>254</v>
      </c>
      <c r="D2069" s="4" t="s">
        <v>204</v>
      </c>
      <c r="E2069" s="4" t="s">
        <v>3271</v>
      </c>
    </row>
    <row r="2070" spans="1:5">
      <c r="A2070" s="2" t="s">
        <v>3272</v>
      </c>
      <c r="B2070" s="4" t="s">
        <v>3270</v>
      </c>
      <c r="C2070" s="4" t="s">
        <v>530</v>
      </c>
      <c r="D2070" s="4" t="s">
        <v>204</v>
      </c>
      <c r="E2070" s="4" t="s">
        <v>3271</v>
      </c>
    </row>
    <row r="2071" spans="1:5">
      <c r="A2071" s="2" t="s">
        <v>3273</v>
      </c>
      <c r="B2071" s="5" t="s">
        <v>3270</v>
      </c>
      <c r="C2071" s="5" t="s">
        <v>534</v>
      </c>
      <c r="D2071" s="5" t="s">
        <v>204</v>
      </c>
      <c r="E2071" s="5" t="s">
        <v>3274</v>
      </c>
    </row>
    <row r="2072" spans="1:5">
      <c r="A2072" s="2" t="s">
        <v>3275</v>
      </c>
      <c r="B2072" s="5" t="s">
        <v>3270</v>
      </c>
      <c r="C2072" s="5" t="s">
        <v>556</v>
      </c>
      <c r="D2072" s="5" t="s">
        <v>204</v>
      </c>
      <c r="E2072" s="5" t="s">
        <v>3276</v>
      </c>
    </row>
    <row r="2073" spans="1:5">
      <c r="A2073" s="2" t="s">
        <v>3277</v>
      </c>
      <c r="B2073" s="6" t="s">
        <v>3270</v>
      </c>
      <c r="C2073" s="6" t="s">
        <v>815</v>
      </c>
      <c r="D2073" t="s">
        <v>204</v>
      </c>
      <c r="E2073" t="s">
        <v>3276</v>
      </c>
    </row>
    <row r="2074" spans="1:5">
      <c r="A2074" s="2" t="s">
        <v>3278</v>
      </c>
      <c r="B2074" t="s">
        <v>3279</v>
      </c>
      <c r="C2074" t="s">
        <v>254</v>
      </c>
      <c r="D2074" t="s">
        <v>204</v>
      </c>
      <c r="E2074" t="s">
        <v>3280</v>
      </c>
    </row>
    <row r="2075" spans="1:5">
      <c r="A2075" s="2" t="s">
        <v>3281</v>
      </c>
      <c r="B2075" t="s">
        <v>3282</v>
      </c>
      <c r="C2075" t="s">
        <v>815</v>
      </c>
      <c r="D2075" t="s">
        <v>204</v>
      </c>
      <c r="E2075" t="s">
        <v>3283</v>
      </c>
    </row>
    <row r="2076" spans="1:5">
      <c r="A2076" s="2" t="s">
        <v>3284</v>
      </c>
      <c r="B2076" s="4" t="s">
        <v>3282</v>
      </c>
      <c r="C2076" s="4" t="s">
        <v>254</v>
      </c>
      <c r="D2076" s="4" t="s">
        <v>204</v>
      </c>
      <c r="E2076" s="4" t="s">
        <v>3285</v>
      </c>
    </row>
    <row r="2077" spans="1:5">
      <c r="A2077" s="2" t="s">
        <v>3286</v>
      </c>
      <c r="B2077" s="4" t="s">
        <v>3282</v>
      </c>
      <c r="C2077" s="4" t="s">
        <v>530</v>
      </c>
      <c r="D2077" s="4" t="s">
        <v>204</v>
      </c>
      <c r="E2077" s="4" t="s">
        <v>3285</v>
      </c>
    </row>
    <row r="2078" spans="1:5">
      <c r="A2078" s="2" t="s">
        <v>3287</v>
      </c>
      <c r="B2078" s="4" t="s">
        <v>3282</v>
      </c>
      <c r="C2078" s="4" t="s">
        <v>556</v>
      </c>
      <c r="D2078" s="4" t="s">
        <v>204</v>
      </c>
      <c r="E2078" s="4" t="s">
        <v>3285</v>
      </c>
    </row>
    <row r="2079" spans="1:5">
      <c r="A2079" s="2" t="s">
        <v>3288</v>
      </c>
      <c r="B2079" s="4" t="s">
        <v>3282</v>
      </c>
      <c r="C2079" s="4" t="s">
        <v>870</v>
      </c>
      <c r="D2079" s="4" t="s">
        <v>204</v>
      </c>
      <c r="E2079" s="4" t="s">
        <v>3283</v>
      </c>
    </row>
    <row r="2080" spans="1:5">
      <c r="A2080" s="2" t="s">
        <v>3289</v>
      </c>
      <c r="B2080" s="4" t="s">
        <v>3290</v>
      </c>
      <c r="C2080" s="4" t="s">
        <v>254</v>
      </c>
      <c r="D2080" s="4" t="s">
        <v>393</v>
      </c>
      <c r="E2080" s="4" t="s">
        <v>3291</v>
      </c>
    </row>
    <row r="2081" spans="1:5">
      <c r="A2081" s="2" t="str">
        <f>B2081&amp;C2081</f>
        <v>W100RE-LBDFJ10</v>
      </c>
      <c r="B2081" s="4" t="s">
        <v>3290</v>
      </c>
      <c r="C2081" s="637" t="s">
        <v>530</v>
      </c>
      <c r="D2081" s="4" t="s">
        <v>393</v>
      </c>
      <c r="E2081" s="4" t="s">
        <v>3291</v>
      </c>
    </row>
    <row r="2082" spans="1:5">
      <c r="A2082" s="2" t="s">
        <v>3292</v>
      </c>
      <c r="B2082" s="4" t="s">
        <v>3290</v>
      </c>
      <c r="C2082" s="4" t="s">
        <v>573</v>
      </c>
      <c r="D2082" s="4" t="s">
        <v>393</v>
      </c>
      <c r="E2082" s="4" t="s">
        <v>3291</v>
      </c>
    </row>
    <row r="2083" spans="1:5">
      <c r="A2083" s="2" t="str">
        <f>B2083&amp;C2083</f>
        <v>W100RE-LBDFJ10</v>
      </c>
      <c r="B2083" s="4" t="s">
        <v>3290</v>
      </c>
      <c r="C2083" s="637" t="s">
        <v>530</v>
      </c>
      <c r="D2083" s="4" t="s">
        <v>393</v>
      </c>
      <c r="E2083" s="4" t="s">
        <v>3291</v>
      </c>
    </row>
    <row r="2084" spans="1:5">
      <c r="A2084" s="2" t="s">
        <v>3293</v>
      </c>
      <c r="B2084" s="4" t="s">
        <v>3290</v>
      </c>
      <c r="C2084" s="4" t="s">
        <v>550</v>
      </c>
      <c r="D2084" s="4" t="s">
        <v>393</v>
      </c>
      <c r="E2084" s="4" t="s">
        <v>3291</v>
      </c>
    </row>
    <row r="2085" spans="1:5">
      <c r="A2085" s="2" t="s">
        <v>3294</v>
      </c>
      <c r="B2085" s="4" t="s">
        <v>3290</v>
      </c>
      <c r="C2085" s="4" t="s">
        <v>541</v>
      </c>
      <c r="D2085" s="4" t="s">
        <v>393</v>
      </c>
      <c r="E2085" s="4" t="s">
        <v>3291</v>
      </c>
    </row>
    <row r="2086" spans="1:5">
      <c r="A2086" s="2" t="s">
        <v>3295</v>
      </c>
      <c r="B2086" s="4" t="s">
        <v>3290</v>
      </c>
      <c r="C2086" s="4" t="s">
        <v>1093</v>
      </c>
      <c r="D2086" s="4" t="s">
        <v>393</v>
      </c>
      <c r="E2086" s="4" t="s">
        <v>3291</v>
      </c>
    </row>
    <row r="2087" spans="1:5">
      <c r="A2087" s="2" t="s">
        <v>3296</v>
      </c>
      <c r="B2087" s="4" t="s">
        <v>3290</v>
      </c>
      <c r="C2087" s="4" t="s">
        <v>648</v>
      </c>
      <c r="D2087" s="4" t="s">
        <v>393</v>
      </c>
      <c r="E2087" s="4" t="s">
        <v>3291</v>
      </c>
    </row>
    <row r="2088" spans="1:5">
      <c r="A2088" s="2" t="s">
        <v>3297</v>
      </c>
      <c r="B2088" s="4" t="s">
        <v>292</v>
      </c>
      <c r="C2088" s="4" t="s">
        <v>254</v>
      </c>
      <c r="D2088" s="4" t="s">
        <v>393</v>
      </c>
      <c r="E2088" s="4" t="s">
        <v>1162</v>
      </c>
    </row>
    <row r="2089" spans="1:5">
      <c r="A2089" s="2" t="str">
        <f>B2089&amp;C2089</f>
        <v>W100RE-LMDFJ11</v>
      </c>
      <c r="B2089" s="4" t="s">
        <v>292</v>
      </c>
      <c r="C2089" s="4">
        <v>11</v>
      </c>
      <c r="D2089" s="4" t="s">
        <v>393</v>
      </c>
      <c r="E2089" s="4" t="s">
        <v>1162</v>
      </c>
    </row>
    <row r="2090" spans="1:5">
      <c r="A2090" s="2" t="str">
        <f>B2090&amp;C2090</f>
        <v>W100RE-LMDFJ10</v>
      </c>
      <c r="B2090" s="4" t="s">
        <v>292</v>
      </c>
      <c r="C2090" s="4">
        <v>10</v>
      </c>
      <c r="D2090" s="4" t="s">
        <v>393</v>
      </c>
      <c r="E2090" s="4" t="s">
        <v>1162</v>
      </c>
    </row>
    <row r="2091" spans="1:5">
      <c r="A2091" s="2" t="s">
        <v>3298</v>
      </c>
      <c r="B2091" s="4" t="s">
        <v>292</v>
      </c>
      <c r="C2091" s="4" t="s">
        <v>573</v>
      </c>
      <c r="D2091" s="4" t="s">
        <v>393</v>
      </c>
      <c r="E2091" s="4" t="s">
        <v>1162</v>
      </c>
    </row>
    <row r="2092" spans="1:5">
      <c r="A2092" s="2" t="s">
        <v>3299</v>
      </c>
      <c r="B2092" s="5" t="s">
        <v>292</v>
      </c>
      <c r="C2092" s="5" t="s">
        <v>541</v>
      </c>
      <c r="D2092" s="5" t="s">
        <v>393</v>
      </c>
      <c r="E2092" s="5" t="s">
        <v>1162</v>
      </c>
    </row>
    <row r="2093" spans="1:5">
      <c r="A2093" s="2" t="s">
        <v>3300</v>
      </c>
      <c r="B2093" s="5" t="s">
        <v>292</v>
      </c>
      <c r="C2093" s="5" t="s">
        <v>562</v>
      </c>
      <c r="D2093" s="5" t="s">
        <v>393</v>
      </c>
      <c r="E2093" s="5" t="s">
        <v>1162</v>
      </c>
    </row>
    <row r="2094" spans="1:5">
      <c r="A2094" s="2" t="s">
        <v>3301</v>
      </c>
      <c r="B2094" t="s">
        <v>292</v>
      </c>
      <c r="C2094" t="s">
        <v>1093</v>
      </c>
      <c r="D2094" t="s">
        <v>393</v>
      </c>
      <c r="E2094" t="s">
        <v>1162</v>
      </c>
    </row>
    <row r="2095" spans="1:5">
      <c r="A2095" s="2" t="s">
        <v>3302</v>
      </c>
      <c r="B2095" t="s">
        <v>292</v>
      </c>
      <c r="C2095" t="s">
        <v>550</v>
      </c>
      <c r="D2095" t="s">
        <v>393</v>
      </c>
      <c r="E2095" t="s">
        <v>1162</v>
      </c>
    </row>
    <row r="2096" spans="1:5">
      <c r="A2096" s="2" t="s">
        <v>3303</v>
      </c>
      <c r="B2096" t="s">
        <v>292</v>
      </c>
      <c r="C2096" t="s">
        <v>648</v>
      </c>
      <c r="D2096" t="s">
        <v>393</v>
      </c>
      <c r="E2096" t="s">
        <v>1162</v>
      </c>
    </row>
    <row r="2097" spans="1:5">
      <c r="A2097" s="2" t="s">
        <v>3304</v>
      </c>
      <c r="B2097" t="s">
        <v>292</v>
      </c>
      <c r="C2097" t="s">
        <v>298</v>
      </c>
      <c r="D2097" t="s">
        <v>186</v>
      </c>
      <c r="E2097" t="s">
        <v>3305</v>
      </c>
    </row>
    <row r="2098" spans="1:5">
      <c r="A2098" s="2" t="s">
        <v>3306</v>
      </c>
      <c r="B2098" t="s">
        <v>292</v>
      </c>
      <c r="C2098" t="s">
        <v>681</v>
      </c>
      <c r="D2098" t="s">
        <v>393</v>
      </c>
      <c r="E2098" t="s">
        <v>1162</v>
      </c>
    </row>
    <row r="2099" spans="1:5">
      <c r="A2099" s="2" t="s">
        <v>3307</v>
      </c>
      <c r="B2099" t="s">
        <v>273</v>
      </c>
      <c r="C2099" t="s">
        <v>254</v>
      </c>
      <c r="D2099" t="s">
        <v>393</v>
      </c>
      <c r="E2099" t="s">
        <v>3308</v>
      </c>
    </row>
    <row r="2100" spans="1:5">
      <c r="A2100" s="2" t="str">
        <f>B2100&amp;C2100</f>
        <v>W101RE-LBMFJ10</v>
      </c>
      <c r="B2100" t="s">
        <v>273</v>
      </c>
      <c r="C2100" s="632" t="s">
        <v>530</v>
      </c>
      <c r="D2100" t="s">
        <v>393</v>
      </c>
      <c r="E2100" t="s">
        <v>3308</v>
      </c>
    </row>
    <row r="2101" spans="1:5">
      <c r="A2101" s="2" t="s">
        <v>3309</v>
      </c>
      <c r="B2101" t="s">
        <v>273</v>
      </c>
      <c r="C2101" t="s">
        <v>690</v>
      </c>
      <c r="D2101" t="s">
        <v>393</v>
      </c>
      <c r="E2101" t="s">
        <v>3308</v>
      </c>
    </row>
    <row r="2102" spans="1:5">
      <c r="A2102" s="2" t="s">
        <v>3310</v>
      </c>
      <c r="B2102" t="s">
        <v>273</v>
      </c>
      <c r="C2102" t="s">
        <v>298</v>
      </c>
      <c r="D2102" t="s">
        <v>393</v>
      </c>
      <c r="E2102" t="s">
        <v>3311</v>
      </c>
    </row>
    <row r="2103" spans="1:5">
      <c r="A2103" s="2" t="s">
        <v>3312</v>
      </c>
      <c r="B2103" t="s">
        <v>273</v>
      </c>
      <c r="C2103" t="s">
        <v>548</v>
      </c>
      <c r="D2103" t="s">
        <v>393</v>
      </c>
      <c r="E2103" t="s">
        <v>3308</v>
      </c>
    </row>
    <row r="2104" spans="1:5">
      <c r="A2104" s="2" t="s">
        <v>3313</v>
      </c>
      <c r="B2104" s="3" t="s">
        <v>273</v>
      </c>
      <c r="C2104" s="3" t="s">
        <v>538</v>
      </c>
      <c r="D2104" s="3" t="s">
        <v>393</v>
      </c>
      <c r="E2104" s="3" t="s">
        <v>3308</v>
      </c>
    </row>
    <row r="2105" spans="1:5">
      <c r="A2105" s="2" t="s">
        <v>3314</v>
      </c>
      <c r="B2105" s="3" t="s">
        <v>273</v>
      </c>
      <c r="C2105" s="3" t="s">
        <v>550</v>
      </c>
      <c r="D2105" s="3" t="s">
        <v>393</v>
      </c>
      <c r="E2105" s="3" t="s">
        <v>3311</v>
      </c>
    </row>
    <row r="2106" spans="1:5">
      <c r="A2106" s="2" t="s">
        <v>3315</v>
      </c>
      <c r="B2106" s="3" t="s">
        <v>273</v>
      </c>
      <c r="C2106" s="3" t="s">
        <v>558</v>
      </c>
      <c r="D2106" s="3" t="s">
        <v>393</v>
      </c>
      <c r="E2106" s="3" t="s">
        <v>3308</v>
      </c>
    </row>
    <row r="2107" spans="1:5">
      <c r="A2107" s="2" t="s">
        <v>3316</v>
      </c>
      <c r="B2107" s="3" t="s">
        <v>273</v>
      </c>
      <c r="C2107" s="3" t="s">
        <v>552</v>
      </c>
      <c r="D2107" s="3" t="s">
        <v>393</v>
      </c>
      <c r="E2107" s="3" t="s">
        <v>3308</v>
      </c>
    </row>
    <row r="2108" spans="1:5">
      <c r="A2108" s="2" t="s">
        <v>3317</v>
      </c>
      <c r="B2108" s="3" t="s">
        <v>273</v>
      </c>
      <c r="C2108" s="3" t="s">
        <v>541</v>
      </c>
      <c r="D2108" s="3" t="s">
        <v>393</v>
      </c>
      <c r="E2108" s="3" t="s">
        <v>3308</v>
      </c>
    </row>
    <row r="2109" spans="1:5">
      <c r="A2109" s="2" t="s">
        <v>3318</v>
      </c>
      <c r="B2109" s="3" t="s">
        <v>273</v>
      </c>
      <c r="C2109" s="3" t="s">
        <v>562</v>
      </c>
      <c r="D2109" s="3" t="s">
        <v>393</v>
      </c>
      <c r="E2109" s="3" t="s">
        <v>3308</v>
      </c>
    </row>
    <row r="2110" spans="1:5">
      <c r="A2110" s="2" t="s">
        <v>3319</v>
      </c>
      <c r="B2110" s="3" t="s">
        <v>273</v>
      </c>
      <c r="C2110" s="3" t="s">
        <v>564</v>
      </c>
      <c r="D2110" s="3" t="s">
        <v>393</v>
      </c>
      <c r="E2110" s="3" t="s">
        <v>3308</v>
      </c>
    </row>
    <row r="2111" spans="1:5">
      <c r="A2111" s="2" t="s">
        <v>3320</v>
      </c>
      <c r="B2111" s="3" t="s">
        <v>273</v>
      </c>
      <c r="C2111" s="3" t="s">
        <v>573</v>
      </c>
      <c r="D2111" s="3" t="s">
        <v>393</v>
      </c>
      <c r="E2111" s="3" t="s">
        <v>3308</v>
      </c>
    </row>
    <row r="2112" spans="1:5">
      <c r="A2112" s="2" t="s">
        <v>3321</v>
      </c>
      <c r="B2112" s="3" t="s">
        <v>273</v>
      </c>
      <c r="C2112" s="3" t="s">
        <v>554</v>
      </c>
      <c r="D2112" s="3" t="s">
        <v>393</v>
      </c>
      <c r="E2112" s="3" t="s">
        <v>3308</v>
      </c>
    </row>
    <row r="2113" spans="1:5">
      <c r="A2113" s="2" t="s">
        <v>3322</v>
      </c>
      <c r="B2113" s="3" t="s">
        <v>273</v>
      </c>
      <c r="C2113" s="3" t="s">
        <v>546</v>
      </c>
      <c r="D2113" s="3" t="s">
        <v>393</v>
      </c>
      <c r="E2113" s="3" t="s">
        <v>3308</v>
      </c>
    </row>
    <row r="2114" spans="1:5">
      <c r="A2114" s="2" t="s">
        <v>3323</v>
      </c>
      <c r="B2114" s="3" t="s">
        <v>273</v>
      </c>
      <c r="C2114" s="3" t="s">
        <v>648</v>
      </c>
      <c r="D2114" s="3" t="s">
        <v>393</v>
      </c>
      <c r="E2114" s="3" t="s">
        <v>3308</v>
      </c>
    </row>
    <row r="2115" spans="1:5">
      <c r="A2115" s="2" t="s">
        <v>3324</v>
      </c>
      <c r="B2115" s="3" t="s">
        <v>273</v>
      </c>
      <c r="C2115" s="3" t="s">
        <v>3325</v>
      </c>
      <c r="D2115" s="3" t="s">
        <v>393</v>
      </c>
      <c r="E2115" s="3" t="s">
        <v>3311</v>
      </c>
    </row>
    <row r="2116" spans="1:5">
      <c r="A2116" s="2" t="s">
        <v>3326</v>
      </c>
      <c r="B2116" s="4" t="s">
        <v>273</v>
      </c>
      <c r="C2116" s="4" t="s">
        <v>681</v>
      </c>
      <c r="D2116" s="4" t="s">
        <v>393</v>
      </c>
      <c r="E2116" s="4" t="s">
        <v>3308</v>
      </c>
    </row>
    <row r="2117" spans="1:5">
      <c r="A2117" s="2" t="s">
        <v>3327</v>
      </c>
      <c r="B2117" s="4" t="s">
        <v>3328</v>
      </c>
      <c r="C2117" s="4" t="s">
        <v>254</v>
      </c>
      <c r="D2117" s="4" t="s">
        <v>3329</v>
      </c>
      <c r="E2117" s="4" t="s">
        <v>3330</v>
      </c>
    </row>
    <row r="2118" spans="1:5">
      <c r="A2118" s="2" t="s">
        <v>3331</v>
      </c>
      <c r="B2118" s="4" t="s">
        <v>3328</v>
      </c>
      <c r="C2118" s="4">
        <v>11</v>
      </c>
      <c r="D2118" s="4" t="s">
        <v>3329</v>
      </c>
      <c r="E2118" s="4" t="s">
        <v>3330</v>
      </c>
    </row>
    <row r="2119" spans="1:5">
      <c r="A2119" s="2" t="s">
        <v>3332</v>
      </c>
      <c r="B2119" s="4" t="s">
        <v>3328</v>
      </c>
      <c r="C2119" s="4" t="s">
        <v>298</v>
      </c>
      <c r="D2119" s="4" t="s">
        <v>3329</v>
      </c>
      <c r="E2119" s="4" t="s">
        <v>3330</v>
      </c>
    </row>
    <row r="2120" spans="1:5">
      <c r="A2120" s="2" t="s">
        <v>3333</v>
      </c>
      <c r="B2120" s="4" t="s">
        <v>3328</v>
      </c>
      <c r="C2120" s="4" t="s">
        <v>558</v>
      </c>
      <c r="D2120" s="4" t="s">
        <v>3329</v>
      </c>
      <c r="E2120" s="4" t="s">
        <v>3330</v>
      </c>
    </row>
    <row r="2121" spans="1:5">
      <c r="A2121" s="2" t="s">
        <v>3334</v>
      </c>
      <c r="B2121" s="4" t="s">
        <v>3328</v>
      </c>
      <c r="C2121" s="4" t="s">
        <v>548</v>
      </c>
      <c r="D2121" s="4" t="s">
        <v>3329</v>
      </c>
      <c r="E2121" s="4" t="s">
        <v>3330</v>
      </c>
    </row>
    <row r="2122" spans="1:5">
      <c r="A2122" s="2" t="s">
        <v>3335</v>
      </c>
      <c r="B2122" s="4" t="s">
        <v>3328</v>
      </c>
      <c r="C2122" s="4" t="s">
        <v>538</v>
      </c>
      <c r="D2122" s="4" t="s">
        <v>3329</v>
      </c>
      <c r="E2122" s="4" t="s">
        <v>3330</v>
      </c>
    </row>
    <row r="2123" spans="1:5">
      <c r="A2123" s="2" t="s">
        <v>3336</v>
      </c>
      <c r="B2123" s="4" t="s">
        <v>3328</v>
      </c>
      <c r="C2123" s="4" t="s">
        <v>562</v>
      </c>
      <c r="D2123" s="4" t="s">
        <v>3329</v>
      </c>
      <c r="E2123" s="4" t="s">
        <v>3330</v>
      </c>
    </row>
    <row r="2124" spans="1:5">
      <c r="A2124" s="2" t="s">
        <v>3337</v>
      </c>
      <c r="B2124" s="4" t="s">
        <v>3328</v>
      </c>
      <c r="C2124" s="4" t="s">
        <v>573</v>
      </c>
      <c r="D2124" s="4" t="s">
        <v>3329</v>
      </c>
      <c r="E2124" s="4" t="s">
        <v>3330</v>
      </c>
    </row>
    <row r="2125" spans="1:5">
      <c r="A2125" s="2" t="s">
        <v>3338</v>
      </c>
      <c r="B2125" s="5" t="s">
        <v>3328</v>
      </c>
      <c r="C2125" s="5" t="s">
        <v>550</v>
      </c>
      <c r="D2125" s="5" t="s">
        <v>3329</v>
      </c>
      <c r="E2125" s="5" t="s">
        <v>3330</v>
      </c>
    </row>
    <row r="2126" spans="1:5">
      <c r="A2126" s="2" t="s">
        <v>3339</v>
      </c>
      <c r="B2126" s="5" t="s">
        <v>3328</v>
      </c>
      <c r="C2126" s="5" t="s">
        <v>541</v>
      </c>
      <c r="D2126" s="5" t="s">
        <v>3329</v>
      </c>
      <c r="E2126" s="5" t="s">
        <v>3330</v>
      </c>
    </row>
    <row r="2127" spans="1:5">
      <c r="A2127" s="2" t="s">
        <v>3340</v>
      </c>
      <c r="B2127" s="5" t="s">
        <v>3328</v>
      </c>
      <c r="C2127" s="5" t="s">
        <v>577</v>
      </c>
      <c r="D2127" s="5" t="s">
        <v>3329</v>
      </c>
      <c r="E2127" s="5" t="s">
        <v>3330</v>
      </c>
    </row>
    <row r="2128" spans="1:5">
      <c r="A2128" s="2" t="s">
        <v>3341</v>
      </c>
      <c r="B2128" s="5" t="s">
        <v>3328</v>
      </c>
      <c r="C2128" s="5" t="s">
        <v>566</v>
      </c>
      <c r="D2128" s="5" t="s">
        <v>3329</v>
      </c>
      <c r="E2128" s="5" t="s">
        <v>3330</v>
      </c>
    </row>
    <row r="2129" spans="1:5">
      <c r="A2129" s="2" t="s">
        <v>3342</v>
      </c>
      <c r="B2129" s="2" t="s">
        <v>3328</v>
      </c>
      <c r="C2129" s="2" t="s">
        <v>552</v>
      </c>
      <c r="D2129" s="2" t="s">
        <v>3329</v>
      </c>
      <c r="E2129" s="2" t="s">
        <v>3330</v>
      </c>
    </row>
    <row r="2130" spans="1:5">
      <c r="A2130" s="2" t="s">
        <v>3343</v>
      </c>
      <c r="B2130" s="2" t="s">
        <v>3328</v>
      </c>
      <c r="C2130" s="2" t="s">
        <v>581</v>
      </c>
      <c r="D2130" s="2" t="s">
        <v>3329</v>
      </c>
      <c r="E2130" s="2" t="s">
        <v>3330</v>
      </c>
    </row>
    <row r="2131" spans="1:5">
      <c r="A2131" s="2" t="s">
        <v>3344</v>
      </c>
      <c r="B2131" s="6" t="s">
        <v>3328</v>
      </c>
      <c r="C2131" s="6" t="s">
        <v>554</v>
      </c>
      <c r="D2131" t="s">
        <v>3329</v>
      </c>
      <c r="E2131" t="s">
        <v>3330</v>
      </c>
    </row>
    <row r="2132" spans="1:5">
      <c r="A2132" s="2" t="s">
        <v>3345</v>
      </c>
      <c r="B2132" s="6" t="s">
        <v>3328</v>
      </c>
      <c r="C2132" s="6" t="s">
        <v>648</v>
      </c>
      <c r="D2132" t="s">
        <v>3329</v>
      </c>
      <c r="E2132" t="s">
        <v>3330</v>
      </c>
    </row>
    <row r="2133" spans="1:5">
      <c r="A2133" s="2" t="s">
        <v>3346</v>
      </c>
      <c r="B2133" t="s">
        <v>3328</v>
      </c>
      <c r="C2133" t="s">
        <v>650</v>
      </c>
      <c r="D2133" t="s">
        <v>3329</v>
      </c>
      <c r="E2133" t="s">
        <v>3330</v>
      </c>
    </row>
    <row r="2134" spans="1:5">
      <c r="A2134" s="2" t="s">
        <v>3347</v>
      </c>
      <c r="B2134" t="s">
        <v>3348</v>
      </c>
      <c r="C2134" t="s">
        <v>254</v>
      </c>
      <c r="D2134" t="s">
        <v>3329</v>
      </c>
      <c r="E2134" t="s">
        <v>3349</v>
      </c>
    </row>
    <row r="2135" spans="1:5">
      <c r="A2135" s="2" t="s">
        <v>3350</v>
      </c>
      <c r="B2135" t="s">
        <v>3348</v>
      </c>
      <c r="C2135" t="s">
        <v>587</v>
      </c>
      <c r="D2135" t="s">
        <v>3329</v>
      </c>
      <c r="E2135" t="s">
        <v>3349</v>
      </c>
    </row>
    <row r="2136" spans="1:5">
      <c r="A2136" s="2" t="s">
        <v>3351</v>
      </c>
      <c r="B2136" t="s">
        <v>3348</v>
      </c>
      <c r="C2136" t="s">
        <v>579</v>
      </c>
      <c r="D2136" t="s">
        <v>3329</v>
      </c>
      <c r="E2136" t="s">
        <v>3349</v>
      </c>
    </row>
    <row r="2137" spans="1:5">
      <c r="A2137" s="2" t="s">
        <v>3352</v>
      </c>
      <c r="B2137" t="s">
        <v>3348</v>
      </c>
      <c r="C2137">
        <v>11</v>
      </c>
      <c r="D2137" t="s">
        <v>3329</v>
      </c>
      <c r="E2137" t="s">
        <v>3349</v>
      </c>
    </row>
    <row r="2138" spans="1:5">
      <c r="A2138" s="2" t="s">
        <v>3353</v>
      </c>
      <c r="B2138" t="s">
        <v>3348</v>
      </c>
      <c r="C2138" t="s">
        <v>564</v>
      </c>
      <c r="D2138" t="s">
        <v>3329</v>
      </c>
      <c r="E2138" t="s">
        <v>3349</v>
      </c>
    </row>
    <row r="2139" spans="1:5">
      <c r="A2139" s="2" t="s">
        <v>3354</v>
      </c>
      <c r="B2139" t="s">
        <v>3348</v>
      </c>
      <c r="C2139" t="s">
        <v>298</v>
      </c>
      <c r="D2139" t="s">
        <v>3329</v>
      </c>
      <c r="E2139" t="s">
        <v>3355</v>
      </c>
    </row>
    <row r="2140" spans="1:5">
      <c r="A2140" s="2" t="s">
        <v>3356</v>
      </c>
      <c r="B2140" s="3" t="s">
        <v>3348</v>
      </c>
      <c r="C2140" s="3" t="s">
        <v>330</v>
      </c>
      <c r="D2140" s="3" t="s">
        <v>3329</v>
      </c>
      <c r="E2140" s="3" t="s">
        <v>3349</v>
      </c>
    </row>
    <row r="2141" spans="1:5">
      <c r="A2141" s="2" t="s">
        <v>3357</v>
      </c>
      <c r="B2141" s="3" t="s">
        <v>3348</v>
      </c>
      <c r="C2141" s="3" t="s">
        <v>527</v>
      </c>
      <c r="D2141" s="3" t="s">
        <v>3329</v>
      </c>
      <c r="E2141" s="3" t="s">
        <v>3355</v>
      </c>
    </row>
    <row r="2142" spans="1:5">
      <c r="A2142" s="2" t="s">
        <v>3358</v>
      </c>
      <c r="B2142" s="3" t="s">
        <v>3348</v>
      </c>
      <c r="C2142" s="3" t="s">
        <v>552</v>
      </c>
      <c r="D2142" s="3" t="s">
        <v>3329</v>
      </c>
      <c r="E2142" s="3" t="s">
        <v>3349</v>
      </c>
    </row>
    <row r="2143" spans="1:5">
      <c r="A2143" s="2" t="s">
        <v>3359</v>
      </c>
      <c r="B2143" s="3" t="s">
        <v>3348</v>
      </c>
      <c r="C2143" s="3" t="s">
        <v>548</v>
      </c>
      <c r="D2143" s="3" t="s">
        <v>3329</v>
      </c>
      <c r="E2143" s="3" t="s">
        <v>3349</v>
      </c>
    </row>
    <row r="2144" spans="1:5">
      <c r="A2144" s="2" t="s">
        <v>3360</v>
      </c>
      <c r="B2144" s="3" t="s">
        <v>3348</v>
      </c>
      <c r="C2144" s="3" t="s">
        <v>550</v>
      </c>
      <c r="D2144" s="3" t="s">
        <v>3329</v>
      </c>
      <c r="E2144" s="3" t="s">
        <v>3355</v>
      </c>
    </row>
    <row r="2145" spans="1:5">
      <c r="A2145" s="2" t="s">
        <v>3361</v>
      </c>
      <c r="B2145" s="4" t="s">
        <v>3348</v>
      </c>
      <c r="C2145" s="4" t="s">
        <v>554</v>
      </c>
      <c r="D2145" s="4" t="s">
        <v>3329</v>
      </c>
      <c r="E2145" s="4" t="s">
        <v>3355</v>
      </c>
    </row>
    <row r="2146" spans="1:5">
      <c r="A2146" s="2" t="s">
        <v>3362</v>
      </c>
      <c r="B2146" s="4" t="s">
        <v>3348</v>
      </c>
      <c r="C2146" s="4" t="s">
        <v>558</v>
      </c>
      <c r="D2146" s="4" t="s">
        <v>3329</v>
      </c>
      <c r="E2146" s="4" t="s">
        <v>3349</v>
      </c>
    </row>
    <row r="2147" spans="1:5">
      <c r="A2147" s="2" t="s">
        <v>3363</v>
      </c>
      <c r="B2147" s="4" t="s">
        <v>3348</v>
      </c>
      <c r="C2147" s="4" t="s">
        <v>560</v>
      </c>
      <c r="D2147" s="4" t="s">
        <v>3329</v>
      </c>
      <c r="E2147" s="4" t="s">
        <v>3349</v>
      </c>
    </row>
    <row r="2148" spans="1:5">
      <c r="A2148" s="2" t="s">
        <v>3364</v>
      </c>
      <c r="B2148" s="5" t="s">
        <v>3348</v>
      </c>
      <c r="C2148" s="5" t="s">
        <v>562</v>
      </c>
      <c r="D2148" s="5" t="s">
        <v>3329</v>
      </c>
      <c r="E2148" s="5" t="s">
        <v>3349</v>
      </c>
    </row>
    <row r="2149" spans="1:5">
      <c r="A2149" s="2" t="s">
        <v>3365</v>
      </c>
      <c r="B2149" s="6" t="s">
        <v>3348</v>
      </c>
      <c r="C2149" s="6" t="s">
        <v>573</v>
      </c>
      <c r="D2149" t="s">
        <v>3329</v>
      </c>
      <c r="E2149" t="s">
        <v>3355</v>
      </c>
    </row>
    <row r="2150" spans="1:5">
      <c r="A2150" s="2" t="s">
        <v>3366</v>
      </c>
      <c r="B2150" t="s">
        <v>3348</v>
      </c>
      <c r="C2150" t="s">
        <v>575</v>
      </c>
      <c r="D2150" t="s">
        <v>3329</v>
      </c>
      <c r="E2150" t="s">
        <v>3355</v>
      </c>
    </row>
    <row r="2151" spans="1:5">
      <c r="A2151" s="2" t="s">
        <v>3367</v>
      </c>
      <c r="B2151" t="s">
        <v>3348</v>
      </c>
      <c r="C2151" t="s">
        <v>577</v>
      </c>
      <c r="D2151" t="s">
        <v>3329</v>
      </c>
      <c r="E2151" t="s">
        <v>3355</v>
      </c>
    </row>
    <row r="2152" spans="1:5">
      <c r="A2152" s="2" t="s">
        <v>3368</v>
      </c>
      <c r="B2152" t="s">
        <v>3348</v>
      </c>
      <c r="C2152" t="s">
        <v>566</v>
      </c>
      <c r="D2152" t="s">
        <v>3329</v>
      </c>
      <c r="E2152" t="s">
        <v>3349</v>
      </c>
    </row>
    <row r="2153" spans="1:5">
      <c r="A2153" s="2" t="s">
        <v>3369</v>
      </c>
      <c r="B2153" t="s">
        <v>3348</v>
      </c>
      <c r="C2153" t="s">
        <v>568</v>
      </c>
      <c r="D2153" t="s">
        <v>3329</v>
      </c>
      <c r="E2153" t="s">
        <v>3349</v>
      </c>
    </row>
    <row r="2154" spans="1:5">
      <c r="A2154" s="2" t="s">
        <v>3370</v>
      </c>
      <c r="B2154" t="s">
        <v>3348</v>
      </c>
      <c r="C2154" t="s">
        <v>570</v>
      </c>
      <c r="D2154" t="s">
        <v>3329</v>
      </c>
      <c r="E2154" t="s">
        <v>3349</v>
      </c>
    </row>
    <row r="2155" spans="1:5">
      <c r="A2155" s="2" t="s">
        <v>3371</v>
      </c>
      <c r="B2155" t="s">
        <v>3348</v>
      </c>
      <c r="C2155" t="s">
        <v>581</v>
      </c>
      <c r="D2155" t="s">
        <v>3329</v>
      </c>
      <c r="E2155" t="s">
        <v>3355</v>
      </c>
    </row>
    <row r="2156" spans="1:5">
      <c r="A2156" s="2" t="s">
        <v>3372</v>
      </c>
      <c r="B2156" s="3" t="s">
        <v>3348</v>
      </c>
      <c r="C2156" s="3" t="s">
        <v>583</v>
      </c>
      <c r="D2156" s="3" t="s">
        <v>3329</v>
      </c>
      <c r="E2156" s="3" t="s">
        <v>3355</v>
      </c>
    </row>
    <row r="2157" spans="1:5">
      <c r="A2157" s="2" t="s">
        <v>3373</v>
      </c>
      <c r="B2157" s="3" t="s">
        <v>3348</v>
      </c>
      <c r="C2157" s="3" t="s">
        <v>585</v>
      </c>
      <c r="D2157" s="3" t="s">
        <v>3329</v>
      </c>
      <c r="E2157" s="3" t="s">
        <v>3355</v>
      </c>
    </row>
    <row r="2158" spans="1:5">
      <c r="A2158" s="2" t="s">
        <v>3374</v>
      </c>
      <c r="B2158" s="3" t="s">
        <v>3348</v>
      </c>
      <c r="C2158" s="3" t="s">
        <v>594</v>
      </c>
      <c r="D2158" s="3" t="s">
        <v>3329</v>
      </c>
      <c r="E2158" s="3" t="s">
        <v>3349</v>
      </c>
    </row>
    <row r="2159" spans="1:5">
      <c r="A2159" s="2" t="s">
        <v>3375</v>
      </c>
      <c r="B2159" s="3" t="s">
        <v>3348</v>
      </c>
      <c r="C2159" s="3" t="s">
        <v>596</v>
      </c>
      <c r="D2159" s="3" t="s">
        <v>3329</v>
      </c>
      <c r="E2159" s="3" t="s">
        <v>3349</v>
      </c>
    </row>
    <row r="2160" spans="1:5">
      <c r="A2160" s="2" t="s">
        <v>3376</v>
      </c>
      <c r="B2160" s="3" t="s">
        <v>3348</v>
      </c>
      <c r="C2160" s="3" t="s">
        <v>604</v>
      </c>
      <c r="D2160" s="3" t="s">
        <v>3329</v>
      </c>
      <c r="E2160" s="3" t="s">
        <v>3355</v>
      </c>
    </row>
    <row r="2161" spans="1:5">
      <c r="A2161" s="2" t="s">
        <v>3377</v>
      </c>
      <c r="B2161" s="3" t="s">
        <v>3348</v>
      </c>
      <c r="C2161" s="3" t="s">
        <v>606</v>
      </c>
      <c r="D2161" s="3" t="s">
        <v>3329</v>
      </c>
      <c r="E2161" s="3" t="s">
        <v>3355</v>
      </c>
    </row>
    <row r="2162" spans="1:5">
      <c r="A2162" s="2" t="s">
        <v>3378</v>
      </c>
      <c r="B2162" s="3" t="s">
        <v>3348</v>
      </c>
      <c r="C2162" s="3" t="s">
        <v>614</v>
      </c>
      <c r="D2162" s="3" t="s">
        <v>3329</v>
      </c>
      <c r="E2162" s="3" t="s">
        <v>3349</v>
      </c>
    </row>
    <row r="2163" spans="1:5">
      <c r="A2163" s="2" t="s">
        <v>3379</v>
      </c>
      <c r="B2163" s="3" t="s">
        <v>3348</v>
      </c>
      <c r="C2163" s="3" t="s">
        <v>616</v>
      </c>
      <c r="D2163" s="3" t="s">
        <v>3329</v>
      </c>
      <c r="E2163" s="3" t="s">
        <v>3349</v>
      </c>
    </row>
    <row r="2164" spans="1:5">
      <c r="A2164" s="2" t="s">
        <v>3380</v>
      </c>
      <c r="B2164" s="4" t="s">
        <v>3348</v>
      </c>
      <c r="C2164" s="4" t="s">
        <v>622</v>
      </c>
      <c r="D2164" s="4" t="s">
        <v>3329</v>
      </c>
      <c r="E2164" s="4" t="s">
        <v>3355</v>
      </c>
    </row>
    <row r="2165" spans="1:5">
      <c r="A2165" s="2" t="s">
        <v>3381</v>
      </c>
      <c r="B2165" s="4" t="s">
        <v>3348</v>
      </c>
      <c r="C2165" s="4" t="s">
        <v>626</v>
      </c>
      <c r="D2165" s="4" t="s">
        <v>3329</v>
      </c>
      <c r="E2165" s="4" t="s">
        <v>3355</v>
      </c>
    </row>
    <row r="2166" spans="1:5">
      <c r="A2166" s="2" t="s">
        <v>3382</v>
      </c>
      <c r="B2166" s="4" t="s">
        <v>3348</v>
      </c>
      <c r="C2166" s="4" t="s">
        <v>648</v>
      </c>
      <c r="D2166" s="4" t="s">
        <v>3329</v>
      </c>
      <c r="E2166" s="4" t="s">
        <v>3349</v>
      </c>
    </row>
    <row r="2167" spans="1:5">
      <c r="A2167" s="2" t="s">
        <v>3383</v>
      </c>
      <c r="B2167" s="4" t="s">
        <v>3348</v>
      </c>
      <c r="C2167" s="4" t="s">
        <v>650</v>
      </c>
      <c r="D2167" s="4" t="s">
        <v>3329</v>
      </c>
      <c r="E2167" s="4" t="s">
        <v>3355</v>
      </c>
    </row>
    <row r="2168" spans="1:5">
      <c r="A2168" s="2" t="s">
        <v>3384</v>
      </c>
      <c r="B2168" s="5" t="s">
        <v>3348</v>
      </c>
      <c r="C2168" s="5" t="s">
        <v>3385</v>
      </c>
      <c r="D2168" s="5" t="s">
        <v>3329</v>
      </c>
      <c r="E2168" s="5" t="s">
        <v>3349</v>
      </c>
    </row>
    <row r="2169" spans="1:5">
      <c r="A2169" s="2" t="s">
        <v>3386</v>
      </c>
      <c r="B2169" s="5" t="s">
        <v>3348</v>
      </c>
      <c r="C2169" s="5" t="s">
        <v>3387</v>
      </c>
      <c r="D2169" s="5" t="s">
        <v>3329</v>
      </c>
      <c r="E2169" s="5" t="s">
        <v>3355</v>
      </c>
    </row>
    <row r="2170" spans="1:5">
      <c r="A2170" s="2" t="s">
        <v>3388</v>
      </c>
      <c r="B2170" t="s">
        <v>3348</v>
      </c>
      <c r="C2170" t="s">
        <v>538</v>
      </c>
      <c r="D2170" t="s">
        <v>3329</v>
      </c>
      <c r="E2170" t="s">
        <v>3349</v>
      </c>
    </row>
    <row r="2171" spans="1:5">
      <c r="A2171" s="2" t="s">
        <v>3389</v>
      </c>
      <c r="B2171" t="s">
        <v>3348</v>
      </c>
      <c r="C2171" t="s">
        <v>541</v>
      </c>
      <c r="D2171" t="s">
        <v>3329</v>
      </c>
      <c r="E2171" t="s">
        <v>3349</v>
      </c>
    </row>
    <row r="2172" spans="1:5">
      <c r="A2172" s="2" t="s">
        <v>3390</v>
      </c>
      <c r="B2172" t="s">
        <v>3348</v>
      </c>
      <c r="C2172" t="s">
        <v>3391</v>
      </c>
      <c r="D2172" t="s">
        <v>3329</v>
      </c>
      <c r="E2172" t="s">
        <v>3349</v>
      </c>
    </row>
    <row r="2173" spans="1:5">
      <c r="A2173" s="2" t="s">
        <v>3392</v>
      </c>
      <c r="B2173" t="s">
        <v>3348</v>
      </c>
      <c r="C2173" t="s">
        <v>681</v>
      </c>
      <c r="D2173" t="s">
        <v>3329</v>
      </c>
      <c r="E2173" t="s">
        <v>3349</v>
      </c>
    </row>
    <row r="2174" spans="1:5">
      <c r="A2174" s="2" t="s">
        <v>3393</v>
      </c>
      <c r="B2174" t="s">
        <v>281</v>
      </c>
      <c r="C2174" t="s">
        <v>254</v>
      </c>
      <c r="D2174" t="s">
        <v>393</v>
      </c>
      <c r="E2174" t="s">
        <v>1182</v>
      </c>
    </row>
    <row r="2175" spans="1:5">
      <c r="A2175" s="2" t="str">
        <f>B2175&amp;C2175</f>
        <v>W101RE-LMMFJ10</v>
      </c>
      <c r="B2175" t="s">
        <v>281</v>
      </c>
      <c r="C2175" s="632" t="s">
        <v>530</v>
      </c>
      <c r="D2175" t="s">
        <v>393</v>
      </c>
      <c r="E2175" t="s">
        <v>1182</v>
      </c>
    </row>
    <row r="2176" spans="1:5">
      <c r="A2176" s="2" t="s">
        <v>3394</v>
      </c>
      <c r="B2176" t="s">
        <v>281</v>
      </c>
      <c r="C2176" t="s">
        <v>548</v>
      </c>
      <c r="D2176" t="s">
        <v>393</v>
      </c>
      <c r="E2176" t="s">
        <v>1182</v>
      </c>
    </row>
    <row r="2177" spans="1:5">
      <c r="A2177" s="2" t="s">
        <v>3395</v>
      </c>
      <c r="B2177" t="s">
        <v>281</v>
      </c>
      <c r="C2177" t="s">
        <v>538</v>
      </c>
      <c r="D2177" t="s">
        <v>393</v>
      </c>
      <c r="E2177" t="s">
        <v>1182</v>
      </c>
    </row>
    <row r="2178" spans="1:5">
      <c r="A2178" s="2" t="s">
        <v>3396</v>
      </c>
      <c r="B2178" t="s">
        <v>281</v>
      </c>
      <c r="C2178" t="s">
        <v>558</v>
      </c>
      <c r="D2178" t="s">
        <v>393</v>
      </c>
      <c r="E2178" t="s">
        <v>1182</v>
      </c>
    </row>
    <row r="2179" spans="1:5">
      <c r="A2179" s="2" t="s">
        <v>3397</v>
      </c>
      <c r="B2179" t="s">
        <v>281</v>
      </c>
      <c r="C2179" t="s">
        <v>550</v>
      </c>
      <c r="D2179" t="s">
        <v>393</v>
      </c>
      <c r="E2179" t="s">
        <v>1182</v>
      </c>
    </row>
    <row r="2180" spans="1:5">
      <c r="A2180" s="2" t="s">
        <v>3398</v>
      </c>
      <c r="B2180" t="s">
        <v>281</v>
      </c>
      <c r="C2180" t="s">
        <v>541</v>
      </c>
      <c r="D2180" t="s">
        <v>393</v>
      </c>
      <c r="E2180" t="s">
        <v>1182</v>
      </c>
    </row>
    <row r="2181" spans="1:5">
      <c r="A2181" s="2" t="s">
        <v>3399</v>
      </c>
      <c r="B2181" t="s">
        <v>281</v>
      </c>
      <c r="C2181" t="s">
        <v>562</v>
      </c>
      <c r="D2181" t="s">
        <v>393</v>
      </c>
      <c r="E2181" t="s">
        <v>1182</v>
      </c>
    </row>
    <row r="2182" spans="1:5">
      <c r="A2182" s="2" t="s">
        <v>3400</v>
      </c>
      <c r="B2182" t="s">
        <v>281</v>
      </c>
      <c r="C2182" t="s">
        <v>564</v>
      </c>
      <c r="D2182" t="s">
        <v>393</v>
      </c>
      <c r="E2182" t="s">
        <v>1182</v>
      </c>
    </row>
    <row r="2183" spans="1:5">
      <c r="A2183" s="2" t="s">
        <v>3401</v>
      </c>
      <c r="B2183" t="s">
        <v>281</v>
      </c>
      <c r="C2183" t="s">
        <v>573</v>
      </c>
      <c r="D2183" t="s">
        <v>393</v>
      </c>
      <c r="E2183" t="s">
        <v>1182</v>
      </c>
    </row>
    <row r="2184" spans="1:5">
      <c r="A2184" s="2" t="s">
        <v>3402</v>
      </c>
      <c r="B2184" t="s">
        <v>281</v>
      </c>
      <c r="C2184" t="s">
        <v>552</v>
      </c>
      <c r="D2184" t="s">
        <v>393</v>
      </c>
      <c r="E2184" t="s">
        <v>1182</v>
      </c>
    </row>
    <row r="2185" spans="1:5">
      <c r="A2185" s="2" t="s">
        <v>3403</v>
      </c>
      <c r="B2185" t="s">
        <v>281</v>
      </c>
      <c r="C2185" t="s">
        <v>546</v>
      </c>
      <c r="D2185" t="s">
        <v>393</v>
      </c>
      <c r="E2185" t="s">
        <v>1182</v>
      </c>
    </row>
    <row r="2186" spans="1:5">
      <c r="A2186" s="2" t="s">
        <v>3404</v>
      </c>
      <c r="B2186" t="s">
        <v>281</v>
      </c>
      <c r="C2186" t="s">
        <v>648</v>
      </c>
      <c r="D2186" t="s">
        <v>393</v>
      </c>
      <c r="E2186" t="s">
        <v>1182</v>
      </c>
    </row>
    <row r="2187" spans="1:5">
      <c r="A2187" s="2" t="s">
        <v>3405</v>
      </c>
      <c r="B2187" t="s">
        <v>281</v>
      </c>
      <c r="C2187" t="s">
        <v>681</v>
      </c>
      <c r="D2187" t="s">
        <v>393</v>
      </c>
      <c r="E2187" t="s">
        <v>1182</v>
      </c>
    </row>
    <row r="2188" spans="1:5">
      <c r="A2188" s="2" t="s">
        <v>3406</v>
      </c>
      <c r="B2188" t="s">
        <v>3407</v>
      </c>
      <c r="C2188" t="s">
        <v>254</v>
      </c>
      <c r="D2188" t="s">
        <v>3329</v>
      </c>
      <c r="E2188" t="s">
        <v>1187</v>
      </c>
    </row>
    <row r="2189" spans="1:5">
      <c r="A2189" s="2" t="s">
        <v>3408</v>
      </c>
      <c r="B2189" t="s">
        <v>3407</v>
      </c>
      <c r="C2189" t="s">
        <v>579</v>
      </c>
      <c r="D2189" t="s">
        <v>3329</v>
      </c>
      <c r="E2189" t="s">
        <v>1187</v>
      </c>
    </row>
    <row r="2190" spans="1:5">
      <c r="A2190" s="2" t="s">
        <v>3409</v>
      </c>
      <c r="B2190" t="s">
        <v>3407</v>
      </c>
      <c r="C2190" s="632" t="s">
        <v>330</v>
      </c>
      <c r="D2190" t="s">
        <v>3329</v>
      </c>
      <c r="E2190" t="s">
        <v>1187</v>
      </c>
    </row>
    <row r="2191" spans="1:5">
      <c r="A2191" s="2" t="s">
        <v>3410</v>
      </c>
      <c r="B2191" t="s">
        <v>3407</v>
      </c>
      <c r="C2191" t="s">
        <v>298</v>
      </c>
      <c r="D2191" t="s">
        <v>3329</v>
      </c>
      <c r="E2191" t="s">
        <v>1187</v>
      </c>
    </row>
    <row r="2192" spans="1:5">
      <c r="A2192" s="2" t="s">
        <v>3411</v>
      </c>
      <c r="B2192" t="s">
        <v>3407</v>
      </c>
      <c r="C2192" t="s">
        <v>548</v>
      </c>
      <c r="D2192" t="s">
        <v>3329</v>
      </c>
      <c r="E2192" t="s">
        <v>1187</v>
      </c>
    </row>
    <row r="2193" spans="1:5">
      <c r="A2193" s="2" t="s">
        <v>3412</v>
      </c>
      <c r="B2193" t="s">
        <v>3407</v>
      </c>
      <c r="C2193" t="s">
        <v>538</v>
      </c>
      <c r="D2193" t="s">
        <v>3329</v>
      </c>
      <c r="E2193" t="s">
        <v>1187</v>
      </c>
    </row>
    <row r="2194" spans="1:5">
      <c r="A2194" s="2" t="s">
        <v>3413</v>
      </c>
      <c r="B2194" t="s">
        <v>3407</v>
      </c>
      <c r="C2194" t="s">
        <v>550</v>
      </c>
      <c r="D2194" t="s">
        <v>3329</v>
      </c>
      <c r="E2194" t="s">
        <v>1187</v>
      </c>
    </row>
    <row r="2195" spans="1:5">
      <c r="A2195" s="2" t="s">
        <v>3414</v>
      </c>
      <c r="B2195" t="s">
        <v>3407</v>
      </c>
      <c r="C2195" t="s">
        <v>541</v>
      </c>
      <c r="D2195" t="s">
        <v>3329</v>
      </c>
      <c r="E2195" t="s">
        <v>1187</v>
      </c>
    </row>
    <row r="2196" spans="1:5">
      <c r="A2196" s="2" t="s">
        <v>3415</v>
      </c>
      <c r="B2196" t="s">
        <v>3407</v>
      </c>
      <c r="C2196" t="s">
        <v>558</v>
      </c>
      <c r="D2196" t="s">
        <v>3329</v>
      </c>
      <c r="E2196" t="s">
        <v>1187</v>
      </c>
    </row>
    <row r="2197" spans="1:5">
      <c r="A2197" s="2" t="s">
        <v>3416</v>
      </c>
      <c r="B2197" t="s">
        <v>3407</v>
      </c>
      <c r="C2197" t="s">
        <v>552</v>
      </c>
      <c r="D2197" t="s">
        <v>3329</v>
      </c>
      <c r="E2197" t="s">
        <v>1187</v>
      </c>
    </row>
    <row r="2198" spans="1:5">
      <c r="A2198" s="2" t="s">
        <v>3417</v>
      </c>
      <c r="B2198" t="s">
        <v>3407</v>
      </c>
      <c r="C2198" t="s">
        <v>546</v>
      </c>
      <c r="D2198" t="s">
        <v>3329</v>
      </c>
      <c r="E2198" t="s">
        <v>1187</v>
      </c>
    </row>
    <row r="2199" spans="1:5">
      <c r="A2199" s="2" t="s">
        <v>3418</v>
      </c>
      <c r="B2199" t="s">
        <v>3407</v>
      </c>
      <c r="C2199" t="s">
        <v>562</v>
      </c>
      <c r="D2199" t="s">
        <v>3329</v>
      </c>
      <c r="E2199" t="s">
        <v>1187</v>
      </c>
    </row>
    <row r="2200" spans="1:5">
      <c r="A2200" s="2" t="s">
        <v>3419</v>
      </c>
      <c r="B2200" t="s">
        <v>3407</v>
      </c>
      <c r="C2200" t="s">
        <v>573</v>
      </c>
      <c r="D2200" t="s">
        <v>3329</v>
      </c>
      <c r="E2200" t="s">
        <v>1187</v>
      </c>
    </row>
    <row r="2201" spans="1:5">
      <c r="A2201" s="2" t="s">
        <v>3420</v>
      </c>
      <c r="B2201" t="s">
        <v>3407</v>
      </c>
      <c r="C2201" t="s">
        <v>554</v>
      </c>
      <c r="D2201" t="s">
        <v>3329</v>
      </c>
      <c r="E2201" t="s">
        <v>1187</v>
      </c>
    </row>
    <row r="2202" spans="1:5">
      <c r="A2202" s="2" t="s">
        <v>3421</v>
      </c>
      <c r="B2202" t="s">
        <v>3407</v>
      </c>
      <c r="C2202" t="s">
        <v>544</v>
      </c>
      <c r="D2202" t="s">
        <v>3329</v>
      </c>
      <c r="E2202" t="s">
        <v>1187</v>
      </c>
    </row>
    <row r="2203" spans="1:5">
      <c r="A2203" s="2" t="s">
        <v>3422</v>
      </c>
      <c r="B2203" t="s">
        <v>3407</v>
      </c>
      <c r="C2203" t="s">
        <v>577</v>
      </c>
      <c r="D2203" t="s">
        <v>3329</v>
      </c>
      <c r="E2203" t="s">
        <v>1187</v>
      </c>
    </row>
    <row r="2204" spans="1:5">
      <c r="A2204" s="2" t="s">
        <v>3423</v>
      </c>
      <c r="B2204" t="s">
        <v>3407</v>
      </c>
      <c r="C2204" t="s">
        <v>566</v>
      </c>
      <c r="D2204" t="s">
        <v>3329</v>
      </c>
      <c r="E2204" t="s">
        <v>1187</v>
      </c>
    </row>
    <row r="2205" spans="1:5">
      <c r="A2205" s="2" t="s">
        <v>3424</v>
      </c>
      <c r="B2205" t="s">
        <v>3407</v>
      </c>
      <c r="C2205" t="s">
        <v>560</v>
      </c>
      <c r="D2205" t="s">
        <v>3329</v>
      </c>
      <c r="E2205" t="s">
        <v>1187</v>
      </c>
    </row>
    <row r="2206" spans="1:5">
      <c r="A2206" s="2" t="s">
        <v>3425</v>
      </c>
      <c r="B2206" t="s">
        <v>3407</v>
      </c>
      <c r="C2206" t="s">
        <v>581</v>
      </c>
      <c r="D2206" t="s">
        <v>3329</v>
      </c>
      <c r="E2206" t="s">
        <v>1187</v>
      </c>
    </row>
    <row r="2207" spans="1:5">
      <c r="A2207" s="2" t="s">
        <v>3426</v>
      </c>
      <c r="B2207" t="s">
        <v>3407</v>
      </c>
      <c r="C2207" t="s">
        <v>575</v>
      </c>
      <c r="D2207" t="s">
        <v>3329</v>
      </c>
      <c r="E2207" t="s">
        <v>1187</v>
      </c>
    </row>
    <row r="2208" spans="1:5">
      <c r="A2208" s="2" t="s">
        <v>3427</v>
      </c>
      <c r="B2208" t="s">
        <v>3407</v>
      </c>
      <c r="C2208" t="s">
        <v>648</v>
      </c>
      <c r="D2208" t="s">
        <v>3329</v>
      </c>
      <c r="E2208" t="s">
        <v>1187</v>
      </c>
    </row>
    <row r="2209" spans="1:5">
      <c r="A2209" s="2" t="s">
        <v>3428</v>
      </c>
      <c r="B2209" t="s">
        <v>3407</v>
      </c>
      <c r="C2209" t="s">
        <v>650</v>
      </c>
      <c r="D2209" t="s">
        <v>3329</v>
      </c>
      <c r="E2209" t="s">
        <v>1187</v>
      </c>
    </row>
    <row r="2210" spans="1:5">
      <c r="A2210" s="2" t="s">
        <v>3429</v>
      </c>
      <c r="B2210" t="s">
        <v>3430</v>
      </c>
      <c r="C2210" t="s">
        <v>254</v>
      </c>
      <c r="D2210" t="s">
        <v>181</v>
      </c>
      <c r="E2210" t="s">
        <v>3431</v>
      </c>
    </row>
    <row r="2211" spans="1:5">
      <c r="A2211" s="2" t="s">
        <v>3432</v>
      </c>
      <c r="B2211" t="s">
        <v>3433</v>
      </c>
      <c r="C2211" t="s">
        <v>254</v>
      </c>
      <c r="D2211" t="s">
        <v>181</v>
      </c>
      <c r="E2211" t="s">
        <v>3434</v>
      </c>
    </row>
    <row r="2212" spans="1:5">
      <c r="A2212" s="2" t="s">
        <v>3435</v>
      </c>
      <c r="B2212" t="s">
        <v>3433</v>
      </c>
      <c r="C2212" t="s">
        <v>298</v>
      </c>
      <c r="D2212" t="s">
        <v>181</v>
      </c>
      <c r="E2212" t="s">
        <v>3434</v>
      </c>
    </row>
    <row r="2213" spans="1:5">
      <c r="A2213" s="2" t="s">
        <v>3436</v>
      </c>
      <c r="B2213" t="s">
        <v>3433</v>
      </c>
      <c r="C2213" t="s">
        <v>3437</v>
      </c>
      <c r="D2213" t="s">
        <v>181</v>
      </c>
      <c r="E2213" t="s">
        <v>3438</v>
      </c>
    </row>
    <row r="2214" spans="1:5">
      <c r="A2214" s="2" t="s">
        <v>3439</v>
      </c>
      <c r="B2214" t="s">
        <v>3433</v>
      </c>
      <c r="C2214" t="s">
        <v>3440</v>
      </c>
      <c r="D2214" t="s">
        <v>181</v>
      </c>
      <c r="E2214" t="s">
        <v>3441</v>
      </c>
    </row>
    <row r="2215" spans="1:5">
      <c r="A2215" s="2" t="s">
        <v>3442</v>
      </c>
      <c r="B2215" t="s">
        <v>3433</v>
      </c>
      <c r="C2215" t="s">
        <v>3443</v>
      </c>
      <c r="D2215" t="s">
        <v>181</v>
      </c>
      <c r="E2215" t="s">
        <v>3444</v>
      </c>
    </row>
    <row r="2216" spans="1:5">
      <c r="A2216" s="2" t="s">
        <v>3445</v>
      </c>
      <c r="B2216" t="s">
        <v>3433</v>
      </c>
      <c r="C2216" t="s">
        <v>530</v>
      </c>
      <c r="D2216" t="s">
        <v>181</v>
      </c>
      <c r="E2216" t="s">
        <v>3446</v>
      </c>
    </row>
    <row r="2217" spans="1:5">
      <c r="A2217" s="2" t="s">
        <v>3447</v>
      </c>
      <c r="B2217" t="s">
        <v>3433</v>
      </c>
      <c r="C2217" t="s">
        <v>556</v>
      </c>
      <c r="D2217" t="s">
        <v>181</v>
      </c>
      <c r="E2217" t="s">
        <v>3446</v>
      </c>
    </row>
    <row r="2218" spans="1:5">
      <c r="A2218" s="2" t="s">
        <v>3448</v>
      </c>
      <c r="B2218" t="s">
        <v>3449</v>
      </c>
      <c r="C2218" t="s">
        <v>530</v>
      </c>
      <c r="D2218" t="s">
        <v>181</v>
      </c>
      <c r="E2218" t="s">
        <v>3450</v>
      </c>
    </row>
    <row r="2219" spans="1:5">
      <c r="A2219" s="2" t="s">
        <v>3451</v>
      </c>
      <c r="B2219" t="s">
        <v>3449</v>
      </c>
      <c r="C2219" t="s">
        <v>556</v>
      </c>
      <c r="D2219" t="s">
        <v>181</v>
      </c>
      <c r="E2219" t="s">
        <v>3450</v>
      </c>
    </row>
    <row r="2220" spans="1:5">
      <c r="A2220" s="2" t="s">
        <v>3452</v>
      </c>
      <c r="B2220" t="s">
        <v>3453</v>
      </c>
      <c r="C2220" t="s">
        <v>254</v>
      </c>
      <c r="D2220" t="s">
        <v>181</v>
      </c>
      <c r="E2220" t="s">
        <v>3454</v>
      </c>
    </row>
    <row r="2221" spans="1:5">
      <c r="A2221" s="2" t="s">
        <v>3455</v>
      </c>
      <c r="B2221" t="s">
        <v>3456</v>
      </c>
      <c r="C2221" t="s">
        <v>254</v>
      </c>
      <c r="D2221" t="s">
        <v>181</v>
      </c>
      <c r="E2221" t="s">
        <v>3457</v>
      </c>
    </row>
    <row r="2222" spans="1:5">
      <c r="A2222" s="2" t="s">
        <v>3458</v>
      </c>
      <c r="B2222" t="s">
        <v>3456</v>
      </c>
      <c r="C2222" t="s">
        <v>530</v>
      </c>
      <c r="D2222" t="s">
        <v>181</v>
      </c>
      <c r="E2222" t="s">
        <v>3457</v>
      </c>
    </row>
    <row r="2223" spans="1:5">
      <c r="A2223" s="2" t="s">
        <v>3459</v>
      </c>
      <c r="B2223" t="s">
        <v>3460</v>
      </c>
      <c r="C2223" t="s">
        <v>530</v>
      </c>
      <c r="D2223" t="s">
        <v>181</v>
      </c>
      <c r="E2223" t="s">
        <v>3461</v>
      </c>
    </row>
    <row r="2224" spans="1:5">
      <c r="A2224" s="2" t="s">
        <v>3462</v>
      </c>
      <c r="B2224" t="s">
        <v>3460</v>
      </c>
      <c r="C2224" t="s">
        <v>556</v>
      </c>
      <c r="D2224" t="s">
        <v>181</v>
      </c>
      <c r="E2224" t="s">
        <v>3461</v>
      </c>
    </row>
    <row r="2225" spans="1:5">
      <c r="A2225" s="2" t="s">
        <v>3463</v>
      </c>
      <c r="B2225" t="s">
        <v>3464</v>
      </c>
      <c r="C2225" t="s">
        <v>254</v>
      </c>
      <c r="D2225" t="s">
        <v>181</v>
      </c>
      <c r="E2225" t="s">
        <v>3465</v>
      </c>
    </row>
    <row r="2226" spans="1:5">
      <c r="A2226" s="2" t="s">
        <v>3466</v>
      </c>
      <c r="B2226" t="s">
        <v>3467</v>
      </c>
      <c r="C2226" t="s">
        <v>254</v>
      </c>
      <c r="D2226" t="s">
        <v>181</v>
      </c>
      <c r="E2226" t="s">
        <v>3468</v>
      </c>
    </row>
    <row r="2227" spans="1:5">
      <c r="A2227" s="2" t="s">
        <v>3469</v>
      </c>
      <c r="B2227" t="s">
        <v>3467</v>
      </c>
      <c r="C2227" t="s">
        <v>298</v>
      </c>
      <c r="D2227" t="s">
        <v>181</v>
      </c>
      <c r="E2227" t="s">
        <v>3468</v>
      </c>
    </row>
    <row r="2228" spans="1:5">
      <c r="A2228" s="2" t="s">
        <v>3470</v>
      </c>
      <c r="B2228" t="s">
        <v>3467</v>
      </c>
      <c r="C2228" t="s">
        <v>3471</v>
      </c>
      <c r="D2228" t="s">
        <v>181</v>
      </c>
      <c r="E2228" t="s">
        <v>3472</v>
      </c>
    </row>
    <row r="2229" spans="1:5">
      <c r="A2229" s="2" t="s">
        <v>3473</v>
      </c>
      <c r="B2229" t="s">
        <v>3467</v>
      </c>
      <c r="C2229" t="s">
        <v>530</v>
      </c>
      <c r="D2229" t="s">
        <v>181</v>
      </c>
      <c r="E2229" t="s">
        <v>3474</v>
      </c>
    </row>
    <row r="2230" spans="1:5">
      <c r="A2230" s="2" t="s">
        <v>3475</v>
      </c>
      <c r="B2230" t="s">
        <v>3467</v>
      </c>
      <c r="C2230" t="s">
        <v>556</v>
      </c>
      <c r="D2230" t="s">
        <v>181</v>
      </c>
      <c r="E2230" t="s">
        <v>3474</v>
      </c>
    </row>
    <row r="2231" spans="1:5">
      <c r="A2231" s="2" t="s">
        <v>3476</v>
      </c>
      <c r="B2231" t="s">
        <v>3477</v>
      </c>
      <c r="C2231" t="s">
        <v>254</v>
      </c>
      <c r="D2231" t="s">
        <v>181</v>
      </c>
      <c r="E2231" t="s">
        <v>3478</v>
      </c>
    </row>
    <row r="2232" spans="1:5">
      <c r="A2232" s="2" t="s">
        <v>3479</v>
      </c>
      <c r="B2232" t="s">
        <v>3480</v>
      </c>
      <c r="C2232" t="s">
        <v>254</v>
      </c>
      <c r="D2232" t="s">
        <v>181</v>
      </c>
      <c r="E2232" t="s">
        <v>3481</v>
      </c>
    </row>
    <row r="2233" spans="1:5">
      <c r="A2233" s="2" t="s">
        <v>3482</v>
      </c>
      <c r="B2233" t="s">
        <v>3480</v>
      </c>
      <c r="C2233" t="s">
        <v>298</v>
      </c>
      <c r="D2233" t="s">
        <v>181</v>
      </c>
      <c r="E2233" t="s">
        <v>3481</v>
      </c>
    </row>
    <row r="2234" spans="1:5">
      <c r="A2234" s="2" t="s">
        <v>3483</v>
      </c>
      <c r="B2234" t="s">
        <v>3480</v>
      </c>
      <c r="C2234" t="s">
        <v>3484</v>
      </c>
      <c r="D2234" t="s">
        <v>181</v>
      </c>
      <c r="E2234" t="s">
        <v>3481</v>
      </c>
    </row>
    <row r="2235" spans="1:5">
      <c r="A2235" s="2" t="s">
        <v>3485</v>
      </c>
      <c r="B2235" t="s">
        <v>3480</v>
      </c>
      <c r="C2235" t="s">
        <v>3486</v>
      </c>
      <c r="D2235" t="s">
        <v>181</v>
      </c>
      <c r="E2235" t="s">
        <v>3481</v>
      </c>
    </row>
    <row r="2236" spans="1:5">
      <c r="A2236" s="2" t="s">
        <v>3487</v>
      </c>
      <c r="B2236" t="s">
        <v>3480</v>
      </c>
      <c r="C2236" t="s">
        <v>530</v>
      </c>
      <c r="D2236" t="s">
        <v>181</v>
      </c>
      <c r="E2236" t="s">
        <v>3488</v>
      </c>
    </row>
    <row r="2237" spans="1:5">
      <c r="A2237" s="2" t="s">
        <v>3489</v>
      </c>
      <c r="B2237" t="s">
        <v>3480</v>
      </c>
      <c r="C2237" t="s">
        <v>556</v>
      </c>
      <c r="D2237" t="s">
        <v>181</v>
      </c>
      <c r="E2237" t="s">
        <v>3488</v>
      </c>
    </row>
    <row r="2238" spans="1:5">
      <c r="A2238" s="2" t="s">
        <v>3490</v>
      </c>
      <c r="B2238" t="s">
        <v>3491</v>
      </c>
      <c r="C2238" t="s">
        <v>254</v>
      </c>
      <c r="D2238" t="s">
        <v>181</v>
      </c>
      <c r="E2238" t="s">
        <v>3492</v>
      </c>
    </row>
    <row r="2239" spans="1:5">
      <c r="A2239" s="2" t="s">
        <v>3493</v>
      </c>
      <c r="B2239" t="s">
        <v>3491</v>
      </c>
      <c r="C2239" t="s">
        <v>298</v>
      </c>
      <c r="D2239" t="s">
        <v>181</v>
      </c>
      <c r="E2239" t="s">
        <v>3492</v>
      </c>
    </row>
    <row r="2240" spans="1:5">
      <c r="A2240" s="2" t="s">
        <v>3494</v>
      </c>
      <c r="B2240" t="s">
        <v>3491</v>
      </c>
      <c r="C2240" t="s">
        <v>3495</v>
      </c>
      <c r="D2240" t="s">
        <v>181</v>
      </c>
      <c r="E2240" t="s">
        <v>3496</v>
      </c>
    </row>
    <row r="2241" spans="1:5">
      <c r="A2241" s="2" t="s">
        <v>3497</v>
      </c>
      <c r="B2241" t="s">
        <v>3491</v>
      </c>
      <c r="C2241" t="s">
        <v>530</v>
      </c>
      <c r="D2241" t="s">
        <v>181</v>
      </c>
      <c r="E2241" t="s">
        <v>3498</v>
      </c>
    </row>
    <row r="2242" spans="1:5">
      <c r="A2242" s="2" t="s">
        <v>3499</v>
      </c>
      <c r="B2242" t="s">
        <v>3491</v>
      </c>
      <c r="C2242" t="s">
        <v>556</v>
      </c>
      <c r="D2242" t="s">
        <v>181</v>
      </c>
      <c r="E2242" t="s">
        <v>3498</v>
      </c>
    </row>
    <row r="2243" spans="1:5">
      <c r="A2243" s="2" t="s">
        <v>3500</v>
      </c>
      <c r="B2243" t="s">
        <v>3501</v>
      </c>
      <c r="C2243" t="s">
        <v>254</v>
      </c>
      <c r="D2243" t="s">
        <v>181</v>
      </c>
      <c r="E2243" t="s">
        <v>3502</v>
      </c>
    </row>
    <row r="2244" spans="1:5">
      <c r="A2244" s="2" t="s">
        <v>3503</v>
      </c>
      <c r="B2244" t="s">
        <v>3501</v>
      </c>
      <c r="C2244" t="s">
        <v>298</v>
      </c>
      <c r="D2244" t="s">
        <v>181</v>
      </c>
      <c r="E2244" t="s">
        <v>3502</v>
      </c>
    </row>
    <row r="2245" spans="1:5">
      <c r="A2245" s="2" t="s">
        <v>3504</v>
      </c>
      <c r="B2245" t="s">
        <v>3501</v>
      </c>
      <c r="C2245" t="s">
        <v>330</v>
      </c>
      <c r="D2245" t="s">
        <v>181</v>
      </c>
      <c r="E2245" t="s">
        <v>3502</v>
      </c>
    </row>
    <row r="2246" spans="1:5">
      <c r="A2246" s="2" t="s">
        <v>3505</v>
      </c>
      <c r="B2246" t="s">
        <v>3501</v>
      </c>
      <c r="C2246" t="s">
        <v>527</v>
      </c>
      <c r="D2246" t="s">
        <v>181</v>
      </c>
      <c r="E2246" t="s">
        <v>3502</v>
      </c>
    </row>
    <row r="2247" spans="1:5">
      <c r="A2247" s="2" t="s">
        <v>3506</v>
      </c>
      <c r="B2247" t="s">
        <v>3501</v>
      </c>
      <c r="C2247" t="s">
        <v>3486</v>
      </c>
      <c r="D2247" t="s">
        <v>181</v>
      </c>
      <c r="E2247" t="s">
        <v>3502</v>
      </c>
    </row>
    <row r="2248" spans="1:5">
      <c r="A2248" s="2" t="s">
        <v>3507</v>
      </c>
      <c r="B2248" t="s">
        <v>3501</v>
      </c>
      <c r="C2248" t="s">
        <v>3508</v>
      </c>
      <c r="D2248" t="s">
        <v>181</v>
      </c>
      <c r="E2248" t="s">
        <v>3502</v>
      </c>
    </row>
    <row r="2249" spans="1:5">
      <c r="A2249" s="2" t="s">
        <v>3509</v>
      </c>
      <c r="B2249" s="9" t="s">
        <v>3501</v>
      </c>
      <c r="C2249" s="9" t="s">
        <v>3510</v>
      </c>
      <c r="D2249" s="9" t="s">
        <v>181</v>
      </c>
      <c r="E2249" s="9" t="s">
        <v>3502</v>
      </c>
    </row>
    <row r="2250" spans="1:5">
      <c r="A2250" s="2" t="s">
        <v>3511</v>
      </c>
      <c r="B2250" s="9" t="s">
        <v>3501</v>
      </c>
      <c r="C2250" s="9" t="s">
        <v>3484</v>
      </c>
      <c r="D2250" s="9" t="s">
        <v>181</v>
      </c>
      <c r="E2250" s="9" t="s">
        <v>3502</v>
      </c>
    </row>
    <row r="2251" spans="1:5">
      <c r="A2251" s="2" t="s">
        <v>3512</v>
      </c>
      <c r="B2251" s="9" t="s">
        <v>3501</v>
      </c>
      <c r="C2251" s="9" t="s">
        <v>1212</v>
      </c>
      <c r="D2251" s="9" t="s">
        <v>181</v>
      </c>
      <c r="E2251" s="9" t="s">
        <v>3502</v>
      </c>
    </row>
    <row r="2252" spans="1:5">
      <c r="A2252" s="2" t="s">
        <v>3513</v>
      </c>
      <c r="B2252" s="9" t="s">
        <v>3501</v>
      </c>
      <c r="C2252" s="9" t="s">
        <v>1026</v>
      </c>
      <c r="D2252" s="9" t="s">
        <v>181</v>
      </c>
      <c r="E2252" s="9" t="s">
        <v>3502</v>
      </c>
    </row>
    <row r="2253" spans="1:5">
      <c r="A2253" s="2" t="s">
        <v>3514</v>
      </c>
      <c r="B2253" s="9" t="s">
        <v>3501</v>
      </c>
      <c r="C2253" s="9" t="s">
        <v>532</v>
      </c>
      <c r="D2253" s="9" t="s">
        <v>181</v>
      </c>
      <c r="E2253" s="9" t="s">
        <v>3502</v>
      </c>
    </row>
    <row r="2254" spans="1:5">
      <c r="A2254" s="2" t="s">
        <v>3515</v>
      </c>
      <c r="B2254" s="9" t="s">
        <v>3501</v>
      </c>
      <c r="C2254" s="9" t="s">
        <v>3516</v>
      </c>
      <c r="D2254" s="9" t="s">
        <v>181</v>
      </c>
      <c r="E2254" s="9" t="s">
        <v>3502</v>
      </c>
    </row>
    <row r="2255" spans="1:5">
      <c r="A2255" s="2" t="s">
        <v>3517</v>
      </c>
      <c r="B2255" s="10" t="s">
        <v>3501</v>
      </c>
      <c r="C2255" s="10" t="s">
        <v>530</v>
      </c>
      <c r="D2255" s="10" t="s">
        <v>181</v>
      </c>
      <c r="E2255" s="10" t="s">
        <v>3502</v>
      </c>
    </row>
    <row r="2256" spans="1:5">
      <c r="A2256" s="2" t="s">
        <v>3518</v>
      </c>
      <c r="B2256" s="10" t="s">
        <v>3501</v>
      </c>
      <c r="C2256" s="10" t="s">
        <v>534</v>
      </c>
      <c r="D2256" s="10" t="s">
        <v>181</v>
      </c>
      <c r="E2256" s="10" t="s">
        <v>3502</v>
      </c>
    </row>
    <row r="2257" spans="1:5">
      <c r="A2257" s="2" t="s">
        <v>3519</v>
      </c>
      <c r="B2257" s="10" t="s">
        <v>3501</v>
      </c>
      <c r="C2257" s="10" t="s">
        <v>1376</v>
      </c>
      <c r="D2257" s="10" t="s">
        <v>181</v>
      </c>
      <c r="E2257" s="10" t="s">
        <v>3502</v>
      </c>
    </row>
    <row r="2258" spans="1:5">
      <c r="A2258" s="2" t="s">
        <v>3520</v>
      </c>
      <c r="B2258" s="12" t="s">
        <v>3501</v>
      </c>
      <c r="C2258" s="12" t="s">
        <v>3521</v>
      </c>
      <c r="D2258" s="12" t="s">
        <v>181</v>
      </c>
      <c r="E2258" s="12" t="s">
        <v>3502</v>
      </c>
    </row>
    <row r="2259" spans="1:5">
      <c r="A2259" s="2" t="s">
        <v>3522</v>
      </c>
      <c r="B2259" t="s">
        <v>3501</v>
      </c>
      <c r="C2259" t="s">
        <v>536</v>
      </c>
      <c r="D2259" t="s">
        <v>181</v>
      </c>
      <c r="E2259" t="s">
        <v>3502</v>
      </c>
    </row>
    <row r="2260" spans="1:5">
      <c r="A2260" s="2" t="s">
        <v>3523</v>
      </c>
      <c r="B2260" t="s">
        <v>3501</v>
      </c>
      <c r="C2260" t="s">
        <v>3524</v>
      </c>
      <c r="D2260" t="s">
        <v>181</v>
      </c>
      <c r="E2260" t="s">
        <v>3502</v>
      </c>
    </row>
    <row r="2261" spans="1:5">
      <c r="A2261" s="2" t="s">
        <v>3525</v>
      </c>
      <c r="B2261" t="s">
        <v>3501</v>
      </c>
      <c r="C2261" t="s">
        <v>556</v>
      </c>
      <c r="D2261" t="s">
        <v>181</v>
      </c>
      <c r="E2261" t="s">
        <v>3526</v>
      </c>
    </row>
    <row r="2262" spans="1:5">
      <c r="A2262" s="2" t="s">
        <v>3527</v>
      </c>
      <c r="B2262" t="s">
        <v>3501</v>
      </c>
      <c r="C2262" t="s">
        <v>590</v>
      </c>
      <c r="D2262" t="s">
        <v>181</v>
      </c>
      <c r="E2262" t="s">
        <v>3528</v>
      </c>
    </row>
    <row r="2263" spans="1:5">
      <c r="A2263" s="2" t="s">
        <v>3529</v>
      </c>
      <c r="B2263" t="s">
        <v>3501</v>
      </c>
      <c r="C2263" t="s">
        <v>326</v>
      </c>
      <c r="D2263" t="s">
        <v>181</v>
      </c>
      <c r="E2263" t="s">
        <v>3530</v>
      </c>
    </row>
    <row r="2264" spans="1:5">
      <c r="A2264" s="2" t="s">
        <v>3531</v>
      </c>
      <c r="B2264" t="s">
        <v>3501</v>
      </c>
      <c r="C2264" t="s">
        <v>592</v>
      </c>
      <c r="D2264" t="s">
        <v>181</v>
      </c>
      <c r="E2264" t="s">
        <v>3532</v>
      </c>
    </row>
    <row r="2265" spans="1:5">
      <c r="A2265" s="2" t="s">
        <v>3533</v>
      </c>
      <c r="B2265" t="s">
        <v>3501</v>
      </c>
      <c r="C2265" t="s">
        <v>3534</v>
      </c>
      <c r="D2265" t="s">
        <v>181</v>
      </c>
      <c r="E2265" t="s">
        <v>3526</v>
      </c>
    </row>
    <row r="2266" spans="1:5">
      <c r="A2266" s="2" t="s">
        <v>3535</v>
      </c>
      <c r="B2266" t="s">
        <v>3501</v>
      </c>
      <c r="C2266" t="s">
        <v>3536</v>
      </c>
      <c r="D2266" t="s">
        <v>181</v>
      </c>
      <c r="E2266" t="s">
        <v>3528</v>
      </c>
    </row>
    <row r="2267" spans="1:5">
      <c r="A2267" s="2" t="s">
        <v>3537</v>
      </c>
      <c r="B2267" t="s">
        <v>3501</v>
      </c>
      <c r="C2267" t="s">
        <v>815</v>
      </c>
      <c r="D2267" t="s">
        <v>181</v>
      </c>
      <c r="E2267" t="s">
        <v>3526</v>
      </c>
    </row>
    <row r="2268" spans="1:5">
      <c r="A2268" s="2" t="s">
        <v>3538</v>
      </c>
      <c r="B2268" t="s">
        <v>3501</v>
      </c>
      <c r="C2268" t="s">
        <v>817</v>
      </c>
      <c r="D2268" t="s">
        <v>181</v>
      </c>
      <c r="E2268" t="s">
        <v>3528</v>
      </c>
    </row>
    <row r="2269" spans="1:5">
      <c r="A2269" s="2" t="s">
        <v>3539</v>
      </c>
      <c r="B2269" t="s">
        <v>3501</v>
      </c>
      <c r="C2269" t="s">
        <v>2131</v>
      </c>
      <c r="D2269" t="s">
        <v>181</v>
      </c>
      <c r="E2269" t="s">
        <v>3530</v>
      </c>
    </row>
    <row r="2270" spans="1:5">
      <c r="A2270" s="2" t="s">
        <v>3540</v>
      </c>
      <c r="B2270" t="s">
        <v>3501</v>
      </c>
      <c r="C2270" t="s">
        <v>2133</v>
      </c>
      <c r="D2270" t="s">
        <v>181</v>
      </c>
      <c r="E2270" t="s">
        <v>3532</v>
      </c>
    </row>
    <row r="2271" spans="1:5">
      <c r="A2271" s="2" t="s">
        <v>3541</v>
      </c>
      <c r="B2271" t="s">
        <v>3501</v>
      </c>
      <c r="C2271" t="s">
        <v>3542</v>
      </c>
      <c r="D2271" t="s">
        <v>181</v>
      </c>
      <c r="E2271" t="s">
        <v>3526</v>
      </c>
    </row>
    <row r="2272" spans="1:5">
      <c r="A2272" s="2" t="s">
        <v>3543</v>
      </c>
      <c r="B2272" t="s">
        <v>3501</v>
      </c>
      <c r="C2272" t="s">
        <v>3544</v>
      </c>
      <c r="D2272" t="s">
        <v>181</v>
      </c>
      <c r="E2272" t="s">
        <v>3528</v>
      </c>
    </row>
    <row r="2273" spans="1:5">
      <c r="A2273" s="2" t="s">
        <v>3545</v>
      </c>
      <c r="B2273" t="s">
        <v>3546</v>
      </c>
      <c r="C2273" t="s">
        <v>534</v>
      </c>
      <c r="D2273" t="s">
        <v>181</v>
      </c>
      <c r="E2273" t="s">
        <v>3547</v>
      </c>
    </row>
    <row r="2274" spans="1:5">
      <c r="A2274" s="2" t="s">
        <v>3548</v>
      </c>
      <c r="B2274" t="s">
        <v>3546</v>
      </c>
      <c r="C2274" t="s">
        <v>590</v>
      </c>
      <c r="D2274" t="s">
        <v>181</v>
      </c>
      <c r="E2274" t="s">
        <v>3547</v>
      </c>
    </row>
    <row r="2275" spans="1:5">
      <c r="A2275" s="2" t="s">
        <v>3549</v>
      </c>
      <c r="B2275" t="s">
        <v>3550</v>
      </c>
      <c r="C2275" t="s">
        <v>254</v>
      </c>
      <c r="D2275" t="s">
        <v>181</v>
      </c>
      <c r="E2275" t="s">
        <v>3551</v>
      </c>
    </row>
    <row r="2276" spans="1:5">
      <c r="A2276" s="2" t="s">
        <v>3552</v>
      </c>
      <c r="B2276" t="s">
        <v>3550</v>
      </c>
      <c r="C2276" t="s">
        <v>298</v>
      </c>
      <c r="D2276" t="s">
        <v>181</v>
      </c>
      <c r="E2276" t="s">
        <v>3553</v>
      </c>
    </row>
    <row r="2277" spans="1:5">
      <c r="A2277" s="2" t="s">
        <v>3554</v>
      </c>
      <c r="B2277" t="s">
        <v>3550</v>
      </c>
      <c r="C2277" t="s">
        <v>530</v>
      </c>
      <c r="D2277" t="s">
        <v>181</v>
      </c>
      <c r="E2277" t="s">
        <v>3551</v>
      </c>
    </row>
    <row r="2278" spans="1:5">
      <c r="A2278" s="2" t="s">
        <v>3555</v>
      </c>
      <c r="B2278" t="s">
        <v>3550</v>
      </c>
      <c r="C2278" t="s">
        <v>534</v>
      </c>
      <c r="D2278" t="s">
        <v>181</v>
      </c>
      <c r="E2278" t="s">
        <v>3553</v>
      </c>
    </row>
    <row r="2279" spans="1:5">
      <c r="A2279" s="2" t="s">
        <v>3556</v>
      </c>
      <c r="B2279" t="s">
        <v>3557</v>
      </c>
      <c r="C2279" t="s">
        <v>530</v>
      </c>
      <c r="D2279" t="s">
        <v>181</v>
      </c>
      <c r="E2279" t="s">
        <v>3558</v>
      </c>
    </row>
    <row r="2280" spans="1:5">
      <c r="A2280" s="2" t="s">
        <v>3559</v>
      </c>
      <c r="B2280" t="s">
        <v>3557</v>
      </c>
      <c r="C2280" t="s">
        <v>556</v>
      </c>
      <c r="D2280" t="s">
        <v>181</v>
      </c>
      <c r="E2280" t="s">
        <v>3558</v>
      </c>
    </row>
    <row r="2281" spans="1:5">
      <c r="A2281" s="2" t="s">
        <v>3560</v>
      </c>
      <c r="B2281" t="s">
        <v>3561</v>
      </c>
      <c r="C2281" t="s">
        <v>530</v>
      </c>
      <c r="D2281" t="s">
        <v>181</v>
      </c>
      <c r="E2281" t="s">
        <v>3562</v>
      </c>
    </row>
    <row r="2282" spans="1:5">
      <c r="A2282" s="2" t="s">
        <v>3563</v>
      </c>
      <c r="B2282" t="s">
        <v>3561</v>
      </c>
      <c r="C2282" t="s">
        <v>534</v>
      </c>
      <c r="D2282" t="s">
        <v>181</v>
      </c>
      <c r="E2282" t="s">
        <v>3564</v>
      </c>
    </row>
    <row r="2283" spans="1:5">
      <c r="A2283" s="2" t="s">
        <v>3565</v>
      </c>
      <c r="B2283" t="s">
        <v>3561</v>
      </c>
      <c r="C2283" t="s">
        <v>532</v>
      </c>
      <c r="D2283" t="s">
        <v>181</v>
      </c>
      <c r="E2283" t="s">
        <v>3566</v>
      </c>
    </row>
    <row r="2284" spans="1:5">
      <c r="A2284" s="2" t="s">
        <v>3567</v>
      </c>
      <c r="B2284" t="s">
        <v>3561</v>
      </c>
      <c r="C2284" t="s">
        <v>556</v>
      </c>
      <c r="D2284" t="s">
        <v>181</v>
      </c>
      <c r="E2284" t="s">
        <v>3562</v>
      </c>
    </row>
    <row r="2285" spans="1:5">
      <c r="A2285" s="2" t="s">
        <v>3568</v>
      </c>
      <c r="B2285" t="s">
        <v>3561</v>
      </c>
      <c r="C2285" t="s">
        <v>590</v>
      </c>
      <c r="D2285" t="s">
        <v>181</v>
      </c>
      <c r="E2285" t="s">
        <v>3564</v>
      </c>
    </row>
    <row r="2286" spans="1:5">
      <c r="A2286" s="2" t="s">
        <v>3569</v>
      </c>
      <c r="B2286" t="s">
        <v>3561</v>
      </c>
      <c r="C2286" t="s">
        <v>326</v>
      </c>
      <c r="D2286" t="s">
        <v>181</v>
      </c>
      <c r="E2286" t="s">
        <v>3566</v>
      </c>
    </row>
    <row r="2287" spans="1:5">
      <c r="A2287" s="2" t="s">
        <v>3570</v>
      </c>
      <c r="B2287" t="s">
        <v>3571</v>
      </c>
      <c r="C2287" t="s">
        <v>527</v>
      </c>
      <c r="D2287" t="s">
        <v>3572</v>
      </c>
      <c r="E2287" t="s">
        <v>3573</v>
      </c>
    </row>
    <row r="2288" spans="1:5">
      <c r="A2288" s="2" t="str">
        <f>B2288&amp;C2288</f>
        <v>XEAM11R-DWDHQW00</v>
      </c>
      <c r="B2288" t="s">
        <v>3574</v>
      </c>
      <c r="C2288" s="632" t="s">
        <v>254</v>
      </c>
      <c r="D2288" t="s">
        <v>3572</v>
      </c>
      <c r="E2288" t="s">
        <v>3573</v>
      </c>
    </row>
    <row r="2289" spans="1:5">
      <c r="A2289" s="2" t="s">
        <v>3575</v>
      </c>
      <c r="B2289" t="s">
        <v>3571</v>
      </c>
      <c r="C2289" t="s">
        <v>3576</v>
      </c>
      <c r="D2289" t="s">
        <v>3572</v>
      </c>
      <c r="E2289" t="s">
        <v>3573</v>
      </c>
    </row>
    <row r="2290" spans="1:5">
      <c r="A2290" s="2" t="s">
        <v>3577</v>
      </c>
      <c r="B2290" t="s">
        <v>3571</v>
      </c>
      <c r="C2290" t="s">
        <v>3068</v>
      </c>
      <c r="D2290" t="s">
        <v>3572</v>
      </c>
      <c r="E2290" t="s">
        <v>3573</v>
      </c>
    </row>
    <row r="2291" spans="1:5">
      <c r="A2291" s="2" t="s">
        <v>3578</v>
      </c>
      <c r="B2291" t="s">
        <v>3571</v>
      </c>
      <c r="C2291" t="s">
        <v>330</v>
      </c>
      <c r="D2291" t="s">
        <v>3572</v>
      </c>
      <c r="E2291" t="s">
        <v>3573</v>
      </c>
    </row>
    <row r="2292" spans="1:5">
      <c r="A2292" s="2" t="s">
        <v>3579</v>
      </c>
      <c r="B2292" t="s">
        <v>3571</v>
      </c>
      <c r="C2292" t="s">
        <v>3580</v>
      </c>
      <c r="D2292" t="s">
        <v>3572</v>
      </c>
      <c r="E2292" t="s">
        <v>3573</v>
      </c>
    </row>
    <row r="2293" spans="1:5">
      <c r="A2293" s="2" t="s">
        <v>3581</v>
      </c>
      <c r="B2293" t="s">
        <v>3571</v>
      </c>
      <c r="C2293" t="s">
        <v>298</v>
      </c>
      <c r="D2293" t="s">
        <v>3572</v>
      </c>
      <c r="E2293" t="s">
        <v>3573</v>
      </c>
    </row>
    <row r="2294" spans="1:5">
      <c r="A2294" s="2" t="s">
        <v>3582</v>
      </c>
      <c r="B2294" t="s">
        <v>3571</v>
      </c>
      <c r="C2294" t="s">
        <v>254</v>
      </c>
      <c r="D2294" t="s">
        <v>3572</v>
      </c>
      <c r="E2294" t="s">
        <v>3573</v>
      </c>
    </row>
    <row r="2295" spans="1:5">
      <c r="A2295" s="2" t="s">
        <v>3583</v>
      </c>
      <c r="B2295" t="s">
        <v>3571</v>
      </c>
      <c r="C2295" t="s">
        <v>532</v>
      </c>
      <c r="D2295" t="s">
        <v>3572</v>
      </c>
      <c r="E2295" t="s">
        <v>3573</v>
      </c>
    </row>
    <row r="2296" spans="1:5">
      <c r="A2296" s="2" t="s">
        <v>3584</v>
      </c>
      <c r="B2296" t="s">
        <v>3571</v>
      </c>
      <c r="C2296" t="s">
        <v>536</v>
      </c>
      <c r="D2296" t="s">
        <v>3572</v>
      </c>
      <c r="E2296" t="s">
        <v>3573</v>
      </c>
    </row>
    <row r="2297" spans="1:5">
      <c r="A2297" s="2" t="s">
        <v>3585</v>
      </c>
      <c r="B2297" t="s">
        <v>3586</v>
      </c>
      <c r="C2297" t="s">
        <v>254</v>
      </c>
      <c r="D2297" t="s">
        <v>181</v>
      </c>
      <c r="E2297" t="s">
        <v>3587</v>
      </c>
    </row>
    <row r="2298" spans="1:5">
      <c r="A2298" s="2" t="s">
        <v>3588</v>
      </c>
      <c r="B2298" t="s">
        <v>3589</v>
      </c>
      <c r="C2298" t="s">
        <v>254</v>
      </c>
      <c r="D2298" t="s">
        <v>181</v>
      </c>
      <c r="E2298" t="s">
        <v>3590</v>
      </c>
    </row>
    <row r="2299" spans="1:5">
      <c r="A2299" s="2" t="s">
        <v>3591</v>
      </c>
      <c r="B2299" t="s">
        <v>3589</v>
      </c>
      <c r="C2299" t="s">
        <v>298</v>
      </c>
      <c r="D2299" t="s">
        <v>181</v>
      </c>
      <c r="E2299" t="s">
        <v>3590</v>
      </c>
    </row>
    <row r="2300" spans="1:5">
      <c r="A2300" s="2" t="s">
        <v>3592</v>
      </c>
      <c r="B2300" t="s">
        <v>3589</v>
      </c>
      <c r="C2300" t="s">
        <v>3486</v>
      </c>
      <c r="D2300" t="s">
        <v>181</v>
      </c>
      <c r="E2300" t="s">
        <v>3590</v>
      </c>
    </row>
    <row r="2301" spans="1:5">
      <c r="A2301" s="2" t="s">
        <v>3593</v>
      </c>
      <c r="B2301" t="s">
        <v>3594</v>
      </c>
      <c r="C2301" t="s">
        <v>254</v>
      </c>
      <c r="D2301" t="s">
        <v>3595</v>
      </c>
      <c r="E2301" t="s">
        <v>3596</v>
      </c>
    </row>
    <row r="2302" spans="1:5">
      <c r="A2302" s="2" t="s">
        <v>3597</v>
      </c>
      <c r="B2302" t="s">
        <v>3598</v>
      </c>
      <c r="C2302" t="s">
        <v>1560</v>
      </c>
      <c r="D2302" t="s">
        <v>178</v>
      </c>
      <c r="E2302" t="s">
        <v>3599</v>
      </c>
    </row>
    <row r="2303" spans="1:5">
      <c r="A2303" s="2" t="s">
        <v>3600</v>
      </c>
      <c r="B2303" t="s">
        <v>3601</v>
      </c>
      <c r="C2303" t="s">
        <v>254</v>
      </c>
      <c r="D2303" t="s">
        <v>178</v>
      </c>
      <c r="E2303" t="s">
        <v>3599</v>
      </c>
    </row>
    <row r="2304" spans="1:5">
      <c r="A2304" s="2" t="s">
        <v>3602</v>
      </c>
      <c r="B2304" t="s">
        <v>3601</v>
      </c>
      <c r="C2304" t="s">
        <v>1541</v>
      </c>
      <c r="D2304" t="s">
        <v>178</v>
      </c>
      <c r="E2304" t="s">
        <v>3599</v>
      </c>
    </row>
    <row r="2305" spans="1:5">
      <c r="A2305" s="2" t="s">
        <v>3603</v>
      </c>
      <c r="B2305" t="s">
        <v>3601</v>
      </c>
      <c r="C2305" t="s">
        <v>298</v>
      </c>
      <c r="D2305" t="s">
        <v>178</v>
      </c>
      <c r="E2305" t="s">
        <v>3599</v>
      </c>
    </row>
    <row r="2306" spans="1:5">
      <c r="A2306" s="2" t="s">
        <v>3604</v>
      </c>
      <c r="B2306" t="s">
        <v>3601</v>
      </c>
      <c r="C2306" t="s">
        <v>1560</v>
      </c>
      <c r="D2306" t="s">
        <v>178</v>
      </c>
      <c r="E2306" t="s">
        <v>3599</v>
      </c>
    </row>
    <row r="2307" spans="1:5">
      <c r="A2307" s="2" t="s">
        <v>3605</v>
      </c>
      <c r="B2307" t="s">
        <v>3601</v>
      </c>
      <c r="C2307" t="s">
        <v>1439</v>
      </c>
      <c r="D2307" t="s">
        <v>178</v>
      </c>
      <c r="E2307" t="s">
        <v>3599</v>
      </c>
    </row>
    <row r="2308" spans="1:5">
      <c r="A2308" s="2" t="s">
        <v>3606</v>
      </c>
      <c r="B2308" t="s">
        <v>3601</v>
      </c>
      <c r="C2308" t="s">
        <v>3607</v>
      </c>
      <c r="D2308" t="s">
        <v>178</v>
      </c>
      <c r="E2308" t="s">
        <v>3599</v>
      </c>
    </row>
    <row r="2309" spans="1:5">
      <c r="A2309" s="2" t="s">
        <v>3608</v>
      </c>
      <c r="B2309" t="s">
        <v>3601</v>
      </c>
      <c r="C2309" t="s">
        <v>532</v>
      </c>
      <c r="D2309" t="s">
        <v>178</v>
      </c>
      <c r="E2309" t="s">
        <v>3599</v>
      </c>
    </row>
    <row r="2310" spans="1:5">
      <c r="A2310" s="2" t="s">
        <v>3609</v>
      </c>
      <c r="B2310" t="s">
        <v>3601</v>
      </c>
      <c r="C2310" t="s">
        <v>2412</v>
      </c>
      <c r="D2310" t="s">
        <v>178</v>
      </c>
      <c r="E2310" t="s">
        <v>3599</v>
      </c>
    </row>
    <row r="2311" spans="1:5">
      <c r="A2311" s="2" t="s">
        <v>3610</v>
      </c>
      <c r="B2311" t="s">
        <v>3601</v>
      </c>
      <c r="C2311" t="s">
        <v>536</v>
      </c>
      <c r="D2311" t="s">
        <v>178</v>
      </c>
      <c r="E2311" t="s">
        <v>3599</v>
      </c>
    </row>
    <row r="2312" spans="1:5">
      <c r="A2312" s="2" t="s">
        <v>3611</v>
      </c>
      <c r="B2312" t="s">
        <v>3601</v>
      </c>
      <c r="C2312" t="s">
        <v>2622</v>
      </c>
      <c r="D2312" t="s">
        <v>178</v>
      </c>
      <c r="E2312" t="s">
        <v>3599</v>
      </c>
    </row>
    <row r="2313" spans="1:5">
      <c r="A2313" s="2" t="s">
        <v>3612</v>
      </c>
      <c r="B2313" t="s">
        <v>3601</v>
      </c>
      <c r="C2313" t="s">
        <v>530</v>
      </c>
      <c r="D2313" t="s">
        <v>178</v>
      </c>
      <c r="E2313" t="s">
        <v>3599</v>
      </c>
    </row>
    <row r="2314" spans="1:5">
      <c r="A2314" s="2" t="s">
        <v>3613</v>
      </c>
      <c r="B2314" t="s">
        <v>3601</v>
      </c>
      <c r="C2314" t="s">
        <v>534</v>
      </c>
      <c r="D2314" t="s">
        <v>178</v>
      </c>
      <c r="E2314" t="s">
        <v>3599</v>
      </c>
    </row>
    <row r="2315" spans="1:5">
      <c r="A2315" s="2" t="s">
        <v>3614</v>
      </c>
      <c r="B2315" t="s">
        <v>3601</v>
      </c>
      <c r="C2315" t="s">
        <v>767</v>
      </c>
      <c r="D2315" t="s">
        <v>178</v>
      </c>
      <c r="E2315" t="s">
        <v>3599</v>
      </c>
    </row>
    <row r="2316" spans="1:5">
      <c r="A2316" s="2" t="s">
        <v>3615</v>
      </c>
      <c r="B2316" t="s">
        <v>3601</v>
      </c>
      <c r="C2316" t="s">
        <v>1556</v>
      </c>
      <c r="D2316" t="s">
        <v>178</v>
      </c>
      <c r="E2316" t="s">
        <v>3599</v>
      </c>
    </row>
    <row r="2317" spans="1:5">
      <c r="A2317" s="2" t="s">
        <v>3616</v>
      </c>
      <c r="B2317" t="s">
        <v>3617</v>
      </c>
      <c r="C2317" t="s">
        <v>254</v>
      </c>
      <c r="D2317" t="s">
        <v>3618</v>
      </c>
      <c r="E2317" t="s">
        <v>3619</v>
      </c>
    </row>
    <row r="2318" spans="1:5">
      <c r="A2318" s="2" t="s">
        <v>3620</v>
      </c>
      <c r="B2318" t="s">
        <v>3617</v>
      </c>
      <c r="C2318" t="s">
        <v>298</v>
      </c>
      <c r="D2318" t="s">
        <v>3618</v>
      </c>
      <c r="E2318" t="s">
        <v>3619</v>
      </c>
    </row>
    <row r="2319" spans="1:5">
      <c r="A2319" s="2" t="s">
        <v>3621</v>
      </c>
      <c r="B2319" t="s">
        <v>3617</v>
      </c>
      <c r="C2319" t="s">
        <v>330</v>
      </c>
      <c r="D2319" t="s">
        <v>3618</v>
      </c>
      <c r="E2319" t="s">
        <v>3619</v>
      </c>
    </row>
    <row r="2320" spans="1:5">
      <c r="A2320" s="2" t="s">
        <v>3622</v>
      </c>
      <c r="B2320" t="s">
        <v>3617</v>
      </c>
      <c r="C2320" t="s">
        <v>1026</v>
      </c>
      <c r="D2320" t="s">
        <v>3618</v>
      </c>
      <c r="E2320" t="s">
        <v>3619</v>
      </c>
    </row>
    <row r="2321" spans="1:5">
      <c r="A2321" s="2" t="s">
        <v>3623</v>
      </c>
      <c r="B2321" t="s">
        <v>3617</v>
      </c>
      <c r="C2321" t="s">
        <v>1223</v>
      </c>
      <c r="D2321" t="s">
        <v>3618</v>
      </c>
      <c r="E2321" t="s">
        <v>3619</v>
      </c>
    </row>
    <row r="2322" spans="1:5">
      <c r="A2322" s="2" t="s">
        <v>3624</v>
      </c>
      <c r="B2322" t="s">
        <v>3617</v>
      </c>
      <c r="C2322" t="s">
        <v>527</v>
      </c>
      <c r="D2322" t="s">
        <v>3618</v>
      </c>
      <c r="E2322" t="s">
        <v>3619</v>
      </c>
    </row>
    <row r="2323" spans="1:5">
      <c r="A2323" s="2" t="s">
        <v>3625</v>
      </c>
      <c r="B2323" t="s">
        <v>3626</v>
      </c>
      <c r="C2323" t="s">
        <v>298</v>
      </c>
      <c r="D2323" t="s">
        <v>3618</v>
      </c>
      <c r="E2323" t="s">
        <v>3627</v>
      </c>
    </row>
    <row r="2324" spans="1:5">
      <c r="A2324" s="2" t="s">
        <v>3628</v>
      </c>
      <c r="B2324" t="s">
        <v>3626</v>
      </c>
      <c r="C2324" t="s">
        <v>254</v>
      </c>
      <c r="D2324" t="s">
        <v>3618</v>
      </c>
      <c r="E2324" t="s">
        <v>3627</v>
      </c>
    </row>
    <row r="2325" spans="1:5">
      <c r="A2325" s="2" t="s">
        <v>3629</v>
      </c>
      <c r="B2325" t="s">
        <v>3630</v>
      </c>
      <c r="C2325" t="s">
        <v>254</v>
      </c>
      <c r="D2325" t="s">
        <v>3618</v>
      </c>
      <c r="E2325" t="s">
        <v>3619</v>
      </c>
    </row>
    <row r="2326" spans="1:5">
      <c r="A2326" s="2" t="s">
        <v>3631</v>
      </c>
      <c r="B2326" t="s">
        <v>3630</v>
      </c>
      <c r="C2326" t="s">
        <v>298</v>
      </c>
      <c r="D2326" t="s">
        <v>3618</v>
      </c>
      <c r="E2326" t="s">
        <v>3619</v>
      </c>
    </row>
    <row r="2327" spans="1:5">
      <c r="A2327" s="2" t="s">
        <v>3632</v>
      </c>
      <c r="B2327" t="s">
        <v>3630</v>
      </c>
      <c r="C2327" t="s">
        <v>527</v>
      </c>
      <c r="D2327" t="s">
        <v>3618</v>
      </c>
      <c r="E2327" t="s">
        <v>3619</v>
      </c>
    </row>
    <row r="2328" spans="1:5">
      <c r="A2328" s="2" t="s">
        <v>3633</v>
      </c>
      <c r="B2328" t="s">
        <v>3630</v>
      </c>
      <c r="C2328" t="s">
        <v>1026</v>
      </c>
      <c r="D2328" t="s">
        <v>3618</v>
      </c>
      <c r="E2328" t="s">
        <v>3619</v>
      </c>
    </row>
    <row r="2329" spans="1:5">
      <c r="A2329" s="2" t="s">
        <v>3634</v>
      </c>
      <c r="B2329" t="s">
        <v>3630</v>
      </c>
      <c r="C2329" t="s">
        <v>1223</v>
      </c>
      <c r="D2329" t="s">
        <v>3618</v>
      </c>
      <c r="E2329" t="s">
        <v>3619</v>
      </c>
    </row>
    <row r="2330" spans="1:5">
      <c r="A2330" s="2" t="s">
        <v>3635</v>
      </c>
      <c r="B2330" t="s">
        <v>3630</v>
      </c>
      <c r="C2330" t="s">
        <v>330</v>
      </c>
      <c r="D2330" t="s">
        <v>3618</v>
      </c>
      <c r="E2330" t="s">
        <v>3619</v>
      </c>
    </row>
    <row r="2331" spans="1:5">
      <c r="A2331" s="2" t="s">
        <v>3636</v>
      </c>
      <c r="B2331" t="s">
        <v>3637</v>
      </c>
      <c r="C2331" t="s">
        <v>254</v>
      </c>
      <c r="D2331" t="s">
        <v>3618</v>
      </c>
      <c r="E2331" t="s">
        <v>3627</v>
      </c>
    </row>
    <row r="2332" spans="1:5">
      <c r="A2332" s="2" t="s">
        <v>3638</v>
      </c>
      <c r="B2332" t="s">
        <v>3637</v>
      </c>
      <c r="C2332" t="s">
        <v>298</v>
      </c>
      <c r="D2332" t="s">
        <v>3618</v>
      </c>
      <c r="E2332" t="s">
        <v>3627</v>
      </c>
    </row>
    <row r="2333" spans="1:5">
      <c r="A2333" s="2" t="s">
        <v>3639</v>
      </c>
      <c r="B2333" t="s">
        <v>3640</v>
      </c>
      <c r="C2333" t="s">
        <v>298</v>
      </c>
      <c r="D2333" t="s">
        <v>3618</v>
      </c>
      <c r="E2333" t="s">
        <v>3619</v>
      </c>
    </row>
    <row r="2334" spans="1:5">
      <c r="A2334" s="2" t="s">
        <v>3641</v>
      </c>
      <c r="B2334" s="5" t="s">
        <v>3640</v>
      </c>
      <c r="C2334" s="5" t="s">
        <v>1026</v>
      </c>
      <c r="D2334" s="5" t="s">
        <v>3618</v>
      </c>
      <c r="E2334" s="5" t="s">
        <v>3619</v>
      </c>
    </row>
    <row r="2335" spans="1:5">
      <c r="A2335" s="2" t="s">
        <v>3642</v>
      </c>
      <c r="B2335" s="5" t="s">
        <v>3640</v>
      </c>
      <c r="C2335" s="5" t="s">
        <v>1223</v>
      </c>
      <c r="D2335" s="5" t="s">
        <v>3618</v>
      </c>
      <c r="E2335" s="5" t="s">
        <v>3619</v>
      </c>
    </row>
    <row r="2336" spans="1:5">
      <c r="A2336" s="2" t="s">
        <v>3643</v>
      </c>
      <c r="B2336" s="4" t="s">
        <v>3640</v>
      </c>
      <c r="C2336" s="4" t="s">
        <v>254</v>
      </c>
      <c r="D2336" s="4" t="s">
        <v>3618</v>
      </c>
      <c r="E2336" s="4" t="s">
        <v>3619</v>
      </c>
    </row>
    <row r="2337" spans="1:5">
      <c r="A2337" s="2" t="s">
        <v>3644</v>
      </c>
      <c r="B2337" s="4" t="s">
        <v>3640</v>
      </c>
      <c r="C2337" s="4" t="s">
        <v>330</v>
      </c>
      <c r="D2337" s="4" t="s">
        <v>3618</v>
      </c>
      <c r="E2337" s="4" t="s">
        <v>3619</v>
      </c>
    </row>
    <row r="2338" spans="1:5">
      <c r="A2338" s="2" t="s">
        <v>3645</v>
      </c>
      <c r="B2338" s="4" t="s">
        <v>3640</v>
      </c>
      <c r="C2338" s="4" t="s">
        <v>527</v>
      </c>
      <c r="D2338" s="4" t="s">
        <v>3618</v>
      </c>
      <c r="E2338" s="4" t="s">
        <v>3619</v>
      </c>
    </row>
    <row r="2339" spans="1:5">
      <c r="A2339" s="2" t="s">
        <v>3646</v>
      </c>
      <c r="B2339" s="4" t="s">
        <v>3647</v>
      </c>
      <c r="C2339" s="4" t="s">
        <v>298</v>
      </c>
      <c r="D2339" s="4" t="s">
        <v>3618</v>
      </c>
      <c r="E2339" s="4" t="s">
        <v>3627</v>
      </c>
    </row>
    <row r="2340" spans="1:5">
      <c r="A2340" s="2" t="s">
        <v>3648</v>
      </c>
      <c r="B2340" s="4" t="s">
        <v>3647</v>
      </c>
      <c r="C2340" s="4" t="s">
        <v>254</v>
      </c>
      <c r="D2340" s="4" t="s">
        <v>3618</v>
      </c>
      <c r="E2340" s="4" t="s">
        <v>3627</v>
      </c>
    </row>
    <row r="2341" spans="1:5">
      <c r="A2341" s="2" t="s">
        <v>3649</v>
      </c>
      <c r="B2341" s="4" t="s">
        <v>3650</v>
      </c>
      <c r="C2341" s="4" t="s">
        <v>254</v>
      </c>
      <c r="D2341" s="4" t="s">
        <v>3618</v>
      </c>
      <c r="E2341" s="4" t="s">
        <v>3619</v>
      </c>
    </row>
    <row r="2342" spans="1:5">
      <c r="A2342" s="2" t="s">
        <v>3651</v>
      </c>
      <c r="B2342" s="4" t="s">
        <v>3650</v>
      </c>
      <c r="C2342" s="4" t="s">
        <v>330</v>
      </c>
      <c r="D2342" s="4" t="s">
        <v>3618</v>
      </c>
      <c r="E2342" s="4" t="s">
        <v>3619</v>
      </c>
    </row>
    <row r="2343" spans="1:5">
      <c r="A2343" s="2" t="s">
        <v>3652</v>
      </c>
      <c r="B2343" s="4" t="s">
        <v>3650</v>
      </c>
      <c r="C2343" s="4" t="s">
        <v>527</v>
      </c>
      <c r="D2343" s="4" t="s">
        <v>3618</v>
      </c>
      <c r="E2343" s="4" t="s">
        <v>3619</v>
      </c>
    </row>
    <row r="2344" spans="1:5">
      <c r="A2344" s="2" t="s">
        <v>3653</v>
      </c>
      <c r="B2344" s="4" t="s">
        <v>3650</v>
      </c>
      <c r="C2344" s="4" t="s">
        <v>298</v>
      </c>
      <c r="D2344" s="4" t="s">
        <v>3618</v>
      </c>
      <c r="E2344" s="4" t="s">
        <v>3619</v>
      </c>
    </row>
    <row r="2345" spans="1:5">
      <c r="A2345" s="2" t="s">
        <v>3654</v>
      </c>
      <c r="B2345" s="5" t="s">
        <v>3650</v>
      </c>
      <c r="C2345" s="5" t="s">
        <v>1026</v>
      </c>
      <c r="D2345" s="5" t="s">
        <v>3618</v>
      </c>
      <c r="E2345" s="5" t="s">
        <v>3619</v>
      </c>
    </row>
    <row r="2346" spans="1:5">
      <c r="A2346" s="2" t="s">
        <v>3655</v>
      </c>
      <c r="B2346" s="5" t="s">
        <v>3650</v>
      </c>
      <c r="C2346" s="5" t="s">
        <v>1223</v>
      </c>
      <c r="D2346" s="5" t="s">
        <v>3618</v>
      </c>
      <c r="E2346" s="5" t="s">
        <v>3619</v>
      </c>
    </row>
    <row r="2347" spans="1:5">
      <c r="A2347" s="2" t="s">
        <v>3656</v>
      </c>
      <c r="B2347" s="4" t="s">
        <v>3657</v>
      </c>
      <c r="C2347" s="4" t="s">
        <v>254</v>
      </c>
      <c r="D2347" s="4" t="s">
        <v>3618</v>
      </c>
      <c r="E2347" s="4" t="s">
        <v>3627</v>
      </c>
    </row>
    <row r="2348" spans="1:5">
      <c r="A2348" s="2" t="s">
        <v>3658</v>
      </c>
      <c r="B2348" s="4" t="s">
        <v>3657</v>
      </c>
      <c r="C2348" s="4" t="s">
        <v>298</v>
      </c>
      <c r="D2348" s="4" t="s">
        <v>3618</v>
      </c>
      <c r="E2348" s="4" t="s">
        <v>3627</v>
      </c>
    </row>
    <row r="2349" spans="1:5">
      <c r="A2349" s="2" t="s">
        <v>3659</v>
      </c>
      <c r="B2349" s="4" t="s">
        <v>3660</v>
      </c>
      <c r="C2349" s="4" t="s">
        <v>254</v>
      </c>
      <c r="D2349" s="4" t="s">
        <v>3618</v>
      </c>
      <c r="E2349" s="4" t="s">
        <v>3619</v>
      </c>
    </row>
    <row r="2350" spans="1:5">
      <c r="A2350" s="2" t="s">
        <v>3661</v>
      </c>
      <c r="B2350" s="4" t="s">
        <v>3660</v>
      </c>
      <c r="C2350" s="4" t="s">
        <v>298</v>
      </c>
      <c r="D2350" s="4" t="s">
        <v>3618</v>
      </c>
      <c r="E2350" s="4" t="s">
        <v>3619</v>
      </c>
    </row>
    <row r="2351" spans="1:5">
      <c r="A2351" s="2" t="s">
        <v>3662</v>
      </c>
      <c r="B2351" s="4" t="s">
        <v>3660</v>
      </c>
      <c r="C2351" s="4" t="s">
        <v>330</v>
      </c>
      <c r="D2351" s="4" t="s">
        <v>3618</v>
      </c>
      <c r="E2351" s="4" t="s">
        <v>3619</v>
      </c>
    </row>
    <row r="2352" spans="1:5">
      <c r="A2352" s="2" t="s">
        <v>3663</v>
      </c>
      <c r="B2352" s="4" t="s">
        <v>3660</v>
      </c>
      <c r="C2352" s="4" t="s">
        <v>527</v>
      </c>
      <c r="D2352" s="4" t="s">
        <v>3618</v>
      </c>
      <c r="E2352" s="4" t="s">
        <v>3619</v>
      </c>
    </row>
    <row r="2353" spans="1:5">
      <c r="A2353" s="2" t="s">
        <v>3664</v>
      </c>
      <c r="B2353" s="4" t="s">
        <v>3665</v>
      </c>
      <c r="C2353" s="4" t="s">
        <v>254</v>
      </c>
      <c r="D2353" s="4" t="s">
        <v>3618</v>
      </c>
      <c r="E2353" s="4" t="s">
        <v>3627</v>
      </c>
    </row>
    <row r="2354" spans="1:5">
      <c r="A2354" s="2" t="s">
        <v>3666</v>
      </c>
      <c r="B2354" s="4" t="s">
        <v>3665</v>
      </c>
      <c r="C2354" s="4" t="s">
        <v>298</v>
      </c>
      <c r="D2354" s="4" t="s">
        <v>3618</v>
      </c>
      <c r="E2354" s="4" t="s">
        <v>3627</v>
      </c>
    </row>
    <row r="2355" spans="1:5">
      <c r="A2355" s="2" t="s">
        <v>3667</v>
      </c>
      <c r="B2355" s="4" t="s">
        <v>3668</v>
      </c>
      <c r="C2355" s="4" t="s">
        <v>254</v>
      </c>
      <c r="D2355" s="4" t="s">
        <v>3618</v>
      </c>
      <c r="E2355" s="4" t="s">
        <v>3619</v>
      </c>
    </row>
    <row r="2356" spans="1:5">
      <c r="A2356" s="2" t="s">
        <v>3669</v>
      </c>
      <c r="B2356" s="5" t="s">
        <v>3668</v>
      </c>
      <c r="C2356" s="5" t="s">
        <v>330</v>
      </c>
      <c r="D2356" s="5" t="s">
        <v>3618</v>
      </c>
      <c r="E2356" s="5" t="s">
        <v>3619</v>
      </c>
    </row>
    <row r="2357" spans="1:5">
      <c r="A2357" s="2" t="s">
        <v>3670</v>
      </c>
      <c r="B2357" s="4" t="s">
        <v>3668</v>
      </c>
      <c r="C2357" s="4" t="s">
        <v>298</v>
      </c>
      <c r="D2357" s="4" t="s">
        <v>3618</v>
      </c>
      <c r="E2357" s="4" t="s">
        <v>3619</v>
      </c>
    </row>
    <row r="2358" spans="1:5">
      <c r="A2358" s="2" t="s">
        <v>3671</v>
      </c>
      <c r="B2358" s="4" t="s">
        <v>3668</v>
      </c>
      <c r="C2358" s="4" t="s">
        <v>527</v>
      </c>
      <c r="D2358" s="4" t="s">
        <v>3618</v>
      </c>
      <c r="E2358" s="4" t="s">
        <v>3619</v>
      </c>
    </row>
    <row r="2359" spans="1:5">
      <c r="A2359" s="2" t="s">
        <v>3672</v>
      </c>
      <c r="B2359" s="4" t="s">
        <v>3673</v>
      </c>
      <c r="C2359" s="4" t="s">
        <v>254</v>
      </c>
      <c r="D2359" s="4" t="s">
        <v>3618</v>
      </c>
      <c r="E2359" s="4" t="s">
        <v>3627</v>
      </c>
    </row>
    <row r="2360" spans="1:5">
      <c r="A2360" s="2" t="s">
        <v>3674</v>
      </c>
      <c r="B2360" s="4" t="s">
        <v>3673</v>
      </c>
      <c r="C2360" s="4" t="s">
        <v>298</v>
      </c>
      <c r="D2360" s="4" t="s">
        <v>3618</v>
      </c>
      <c r="E2360" s="4" t="s">
        <v>3627</v>
      </c>
    </row>
    <row r="2361" spans="1:5">
      <c r="A2361" s="2" t="s">
        <v>3675</v>
      </c>
      <c r="B2361" t="s">
        <v>3676</v>
      </c>
      <c r="C2361" t="s">
        <v>254</v>
      </c>
      <c r="D2361" t="s">
        <v>3618</v>
      </c>
      <c r="E2361" t="s">
        <v>3619</v>
      </c>
    </row>
    <row r="2362" spans="1:5">
      <c r="A2362" s="2" t="s">
        <v>3677</v>
      </c>
      <c r="B2362" t="s">
        <v>3676</v>
      </c>
      <c r="C2362" t="s">
        <v>330</v>
      </c>
      <c r="D2362" t="s">
        <v>3618</v>
      </c>
      <c r="E2362" t="s">
        <v>3619</v>
      </c>
    </row>
    <row r="2363" spans="1:5">
      <c r="A2363" s="2" t="s">
        <v>3678</v>
      </c>
      <c r="B2363" t="s">
        <v>3676</v>
      </c>
      <c r="C2363" t="s">
        <v>298</v>
      </c>
      <c r="D2363" t="s">
        <v>3618</v>
      </c>
      <c r="E2363" t="s">
        <v>3619</v>
      </c>
    </row>
    <row r="2364" spans="1:5">
      <c r="A2364" s="2" t="s">
        <v>3679</v>
      </c>
      <c r="B2364" t="s">
        <v>3676</v>
      </c>
      <c r="C2364" t="s">
        <v>527</v>
      </c>
      <c r="D2364" t="s">
        <v>3618</v>
      </c>
      <c r="E2364" t="s">
        <v>3619</v>
      </c>
    </row>
    <row r="2365" spans="1:5">
      <c r="A2365" s="2" t="s">
        <v>3680</v>
      </c>
      <c r="B2365" t="s">
        <v>3681</v>
      </c>
      <c r="C2365" t="s">
        <v>254</v>
      </c>
      <c r="D2365" t="s">
        <v>3618</v>
      </c>
      <c r="E2365" t="s">
        <v>3627</v>
      </c>
    </row>
    <row r="2366" spans="1:5">
      <c r="A2366" s="2" t="s">
        <v>3682</v>
      </c>
      <c r="B2366" t="s">
        <v>3681</v>
      </c>
      <c r="C2366" t="s">
        <v>298</v>
      </c>
      <c r="D2366" t="s">
        <v>3618</v>
      </c>
      <c r="E2366" t="s">
        <v>3627</v>
      </c>
    </row>
    <row r="2367" spans="1:5">
      <c r="A2367" s="2" t="s">
        <v>3683</v>
      </c>
      <c r="B2367" t="s">
        <v>3684</v>
      </c>
      <c r="C2367" t="s">
        <v>254</v>
      </c>
      <c r="D2367" t="s">
        <v>3618</v>
      </c>
      <c r="E2367" t="s">
        <v>3619</v>
      </c>
    </row>
    <row r="2368" spans="1:5">
      <c r="A2368" s="2" t="s">
        <v>3685</v>
      </c>
      <c r="B2368" t="s">
        <v>3684</v>
      </c>
      <c r="C2368" s="632" t="s">
        <v>298</v>
      </c>
      <c r="D2368" t="s">
        <v>3618</v>
      </c>
      <c r="E2368" t="s">
        <v>3619</v>
      </c>
    </row>
    <row r="2369" spans="1:5">
      <c r="A2369" s="2" t="s">
        <v>3686</v>
      </c>
      <c r="B2369" t="s">
        <v>3684</v>
      </c>
      <c r="C2369" t="s">
        <v>330</v>
      </c>
      <c r="D2369" t="s">
        <v>3618</v>
      </c>
      <c r="E2369" t="s">
        <v>3619</v>
      </c>
    </row>
    <row r="2370" spans="1:5">
      <c r="A2370" s="2" t="s">
        <v>3687</v>
      </c>
      <c r="B2370" t="s">
        <v>3684</v>
      </c>
      <c r="C2370" t="s">
        <v>527</v>
      </c>
      <c r="D2370" t="s">
        <v>3618</v>
      </c>
      <c r="E2370" t="s">
        <v>3619</v>
      </c>
    </row>
    <row r="2371" spans="1:5">
      <c r="A2371" s="2" t="s">
        <v>3688</v>
      </c>
      <c r="B2371" t="s">
        <v>3689</v>
      </c>
      <c r="C2371" t="s">
        <v>254</v>
      </c>
      <c r="D2371" t="s">
        <v>3618</v>
      </c>
      <c r="E2371" t="s">
        <v>3627</v>
      </c>
    </row>
    <row r="2372" spans="1:5">
      <c r="A2372" s="2" t="s">
        <v>3690</v>
      </c>
      <c r="B2372" t="s">
        <v>3689</v>
      </c>
      <c r="C2372" t="s">
        <v>298</v>
      </c>
      <c r="D2372" t="s">
        <v>3618</v>
      </c>
      <c r="E2372" t="s">
        <v>3627</v>
      </c>
    </row>
    <row r="2373" spans="1:5">
      <c r="A2373" s="2" t="s">
        <v>3691</v>
      </c>
      <c r="B2373" t="s">
        <v>3692</v>
      </c>
      <c r="C2373" t="s">
        <v>254</v>
      </c>
      <c r="D2373" t="s">
        <v>3618</v>
      </c>
      <c r="E2373" t="s">
        <v>3693</v>
      </c>
    </row>
    <row r="2374" spans="1:5">
      <c r="A2374" s="2" t="str">
        <f>B2374&amp;C2374</f>
        <v>ZN8-EKE700</v>
      </c>
      <c r="B2374" t="s">
        <v>3694</v>
      </c>
      <c r="C2374" t="s">
        <v>254</v>
      </c>
      <c r="D2374" t="s">
        <v>3618</v>
      </c>
      <c r="E2374" t="s">
        <v>3693</v>
      </c>
    </row>
    <row r="2375" spans="1:5">
      <c r="A2375" s="2" t="s">
        <v>3695</v>
      </c>
      <c r="B2375" t="s">
        <v>3692</v>
      </c>
      <c r="C2375" t="s">
        <v>298</v>
      </c>
      <c r="D2375" t="s">
        <v>3618</v>
      </c>
      <c r="E2375" t="s">
        <v>3693</v>
      </c>
    </row>
    <row r="2376" spans="1:5">
      <c r="A2376" s="2" t="s">
        <v>3696</v>
      </c>
      <c r="B2376" t="s">
        <v>3692</v>
      </c>
      <c r="C2376" t="s">
        <v>558</v>
      </c>
      <c r="D2376" t="s">
        <v>3697</v>
      </c>
      <c r="E2376" t="s">
        <v>3693</v>
      </c>
    </row>
    <row r="2377" spans="1:5">
      <c r="A2377" s="2" t="s">
        <v>3698</v>
      </c>
      <c r="B2377" t="s">
        <v>3692</v>
      </c>
      <c r="C2377" t="s">
        <v>548</v>
      </c>
      <c r="D2377" t="s">
        <v>3697</v>
      </c>
      <c r="E2377" t="s">
        <v>3693</v>
      </c>
    </row>
    <row r="2378" spans="1:5">
      <c r="A2378" s="2" t="s">
        <v>3699</v>
      </c>
      <c r="B2378" t="s">
        <v>3692</v>
      </c>
      <c r="C2378" t="s">
        <v>538</v>
      </c>
      <c r="D2378" t="s">
        <v>3697</v>
      </c>
      <c r="E2378" t="s">
        <v>3693</v>
      </c>
    </row>
    <row r="2379" spans="1:5">
      <c r="A2379" s="2" t="s">
        <v>3700</v>
      </c>
      <c r="B2379" t="s">
        <v>3692</v>
      </c>
      <c r="C2379" t="s">
        <v>562</v>
      </c>
      <c r="D2379" t="s">
        <v>3697</v>
      </c>
      <c r="E2379" t="s">
        <v>3693</v>
      </c>
    </row>
    <row r="2380" spans="1:5">
      <c r="A2380" s="2" t="s">
        <v>3701</v>
      </c>
      <c r="B2380" t="s">
        <v>3692</v>
      </c>
      <c r="C2380" t="s">
        <v>573</v>
      </c>
      <c r="D2380" t="s">
        <v>3697</v>
      </c>
      <c r="E2380" t="s">
        <v>3693</v>
      </c>
    </row>
    <row r="2381" spans="1:5">
      <c r="A2381" s="2" t="s">
        <v>3702</v>
      </c>
      <c r="B2381" t="s">
        <v>3692</v>
      </c>
      <c r="C2381" s="632" t="s">
        <v>550</v>
      </c>
      <c r="D2381" t="s">
        <v>3697</v>
      </c>
      <c r="E2381" t="s">
        <v>3693</v>
      </c>
    </row>
    <row r="2382" spans="1:5">
      <c r="A2382" s="2" t="s">
        <v>3703</v>
      </c>
      <c r="B2382" t="s">
        <v>3692</v>
      </c>
      <c r="C2382" t="s">
        <v>541</v>
      </c>
      <c r="D2382" t="s">
        <v>3697</v>
      </c>
      <c r="E2382" t="s">
        <v>3693</v>
      </c>
    </row>
    <row r="2383" spans="1:5">
      <c r="A2383" s="2" t="s">
        <v>3704</v>
      </c>
      <c r="B2383" t="s">
        <v>3705</v>
      </c>
      <c r="C2383" t="s">
        <v>298</v>
      </c>
      <c r="D2383" t="s">
        <v>3697</v>
      </c>
      <c r="E2383" t="s">
        <v>3693</v>
      </c>
    </row>
    <row r="2384" spans="1:5">
      <c r="A2384" s="2" t="s">
        <v>3706</v>
      </c>
      <c r="B2384" t="s">
        <v>3692</v>
      </c>
      <c r="C2384" t="s">
        <v>577</v>
      </c>
      <c r="D2384" t="s">
        <v>3697</v>
      </c>
      <c r="E2384" t="s">
        <v>3693</v>
      </c>
    </row>
    <row r="2385" spans="1:5">
      <c r="A2385" s="2" t="s">
        <v>3707</v>
      </c>
      <c r="B2385" t="s">
        <v>3708</v>
      </c>
      <c r="C2385" t="s">
        <v>254</v>
      </c>
      <c r="D2385" t="s">
        <v>3618</v>
      </c>
      <c r="E2385" t="s">
        <v>3709</v>
      </c>
    </row>
    <row r="2386" spans="1:5">
      <c r="A2386" s="2" t="s">
        <v>3710</v>
      </c>
      <c r="B2386" t="s">
        <v>3708</v>
      </c>
      <c r="C2386" t="s">
        <v>298</v>
      </c>
      <c r="D2386" t="s">
        <v>3618</v>
      </c>
      <c r="E2386" t="s">
        <v>3709</v>
      </c>
    </row>
    <row r="2387" spans="1:5">
      <c r="A2387" s="2" t="s">
        <v>3711</v>
      </c>
      <c r="B2387" t="s">
        <v>3708</v>
      </c>
      <c r="C2387" t="s">
        <v>558</v>
      </c>
      <c r="D2387" t="s">
        <v>3697</v>
      </c>
      <c r="E2387" t="s">
        <v>3709</v>
      </c>
    </row>
    <row r="2388" spans="1:5">
      <c r="A2388" s="2" t="s">
        <v>3712</v>
      </c>
      <c r="B2388" t="s">
        <v>3708</v>
      </c>
      <c r="C2388" t="s">
        <v>548</v>
      </c>
      <c r="D2388" t="s">
        <v>3697</v>
      </c>
      <c r="E2388" t="s">
        <v>3709</v>
      </c>
    </row>
    <row r="2389" spans="1:5">
      <c r="A2389" s="2" t="s">
        <v>3713</v>
      </c>
      <c r="B2389" t="s">
        <v>3708</v>
      </c>
      <c r="C2389" t="s">
        <v>538</v>
      </c>
      <c r="D2389" t="s">
        <v>3697</v>
      </c>
      <c r="E2389" t="s">
        <v>3709</v>
      </c>
    </row>
    <row r="2390" spans="1:5">
      <c r="A2390" s="2" t="s">
        <v>3714</v>
      </c>
      <c r="B2390" t="s">
        <v>3708</v>
      </c>
      <c r="C2390" t="s">
        <v>562</v>
      </c>
      <c r="D2390" t="s">
        <v>3697</v>
      </c>
      <c r="E2390" t="s">
        <v>3709</v>
      </c>
    </row>
    <row r="2391" spans="1:5">
      <c r="A2391" s="2" t="s">
        <v>3715</v>
      </c>
      <c r="B2391" t="s">
        <v>3708</v>
      </c>
      <c r="C2391" t="s">
        <v>573</v>
      </c>
      <c r="D2391" t="s">
        <v>3697</v>
      </c>
      <c r="E2391" t="s">
        <v>3709</v>
      </c>
    </row>
    <row r="2392" spans="1:5">
      <c r="A2392" s="2" t="s">
        <v>3716</v>
      </c>
      <c r="B2392" t="s">
        <v>3708</v>
      </c>
      <c r="C2392" t="s">
        <v>541</v>
      </c>
      <c r="D2392" t="s">
        <v>3697</v>
      </c>
      <c r="E2392" t="s">
        <v>3709</v>
      </c>
    </row>
    <row r="2393" spans="1:5">
      <c r="A2393" s="2" t="s">
        <v>3717</v>
      </c>
      <c r="B2393" t="s">
        <v>3708</v>
      </c>
      <c r="C2393" t="s">
        <v>577</v>
      </c>
      <c r="D2393" t="s">
        <v>3697</v>
      </c>
      <c r="E2393" t="s">
        <v>3709</v>
      </c>
    </row>
    <row r="2394" spans="1:5">
      <c r="A2394" s="2" t="s">
        <v>3718</v>
      </c>
      <c r="B2394" t="s">
        <v>3708</v>
      </c>
      <c r="C2394" t="s">
        <v>550</v>
      </c>
      <c r="D2394" t="s">
        <v>3697</v>
      </c>
      <c r="E2394" t="s">
        <v>3709</v>
      </c>
    </row>
    <row r="2395" spans="1:5">
      <c r="A2395" s="2" t="s">
        <v>3719</v>
      </c>
      <c r="B2395" t="s">
        <v>3705</v>
      </c>
      <c r="C2395" t="s">
        <v>254</v>
      </c>
      <c r="D2395" t="s">
        <v>3697</v>
      </c>
      <c r="E2395" t="s">
        <v>3709</v>
      </c>
    </row>
    <row r="2396" spans="1:5">
      <c r="A2396" s="2" t="s">
        <v>3720</v>
      </c>
      <c r="B2396" t="s">
        <v>3721</v>
      </c>
      <c r="C2396" t="s">
        <v>254</v>
      </c>
      <c r="D2396" t="s">
        <v>3618</v>
      </c>
      <c r="E2396" t="s">
        <v>3709</v>
      </c>
    </row>
    <row r="2397" spans="1:5">
      <c r="A2397" s="2" t="s">
        <v>3722</v>
      </c>
      <c r="B2397" t="s">
        <v>3721</v>
      </c>
      <c r="C2397" t="s">
        <v>558</v>
      </c>
      <c r="D2397" t="s">
        <v>3697</v>
      </c>
      <c r="E2397" t="s">
        <v>3709</v>
      </c>
    </row>
    <row r="2398" spans="1:5">
      <c r="A2398" s="2" t="s">
        <v>3723</v>
      </c>
      <c r="B2398" s="13" t="s">
        <v>3721</v>
      </c>
      <c r="C2398" s="13" t="s">
        <v>548</v>
      </c>
      <c r="D2398" s="13" t="s">
        <v>3697</v>
      </c>
      <c r="E2398" s="13" t="s">
        <v>3709</v>
      </c>
    </row>
    <row r="2399" spans="1:5">
      <c r="A2399" s="2" t="s">
        <v>3724</v>
      </c>
      <c r="B2399" s="13" t="s">
        <v>3721</v>
      </c>
      <c r="C2399" s="13" t="s">
        <v>538</v>
      </c>
      <c r="D2399" s="13" t="s">
        <v>3697</v>
      </c>
      <c r="E2399" s="13" t="s">
        <v>3709</v>
      </c>
    </row>
    <row r="2400" spans="1:5">
      <c r="A2400" s="2" t="s">
        <v>3725</v>
      </c>
      <c r="B2400" s="13" t="s">
        <v>3721</v>
      </c>
      <c r="C2400" s="13" t="s">
        <v>562</v>
      </c>
      <c r="D2400" s="13" t="s">
        <v>3697</v>
      </c>
      <c r="E2400" s="13" t="s">
        <v>3709</v>
      </c>
    </row>
    <row r="2401" spans="1:5">
      <c r="A2401" s="2" t="s">
        <v>3726</v>
      </c>
      <c r="B2401" t="s">
        <v>3727</v>
      </c>
      <c r="C2401" t="s">
        <v>298</v>
      </c>
      <c r="D2401" t="s">
        <v>3697</v>
      </c>
      <c r="E2401" t="s">
        <v>3709</v>
      </c>
    </row>
    <row r="2402" spans="1:5">
      <c r="A2402" s="2" t="str">
        <f>B2402&amp;C2402</f>
        <v>ZN8-DKE801</v>
      </c>
      <c r="B2402" t="s">
        <v>3728</v>
      </c>
      <c r="C2402" t="s">
        <v>298</v>
      </c>
      <c r="D2402" t="s">
        <v>3697</v>
      </c>
      <c r="E2402" t="s">
        <v>3709</v>
      </c>
    </row>
    <row r="2403" spans="1:5">
      <c r="A2403" s="2" t="s">
        <v>3729</v>
      </c>
      <c r="B2403" t="s">
        <v>3727</v>
      </c>
      <c r="C2403" s="632" t="s">
        <v>254</v>
      </c>
      <c r="D2403" t="s">
        <v>3697</v>
      </c>
      <c r="E2403" t="s">
        <v>3709</v>
      </c>
    </row>
    <row r="2404" spans="1:5">
      <c r="A2404" s="2" t="s">
        <v>3730</v>
      </c>
      <c r="B2404" t="s">
        <v>3731</v>
      </c>
      <c r="C2404" t="s">
        <v>254</v>
      </c>
      <c r="D2404" t="s">
        <v>195</v>
      </c>
      <c r="E2404" t="s">
        <v>3732</v>
      </c>
    </row>
    <row r="2405" spans="1:5">
      <c r="A2405" s="2" t="s">
        <v>3733</v>
      </c>
      <c r="B2405" t="s">
        <v>3731</v>
      </c>
      <c r="C2405" t="s">
        <v>1541</v>
      </c>
      <c r="D2405" t="s">
        <v>195</v>
      </c>
      <c r="E2405" t="s">
        <v>3732</v>
      </c>
    </row>
    <row r="2406" spans="1:5">
      <c r="A2406" s="2" t="s">
        <v>3734</v>
      </c>
      <c r="B2406" t="s">
        <v>3735</v>
      </c>
      <c r="C2406" t="s">
        <v>254</v>
      </c>
      <c r="D2406" t="s">
        <v>195</v>
      </c>
      <c r="E2406" t="s">
        <v>3736</v>
      </c>
    </row>
    <row r="2407" spans="1:5">
      <c r="A2407" s="2" t="s">
        <v>3737</v>
      </c>
      <c r="B2407" t="s">
        <v>3735</v>
      </c>
      <c r="C2407" t="s">
        <v>1541</v>
      </c>
      <c r="D2407" t="s">
        <v>195</v>
      </c>
      <c r="E2407" t="s">
        <v>3736</v>
      </c>
    </row>
    <row r="2408" spans="1:5">
      <c r="A2408" s="2" t="s">
        <v>3738</v>
      </c>
      <c r="B2408" t="s">
        <v>3739</v>
      </c>
      <c r="C2408" t="s">
        <v>254</v>
      </c>
      <c r="D2408" t="s">
        <v>195</v>
      </c>
      <c r="E2408" t="s">
        <v>3740</v>
      </c>
    </row>
    <row r="2409" spans="1:5">
      <c r="A2409" s="2" t="s">
        <v>3741</v>
      </c>
      <c r="B2409" t="s">
        <v>3739</v>
      </c>
      <c r="C2409" t="s">
        <v>1541</v>
      </c>
      <c r="D2409" t="s">
        <v>195</v>
      </c>
      <c r="E2409" t="s">
        <v>3740</v>
      </c>
    </row>
    <row r="2410" spans="1:5">
      <c r="A2410" s="2" t="s">
        <v>3742</v>
      </c>
      <c r="B2410" t="s">
        <v>3743</v>
      </c>
      <c r="C2410" t="s">
        <v>254</v>
      </c>
      <c r="D2410" t="s">
        <v>195</v>
      </c>
      <c r="E2410" t="s">
        <v>3744</v>
      </c>
    </row>
    <row r="2411" spans="1:5">
      <c r="A2411" s="2" t="s">
        <v>3745</v>
      </c>
      <c r="B2411" t="s">
        <v>3743</v>
      </c>
      <c r="C2411" t="s">
        <v>1541</v>
      </c>
      <c r="D2411" t="s">
        <v>195</v>
      </c>
      <c r="E2411" t="s">
        <v>3744</v>
      </c>
    </row>
    <row r="2412" spans="1:5">
      <c r="A2412" s="2" t="s">
        <v>3746</v>
      </c>
      <c r="B2412" t="s">
        <v>3747</v>
      </c>
      <c r="C2412" t="s">
        <v>254</v>
      </c>
      <c r="D2412" t="s">
        <v>195</v>
      </c>
      <c r="E2412" t="s">
        <v>3748</v>
      </c>
    </row>
    <row r="2413" spans="1:5">
      <c r="A2413" s="2" t="s">
        <v>3749</v>
      </c>
      <c r="B2413" t="s">
        <v>3750</v>
      </c>
      <c r="C2413" t="s">
        <v>254</v>
      </c>
      <c r="D2413" t="s">
        <v>195</v>
      </c>
      <c r="E2413" t="s">
        <v>3751</v>
      </c>
    </row>
    <row r="2414" spans="1:5">
      <c r="A2414" s="2" t="s">
        <v>3752</v>
      </c>
      <c r="B2414" t="s">
        <v>3750</v>
      </c>
      <c r="C2414" t="s">
        <v>1541</v>
      </c>
      <c r="D2414" t="s">
        <v>195</v>
      </c>
      <c r="E2414" t="s">
        <v>3751</v>
      </c>
    </row>
    <row r="2415" spans="1:5">
      <c r="A2415" s="2" t="s">
        <v>3753</v>
      </c>
      <c r="B2415" t="s">
        <v>3750</v>
      </c>
      <c r="C2415" t="s">
        <v>530</v>
      </c>
      <c r="D2415" t="s">
        <v>195</v>
      </c>
      <c r="E2415" t="s">
        <v>3751</v>
      </c>
    </row>
    <row r="2416" spans="1:5">
      <c r="A2416" s="2" t="s">
        <v>3754</v>
      </c>
      <c r="B2416" t="s">
        <v>3750</v>
      </c>
      <c r="C2416" t="s">
        <v>767</v>
      </c>
      <c r="D2416" t="s">
        <v>195</v>
      </c>
      <c r="E2416" t="s">
        <v>3751</v>
      </c>
    </row>
    <row r="2417" spans="1:5">
      <c r="A2417" s="2" t="s">
        <v>3755</v>
      </c>
      <c r="B2417" t="s">
        <v>3750</v>
      </c>
      <c r="C2417" t="s">
        <v>556</v>
      </c>
      <c r="D2417" t="s">
        <v>195</v>
      </c>
      <c r="E2417" t="s">
        <v>3751</v>
      </c>
    </row>
    <row r="2418" spans="1:5">
      <c r="A2418" s="2" t="s">
        <v>3756</v>
      </c>
      <c r="B2418" t="s">
        <v>3750</v>
      </c>
      <c r="C2418" t="s">
        <v>883</v>
      </c>
      <c r="D2418" t="s">
        <v>195</v>
      </c>
      <c r="E2418" t="s">
        <v>3751</v>
      </c>
    </row>
    <row r="2419" spans="1:5">
      <c r="A2419" s="2" t="s">
        <v>3757</v>
      </c>
      <c r="B2419" t="s">
        <v>3758</v>
      </c>
      <c r="C2419" t="s">
        <v>254</v>
      </c>
      <c r="D2419" t="s">
        <v>195</v>
      </c>
      <c r="E2419" t="s">
        <v>3759</v>
      </c>
    </row>
    <row r="2420" spans="1:5">
      <c r="A2420" s="2" t="s">
        <v>3760</v>
      </c>
      <c r="B2420" t="s">
        <v>3758</v>
      </c>
      <c r="C2420" t="s">
        <v>1541</v>
      </c>
      <c r="D2420" t="s">
        <v>195</v>
      </c>
      <c r="E2420" t="s">
        <v>3759</v>
      </c>
    </row>
    <row r="2421" spans="1:5">
      <c r="A2421" s="2" t="s">
        <v>3761</v>
      </c>
      <c r="B2421" t="s">
        <v>3758</v>
      </c>
      <c r="C2421" t="s">
        <v>530</v>
      </c>
      <c r="D2421" t="s">
        <v>195</v>
      </c>
      <c r="E2421" t="s">
        <v>3759</v>
      </c>
    </row>
    <row r="2422" spans="1:5">
      <c r="A2422" s="2" t="s">
        <v>3762</v>
      </c>
      <c r="B2422" t="s">
        <v>3758</v>
      </c>
      <c r="C2422" t="s">
        <v>767</v>
      </c>
      <c r="D2422" t="s">
        <v>195</v>
      </c>
      <c r="E2422" t="s">
        <v>3759</v>
      </c>
    </row>
    <row r="2423" spans="1:5">
      <c r="A2423" s="2" t="s">
        <v>3763</v>
      </c>
      <c r="B2423" t="s">
        <v>3758</v>
      </c>
      <c r="C2423" t="s">
        <v>556</v>
      </c>
      <c r="D2423" t="s">
        <v>195</v>
      </c>
      <c r="E2423" t="s">
        <v>3759</v>
      </c>
    </row>
    <row r="2424" spans="1:5">
      <c r="A2424" s="2" t="s">
        <v>3764</v>
      </c>
      <c r="B2424" t="s">
        <v>3758</v>
      </c>
      <c r="C2424" t="s">
        <v>883</v>
      </c>
      <c r="D2424" t="s">
        <v>195</v>
      </c>
      <c r="E2424" t="s">
        <v>3759</v>
      </c>
    </row>
    <row r="2425" spans="1:5">
      <c r="A2425" s="2" t="s">
        <v>3765</v>
      </c>
      <c r="B2425" t="s">
        <v>3766</v>
      </c>
      <c r="C2425" t="s">
        <v>883</v>
      </c>
      <c r="D2425" t="s">
        <v>195</v>
      </c>
      <c r="E2425" t="s">
        <v>3767</v>
      </c>
    </row>
    <row r="2426" spans="1:5">
      <c r="A2426" s="2" t="s">
        <v>3768</v>
      </c>
      <c r="B2426" t="s">
        <v>3766</v>
      </c>
      <c r="C2426" t="s">
        <v>254</v>
      </c>
      <c r="D2426" t="s">
        <v>195</v>
      </c>
      <c r="E2426" t="s">
        <v>3767</v>
      </c>
    </row>
    <row r="2427" spans="1:5">
      <c r="A2427" s="2" t="s">
        <v>3769</v>
      </c>
      <c r="B2427" t="s">
        <v>3766</v>
      </c>
      <c r="C2427" t="s">
        <v>298</v>
      </c>
      <c r="D2427" t="s">
        <v>195</v>
      </c>
      <c r="E2427" t="s">
        <v>3759</v>
      </c>
    </row>
    <row r="2428" spans="1:5">
      <c r="A2428" s="2" t="s">
        <v>3770</v>
      </c>
      <c r="B2428" t="s">
        <v>3766</v>
      </c>
      <c r="C2428" t="s">
        <v>902</v>
      </c>
      <c r="D2428" t="s">
        <v>195</v>
      </c>
      <c r="E2428" t="s">
        <v>3759</v>
      </c>
    </row>
    <row r="2429" spans="1:5">
      <c r="A2429" s="2" t="s">
        <v>3771</v>
      </c>
      <c r="B2429" t="s">
        <v>3766</v>
      </c>
      <c r="C2429" t="s">
        <v>1223</v>
      </c>
      <c r="D2429" t="s">
        <v>195</v>
      </c>
      <c r="E2429" t="s">
        <v>3759</v>
      </c>
    </row>
    <row r="2430" spans="1:5">
      <c r="A2430" s="2" t="s">
        <v>3772</v>
      </c>
      <c r="B2430" t="s">
        <v>3766</v>
      </c>
      <c r="C2430" t="s">
        <v>3773</v>
      </c>
      <c r="D2430" t="s">
        <v>195</v>
      </c>
      <c r="E2430" t="s">
        <v>3759</v>
      </c>
    </row>
    <row r="2431" spans="1:5">
      <c r="A2431" s="2" t="s">
        <v>3774</v>
      </c>
      <c r="B2431" t="s">
        <v>3766</v>
      </c>
      <c r="C2431" t="s">
        <v>911</v>
      </c>
      <c r="D2431" t="s">
        <v>195</v>
      </c>
      <c r="E2431" t="s">
        <v>3767</v>
      </c>
    </row>
    <row r="2432" spans="1:5">
      <c r="A2432" s="2" t="s">
        <v>3775</v>
      </c>
      <c r="B2432" t="s">
        <v>3766</v>
      </c>
      <c r="C2432" t="s">
        <v>330</v>
      </c>
      <c r="D2432" t="s">
        <v>195</v>
      </c>
      <c r="E2432" t="s">
        <v>3767</v>
      </c>
    </row>
    <row r="2433" spans="1:5">
      <c r="A2433" s="2" t="s">
        <v>3776</v>
      </c>
      <c r="B2433" t="s">
        <v>3766</v>
      </c>
      <c r="C2433" t="s">
        <v>527</v>
      </c>
      <c r="D2433" t="s">
        <v>195</v>
      </c>
      <c r="E2433" t="s">
        <v>3767</v>
      </c>
    </row>
    <row r="2434" spans="1:5">
      <c r="A2434" s="2" t="s">
        <v>3777</v>
      </c>
      <c r="B2434" t="s">
        <v>3766</v>
      </c>
      <c r="C2434" t="s">
        <v>3778</v>
      </c>
      <c r="D2434" t="s">
        <v>195</v>
      </c>
      <c r="E2434" t="s">
        <v>3759</v>
      </c>
    </row>
    <row r="2435" spans="1:5">
      <c r="A2435" s="2" t="s">
        <v>3779</v>
      </c>
      <c r="B2435" t="s">
        <v>3766</v>
      </c>
      <c r="C2435" t="s">
        <v>1026</v>
      </c>
      <c r="D2435" t="s">
        <v>195</v>
      </c>
      <c r="E2435" t="s">
        <v>3759</v>
      </c>
    </row>
    <row r="2436" spans="1:5">
      <c r="A2436" s="2" t="s">
        <v>3780</v>
      </c>
      <c r="B2436" t="s">
        <v>3766</v>
      </c>
      <c r="C2436" t="s">
        <v>909</v>
      </c>
      <c r="D2436" t="s">
        <v>195</v>
      </c>
      <c r="E2436" t="s">
        <v>3767</v>
      </c>
    </row>
    <row r="2437" spans="1:5">
      <c r="A2437" s="2" t="s">
        <v>3781</v>
      </c>
      <c r="B2437" t="s">
        <v>3766</v>
      </c>
      <c r="C2437" t="s">
        <v>1439</v>
      </c>
      <c r="D2437" t="s">
        <v>195</v>
      </c>
      <c r="E2437" t="s">
        <v>3759</v>
      </c>
    </row>
    <row r="2438" spans="1:5">
      <c r="A2438" s="2" t="s">
        <v>3782</v>
      </c>
      <c r="B2438" t="s">
        <v>3766</v>
      </c>
      <c r="C2438" t="s">
        <v>3783</v>
      </c>
      <c r="D2438" t="s">
        <v>195</v>
      </c>
      <c r="E2438" t="s">
        <v>3759</v>
      </c>
    </row>
    <row r="2439" spans="1:5">
      <c r="A2439" s="2" t="s">
        <v>3784</v>
      </c>
      <c r="B2439" t="s">
        <v>3766</v>
      </c>
      <c r="C2439" t="s">
        <v>1441</v>
      </c>
      <c r="D2439" t="s">
        <v>195</v>
      </c>
      <c r="E2439" t="s">
        <v>3759</v>
      </c>
    </row>
    <row r="2440" spans="1:5">
      <c r="A2440" s="2" t="s">
        <v>3785</v>
      </c>
      <c r="B2440" t="s">
        <v>3766</v>
      </c>
      <c r="C2440" t="s">
        <v>1216</v>
      </c>
      <c r="D2440" t="s">
        <v>195</v>
      </c>
      <c r="E2440" t="s">
        <v>3759</v>
      </c>
    </row>
    <row r="2441" spans="1:5">
      <c r="A2441" s="2" t="s">
        <v>3786</v>
      </c>
      <c r="B2441" t="s">
        <v>3766</v>
      </c>
      <c r="C2441" t="s">
        <v>3787</v>
      </c>
      <c r="D2441" t="s">
        <v>195</v>
      </c>
      <c r="E2441" t="s">
        <v>3759</v>
      </c>
    </row>
    <row r="2442" spans="1:5">
      <c r="A2442" s="2" t="s">
        <v>3788</v>
      </c>
      <c r="B2442" s="3" t="s">
        <v>3766</v>
      </c>
      <c r="C2442" s="3" t="s">
        <v>1219</v>
      </c>
      <c r="D2442" s="3" t="s">
        <v>195</v>
      </c>
      <c r="E2442" s="3" t="s">
        <v>3759</v>
      </c>
    </row>
    <row r="2443" spans="1:5">
      <c r="A2443" s="2" t="s">
        <v>3789</v>
      </c>
      <c r="B2443" s="3" t="s">
        <v>3790</v>
      </c>
      <c r="C2443" s="3" t="s">
        <v>254</v>
      </c>
      <c r="D2443" s="3" t="s">
        <v>205</v>
      </c>
      <c r="E2443" s="3" t="s">
        <v>3791</v>
      </c>
    </row>
    <row r="2444" spans="1:5">
      <c r="A2444" s="2" t="s">
        <v>3792</v>
      </c>
      <c r="B2444" s="3" t="s">
        <v>3790</v>
      </c>
      <c r="C2444" s="3" t="s">
        <v>298</v>
      </c>
      <c r="D2444" s="3" t="s">
        <v>205</v>
      </c>
      <c r="E2444" s="3" t="s">
        <v>3791</v>
      </c>
    </row>
    <row r="2445" spans="1:5">
      <c r="A2445" s="2" t="s">
        <v>3793</v>
      </c>
      <c r="B2445" s="3" t="s">
        <v>3790</v>
      </c>
      <c r="C2445" s="3" t="s">
        <v>330</v>
      </c>
      <c r="D2445" s="3" t="s">
        <v>205</v>
      </c>
      <c r="E2445" s="3" t="s">
        <v>3791</v>
      </c>
    </row>
    <row r="2446" spans="1:5">
      <c r="A2446" s="2" t="s">
        <v>3794</v>
      </c>
      <c r="B2446" s="3" t="s">
        <v>3790</v>
      </c>
      <c r="C2446" s="3" t="s">
        <v>527</v>
      </c>
      <c r="D2446" s="3" t="s">
        <v>205</v>
      </c>
      <c r="E2446" s="3" t="s">
        <v>3791</v>
      </c>
    </row>
    <row r="2447" spans="1:5">
      <c r="A2447" s="2" t="s">
        <v>3795</v>
      </c>
      <c r="B2447" s="3" t="s">
        <v>3790</v>
      </c>
      <c r="C2447" s="3" t="s">
        <v>1026</v>
      </c>
      <c r="D2447" s="3" t="s">
        <v>205</v>
      </c>
      <c r="E2447" s="3" t="s">
        <v>3796</v>
      </c>
    </row>
    <row r="2448" spans="1:5">
      <c r="A2448" s="2" t="s">
        <v>3797</v>
      </c>
      <c r="B2448" s="3" t="s">
        <v>3790</v>
      </c>
      <c r="C2448" s="3" t="s">
        <v>1223</v>
      </c>
      <c r="D2448" s="3" t="s">
        <v>205</v>
      </c>
      <c r="E2448" s="3" t="s">
        <v>3796</v>
      </c>
    </row>
    <row r="2449" spans="1:5">
      <c r="A2449" s="2" t="s">
        <v>3798</v>
      </c>
      <c r="B2449" s="3" t="s">
        <v>3790</v>
      </c>
      <c r="C2449" s="3" t="s">
        <v>1212</v>
      </c>
      <c r="D2449" s="3" t="s">
        <v>205</v>
      </c>
      <c r="E2449" s="3" t="s">
        <v>3796</v>
      </c>
    </row>
    <row r="2450" spans="1:5">
      <c r="A2450" s="2" t="s">
        <v>3799</v>
      </c>
      <c r="B2450" s="3" t="s">
        <v>3790</v>
      </c>
      <c r="C2450" s="3" t="s">
        <v>1210</v>
      </c>
      <c r="D2450" s="3" t="s">
        <v>205</v>
      </c>
      <c r="E2450" s="3" t="s">
        <v>3796</v>
      </c>
    </row>
    <row r="2451" spans="1:5">
      <c r="A2451" s="2" t="s">
        <v>3800</v>
      </c>
      <c r="B2451" s="3" t="s">
        <v>3790</v>
      </c>
      <c r="C2451" s="3" t="s">
        <v>1439</v>
      </c>
      <c r="D2451" s="3" t="s">
        <v>205</v>
      </c>
      <c r="E2451" s="3" t="s">
        <v>3796</v>
      </c>
    </row>
    <row r="2452" spans="1:5">
      <c r="A2452" s="2" t="s">
        <v>3801</v>
      </c>
      <c r="B2452" s="3" t="s">
        <v>3790</v>
      </c>
      <c r="C2452" s="3" t="s">
        <v>1441</v>
      </c>
      <c r="D2452" s="3" t="s">
        <v>205</v>
      </c>
      <c r="E2452" s="3" t="s">
        <v>3796</v>
      </c>
    </row>
    <row r="2453" spans="1:5">
      <c r="A2453" s="2" t="s">
        <v>3802</v>
      </c>
      <c r="B2453" s="3" t="s">
        <v>3790</v>
      </c>
      <c r="C2453" s="3" t="s">
        <v>1965</v>
      </c>
      <c r="D2453" s="3" t="s">
        <v>205</v>
      </c>
      <c r="E2453" s="3" t="s">
        <v>3796</v>
      </c>
    </row>
    <row r="2454" spans="1:5">
      <c r="A2454" s="2" t="s">
        <v>3803</v>
      </c>
      <c r="B2454" t="s">
        <v>3790</v>
      </c>
      <c r="C2454" t="s">
        <v>536</v>
      </c>
      <c r="D2454" t="s">
        <v>205</v>
      </c>
      <c r="E2454" t="s">
        <v>3791</v>
      </c>
    </row>
    <row r="2455" spans="1:5">
      <c r="A2455" s="2" t="s">
        <v>3804</v>
      </c>
      <c r="B2455" t="s">
        <v>3790</v>
      </c>
      <c r="C2455" t="s">
        <v>530</v>
      </c>
      <c r="D2455" t="s">
        <v>205</v>
      </c>
      <c r="E2455" t="s">
        <v>3791</v>
      </c>
    </row>
    <row r="2456" spans="1:5">
      <c r="A2456" s="2" t="s">
        <v>3805</v>
      </c>
      <c r="B2456" t="s">
        <v>3790</v>
      </c>
      <c r="C2456" t="s">
        <v>534</v>
      </c>
      <c r="D2456" t="s">
        <v>205</v>
      </c>
      <c r="E2456" t="s">
        <v>3791</v>
      </c>
    </row>
    <row r="2457" spans="1:5">
      <c r="A2457" s="2" t="s">
        <v>3806</v>
      </c>
      <c r="B2457" t="s">
        <v>3790</v>
      </c>
      <c r="C2457" t="s">
        <v>2714</v>
      </c>
      <c r="D2457" t="s">
        <v>205</v>
      </c>
      <c r="E2457" t="s">
        <v>3796</v>
      </c>
    </row>
    <row r="2458" spans="1:5">
      <c r="A2458" s="2" t="s">
        <v>3807</v>
      </c>
      <c r="B2458" t="s">
        <v>3790</v>
      </c>
      <c r="C2458" t="s">
        <v>2716</v>
      </c>
      <c r="D2458" t="s">
        <v>205</v>
      </c>
      <c r="E2458" t="s">
        <v>3796</v>
      </c>
    </row>
    <row r="2459" spans="1:5">
      <c r="A2459" s="2" t="s">
        <v>3808</v>
      </c>
      <c r="B2459" t="s">
        <v>3790</v>
      </c>
      <c r="C2459" t="s">
        <v>1376</v>
      </c>
      <c r="D2459" t="s">
        <v>205</v>
      </c>
      <c r="E2459" t="s">
        <v>3796</v>
      </c>
    </row>
    <row r="2460" spans="1:5">
      <c r="A2460" s="2" t="s">
        <v>3809</v>
      </c>
      <c r="B2460" t="s">
        <v>3790</v>
      </c>
      <c r="C2460" t="s">
        <v>791</v>
      </c>
      <c r="D2460" t="s">
        <v>205</v>
      </c>
      <c r="E2460" t="s">
        <v>3791</v>
      </c>
    </row>
    <row r="2461" spans="1:5">
      <c r="A2461" s="2" t="s">
        <v>3810</v>
      </c>
      <c r="B2461" t="s">
        <v>3790</v>
      </c>
      <c r="C2461" t="s">
        <v>3811</v>
      </c>
      <c r="D2461" t="s">
        <v>205</v>
      </c>
      <c r="E2461" t="s">
        <v>3812</v>
      </c>
    </row>
    <row r="2462" spans="1:5">
      <c r="A2462" s="2" t="s">
        <v>3813</v>
      </c>
      <c r="B2462" t="s">
        <v>3790</v>
      </c>
      <c r="C2462" t="s">
        <v>3814</v>
      </c>
      <c r="D2462" t="s">
        <v>205</v>
      </c>
      <c r="E2462" t="s">
        <v>3815</v>
      </c>
    </row>
    <row r="2463" spans="1:5">
      <c r="A2463" s="2" t="s">
        <v>3816</v>
      </c>
      <c r="B2463" t="s">
        <v>3790</v>
      </c>
      <c r="C2463" t="s">
        <v>313</v>
      </c>
      <c r="D2463" t="s">
        <v>205</v>
      </c>
      <c r="E2463" t="s">
        <v>3791</v>
      </c>
    </row>
    <row r="2464" spans="1:5">
      <c r="A2464" s="2" t="s">
        <v>3817</v>
      </c>
      <c r="B2464" t="s">
        <v>3818</v>
      </c>
      <c r="C2464" t="s">
        <v>254</v>
      </c>
      <c r="D2464" t="s">
        <v>189</v>
      </c>
      <c r="E2464" t="s">
        <v>3819</v>
      </c>
    </row>
    <row r="2465" spans="1:5">
      <c r="A2465" s="2" t="s">
        <v>3820</v>
      </c>
      <c r="B2465" t="s">
        <v>3818</v>
      </c>
      <c r="C2465" t="s">
        <v>530</v>
      </c>
      <c r="D2465" t="s">
        <v>189</v>
      </c>
      <c r="E2465" t="s">
        <v>3819</v>
      </c>
    </row>
    <row r="2466" spans="1:5">
      <c r="A2466" s="2" t="s">
        <v>3821</v>
      </c>
      <c r="B2466" t="s">
        <v>3818</v>
      </c>
      <c r="C2466" t="s">
        <v>534</v>
      </c>
      <c r="D2466" t="s">
        <v>189</v>
      </c>
      <c r="E2466" t="s">
        <v>3819</v>
      </c>
    </row>
    <row r="2467" spans="1:5">
      <c r="A2467" s="2" t="s">
        <v>3822</v>
      </c>
      <c r="B2467" t="s">
        <v>3818</v>
      </c>
      <c r="C2467" t="s">
        <v>532</v>
      </c>
      <c r="D2467" t="s">
        <v>189</v>
      </c>
      <c r="E2467" t="s">
        <v>3819</v>
      </c>
    </row>
    <row r="2468" spans="1:5">
      <c r="A2468" s="2" t="s">
        <v>3823</v>
      </c>
      <c r="B2468" t="s">
        <v>3824</v>
      </c>
      <c r="C2468" t="s">
        <v>254</v>
      </c>
      <c r="D2468" t="s">
        <v>937</v>
      </c>
      <c r="E2468" t="s">
        <v>3825</v>
      </c>
    </row>
    <row r="2469" spans="1:5">
      <c r="A2469" s="2" t="s">
        <v>3826</v>
      </c>
      <c r="B2469" t="s">
        <v>3827</v>
      </c>
      <c r="C2469" t="s">
        <v>254</v>
      </c>
      <c r="D2469" t="s">
        <v>194</v>
      </c>
      <c r="E2469" t="s">
        <v>3828</v>
      </c>
    </row>
    <row r="2470" spans="1:5">
      <c r="A2470" s="2" t="s">
        <v>3829</v>
      </c>
      <c r="B2470" t="s">
        <v>3827</v>
      </c>
      <c r="C2470" t="s">
        <v>1541</v>
      </c>
      <c r="D2470" t="s">
        <v>194</v>
      </c>
      <c r="E2470" t="s">
        <v>3828</v>
      </c>
    </row>
    <row r="2471" spans="1:5">
      <c r="A2471" s="2" t="s">
        <v>3830</v>
      </c>
      <c r="B2471" t="s">
        <v>3827</v>
      </c>
      <c r="C2471" t="s">
        <v>330</v>
      </c>
      <c r="D2471" t="s">
        <v>194</v>
      </c>
      <c r="E2471" t="s">
        <v>3828</v>
      </c>
    </row>
    <row r="2472" spans="1:5">
      <c r="A2472" s="2" t="s">
        <v>3831</v>
      </c>
      <c r="B2472" t="s">
        <v>3827</v>
      </c>
      <c r="C2472" t="s">
        <v>2867</v>
      </c>
      <c r="D2472" t="s">
        <v>194</v>
      </c>
      <c r="E2472" t="s">
        <v>3828</v>
      </c>
    </row>
    <row r="2473" spans="1:5">
      <c r="A2473" s="2" t="s">
        <v>3832</v>
      </c>
      <c r="B2473" s="13" t="s">
        <v>3827</v>
      </c>
      <c r="C2473" s="13" t="s">
        <v>298</v>
      </c>
      <c r="D2473" s="13" t="s">
        <v>194</v>
      </c>
      <c r="E2473" s="13" t="s">
        <v>3828</v>
      </c>
    </row>
    <row r="2474" spans="1:5">
      <c r="A2474" s="2" t="s">
        <v>3833</v>
      </c>
      <c r="B2474" s="13" t="s">
        <v>3827</v>
      </c>
      <c r="C2474" s="13" t="s">
        <v>1560</v>
      </c>
      <c r="D2474" s="13" t="s">
        <v>194</v>
      </c>
      <c r="E2474" s="13" t="s">
        <v>3828</v>
      </c>
    </row>
    <row r="2475" spans="1:5">
      <c r="A2475" s="2" t="s">
        <v>3834</v>
      </c>
      <c r="B2475" s="13" t="s">
        <v>3835</v>
      </c>
      <c r="C2475" s="13" t="s">
        <v>254</v>
      </c>
      <c r="D2475" s="13" t="s">
        <v>923</v>
      </c>
      <c r="E2475" s="13" t="s">
        <v>1128</v>
      </c>
    </row>
    <row r="2476" spans="1:5">
      <c r="A2476" s="2" t="s">
        <v>3836</v>
      </c>
      <c r="B2476" t="s">
        <v>3837</v>
      </c>
      <c r="C2476" t="s">
        <v>298</v>
      </c>
      <c r="D2476" t="s">
        <v>193</v>
      </c>
      <c r="E2476" t="s">
        <v>3838</v>
      </c>
    </row>
    <row r="2477" spans="1:5">
      <c r="A2477" s="2" t="s">
        <v>3839</v>
      </c>
      <c r="B2477" t="s">
        <v>3837</v>
      </c>
      <c r="C2477">
        <v>31</v>
      </c>
      <c r="D2477" t="s">
        <v>193</v>
      </c>
      <c r="E2477" t="s">
        <v>3838</v>
      </c>
    </row>
    <row r="2478" spans="1:5">
      <c r="A2478" s="2" t="s">
        <v>3840</v>
      </c>
      <c r="B2478" t="s">
        <v>3837</v>
      </c>
      <c r="C2478">
        <v>32</v>
      </c>
      <c r="D2478" t="s">
        <v>193</v>
      </c>
      <c r="E2478" t="s">
        <v>3838</v>
      </c>
    </row>
    <row r="2479" spans="1:5">
      <c r="A2479" s="2" t="s">
        <v>3841</v>
      </c>
      <c r="B2479" t="s">
        <v>3837</v>
      </c>
      <c r="C2479">
        <v>41</v>
      </c>
      <c r="D2479" t="s">
        <v>193</v>
      </c>
      <c r="E2479" t="s">
        <v>3838</v>
      </c>
    </row>
    <row r="2480" spans="1:5">
      <c r="A2480" s="2" t="s">
        <v>3842</v>
      </c>
      <c r="B2480" t="s">
        <v>3837</v>
      </c>
      <c r="C2480">
        <v>42</v>
      </c>
      <c r="D2480" t="s">
        <v>193</v>
      </c>
      <c r="E2480" t="s">
        <v>3838</v>
      </c>
    </row>
    <row r="2481" spans="1:5">
      <c r="A2481" s="2" t="s">
        <v>3843</v>
      </c>
      <c r="B2481" t="s">
        <v>3837</v>
      </c>
      <c r="C2481" t="s">
        <v>1560</v>
      </c>
      <c r="D2481" t="s">
        <v>193</v>
      </c>
      <c r="E2481" t="s">
        <v>3838</v>
      </c>
    </row>
    <row r="2482" spans="1:5">
      <c r="A2482" s="2" t="str">
        <f>B2482&amp;C2482</f>
        <v>ZVG10R-DHXGBD43</v>
      </c>
      <c r="B2482" t="s">
        <v>3837</v>
      </c>
      <c r="C2482">
        <v>43</v>
      </c>
      <c r="D2482" t="s">
        <v>193</v>
      </c>
      <c r="E2482" t="s">
        <v>3838</v>
      </c>
    </row>
    <row r="2483" spans="1:5">
      <c r="A2483" s="2" t="s">
        <v>3844</v>
      </c>
      <c r="B2483" s="19" t="s">
        <v>3837</v>
      </c>
      <c r="C2483" s="19" t="s">
        <v>330</v>
      </c>
      <c r="D2483" t="s">
        <v>193</v>
      </c>
      <c r="E2483" t="s">
        <v>3838</v>
      </c>
    </row>
    <row r="2484" spans="1:5">
      <c r="A2484" s="2" t="s">
        <v>3845</v>
      </c>
      <c r="B2484" s="19" t="s">
        <v>3837</v>
      </c>
      <c r="C2484" s="19" t="s">
        <v>2867</v>
      </c>
      <c r="D2484" t="s">
        <v>193</v>
      </c>
      <c r="E2484" t="s">
        <v>3838</v>
      </c>
    </row>
    <row r="2485" spans="1:5">
      <c r="A2485" s="2" t="s">
        <v>3846</v>
      </c>
      <c r="B2485" t="s">
        <v>3837</v>
      </c>
      <c r="C2485" t="s">
        <v>254</v>
      </c>
      <c r="D2485" t="s">
        <v>193</v>
      </c>
      <c r="E2485" t="s">
        <v>3838</v>
      </c>
    </row>
    <row r="2486" spans="1:5">
      <c r="A2486" s="2" t="s">
        <v>3847</v>
      </c>
      <c r="B2486" t="s">
        <v>3837</v>
      </c>
      <c r="C2486" t="s">
        <v>1541</v>
      </c>
      <c r="D2486" t="s">
        <v>193</v>
      </c>
      <c r="E2486" t="s">
        <v>3838</v>
      </c>
    </row>
    <row r="2487" spans="1:5">
      <c r="A2487" s="2" t="s">
        <v>3848</v>
      </c>
      <c r="B2487" t="s">
        <v>3837</v>
      </c>
      <c r="C2487" t="s">
        <v>534</v>
      </c>
      <c r="D2487" t="s">
        <v>193</v>
      </c>
      <c r="E2487" t="s">
        <v>3838</v>
      </c>
    </row>
    <row r="2488" spans="1:5">
      <c r="A2488" s="2" t="s">
        <v>3849</v>
      </c>
      <c r="B2488" t="s">
        <v>3837</v>
      </c>
      <c r="C2488" t="s">
        <v>1556</v>
      </c>
      <c r="D2488" t="s">
        <v>193</v>
      </c>
      <c r="E2488" t="s">
        <v>3838</v>
      </c>
    </row>
    <row r="2489" spans="1:5">
      <c r="A2489" s="2" t="s">
        <v>3850</v>
      </c>
      <c r="B2489" t="s">
        <v>3837</v>
      </c>
      <c r="C2489" t="s">
        <v>532</v>
      </c>
      <c r="D2489" t="s">
        <v>193</v>
      </c>
      <c r="E2489" t="s">
        <v>3838</v>
      </c>
    </row>
    <row r="2490" spans="1:5">
      <c r="A2490" s="2" t="s">
        <v>3851</v>
      </c>
      <c r="B2490" t="s">
        <v>3837</v>
      </c>
      <c r="C2490" t="s">
        <v>2412</v>
      </c>
      <c r="D2490" t="s">
        <v>193</v>
      </c>
      <c r="E2490" t="s">
        <v>3838</v>
      </c>
    </row>
    <row r="2491" spans="1:5">
      <c r="A2491" s="2" t="s">
        <v>3852</v>
      </c>
      <c r="B2491" t="s">
        <v>3837</v>
      </c>
      <c r="C2491" t="s">
        <v>590</v>
      </c>
      <c r="D2491" t="s">
        <v>193</v>
      </c>
      <c r="E2491" t="s">
        <v>3853</v>
      </c>
    </row>
    <row r="2492" spans="1:5">
      <c r="A2492" s="2" t="s">
        <v>3854</v>
      </c>
      <c r="B2492" t="s">
        <v>3837</v>
      </c>
      <c r="C2492" t="s">
        <v>326</v>
      </c>
      <c r="D2492" t="s">
        <v>193</v>
      </c>
      <c r="E2492" t="s">
        <v>3853</v>
      </c>
    </row>
    <row r="2493" spans="1:5">
      <c r="A2493" s="2" t="s">
        <v>3855</v>
      </c>
      <c r="B2493" t="s">
        <v>3837</v>
      </c>
      <c r="C2493" t="s">
        <v>592</v>
      </c>
      <c r="D2493" t="s">
        <v>193</v>
      </c>
      <c r="E2493" t="s">
        <v>3853</v>
      </c>
    </row>
    <row r="2494" spans="1:5">
      <c r="A2494" s="2" t="s">
        <v>3856</v>
      </c>
      <c r="B2494" t="s">
        <v>3837</v>
      </c>
      <c r="C2494" t="s">
        <v>909</v>
      </c>
      <c r="D2494" t="s">
        <v>193</v>
      </c>
      <c r="E2494" t="s">
        <v>3853</v>
      </c>
    </row>
    <row r="2495" spans="1:5">
      <c r="A2495" s="2" t="s">
        <v>3857</v>
      </c>
      <c r="B2495" t="s">
        <v>3837</v>
      </c>
      <c r="C2495" t="s">
        <v>902</v>
      </c>
      <c r="D2495" t="s">
        <v>193</v>
      </c>
      <c r="E2495" t="s">
        <v>3853</v>
      </c>
    </row>
    <row r="2496" spans="1:5">
      <c r="A2496" s="2" t="s">
        <v>3858</v>
      </c>
      <c r="B2496" t="s">
        <v>3837</v>
      </c>
      <c r="C2496" t="s">
        <v>911</v>
      </c>
      <c r="D2496" t="s">
        <v>193</v>
      </c>
      <c r="E2496" t="s">
        <v>3853</v>
      </c>
    </row>
    <row r="2497" spans="1:5">
      <c r="A2497" s="2" t="s">
        <v>3859</v>
      </c>
      <c r="B2497" t="s">
        <v>3837</v>
      </c>
      <c r="C2497" t="s">
        <v>558</v>
      </c>
      <c r="D2497" t="s">
        <v>193</v>
      </c>
      <c r="E2497" t="s">
        <v>3838</v>
      </c>
    </row>
    <row r="2498" spans="1:5">
      <c r="A2498" s="2" t="s">
        <v>3860</v>
      </c>
      <c r="B2498" s="19" t="s">
        <v>3837</v>
      </c>
      <c r="C2498" s="19" t="s">
        <v>573</v>
      </c>
      <c r="D2498" t="s">
        <v>193</v>
      </c>
      <c r="E2498" t="s">
        <v>3838</v>
      </c>
    </row>
    <row r="2499" spans="1:5">
      <c r="A2499" s="2" t="s">
        <v>3861</v>
      </c>
      <c r="B2499" s="19" t="s">
        <v>3862</v>
      </c>
      <c r="C2499" s="19" t="s">
        <v>530</v>
      </c>
      <c r="D2499" t="s">
        <v>206</v>
      </c>
      <c r="E2499" t="s">
        <v>3863</v>
      </c>
    </row>
    <row r="2500" spans="1:5">
      <c r="A2500" s="2" t="s">
        <v>3861</v>
      </c>
      <c r="B2500" s="19" t="s">
        <v>3862</v>
      </c>
      <c r="C2500" s="19" t="s">
        <v>530</v>
      </c>
      <c r="D2500" t="s">
        <v>206</v>
      </c>
      <c r="E2500" t="s">
        <v>3863</v>
      </c>
    </row>
    <row r="2501" spans="1:5">
      <c r="A2501" s="2" t="s">
        <v>3864</v>
      </c>
      <c r="B2501" s="19" t="s">
        <v>3862</v>
      </c>
      <c r="C2501" s="19" t="s">
        <v>254</v>
      </c>
      <c r="D2501" t="s">
        <v>206</v>
      </c>
      <c r="E2501" t="s">
        <v>3863</v>
      </c>
    </row>
    <row r="2502" spans="1:5">
      <c r="A2502" s="2" t="s">
        <v>3865</v>
      </c>
      <c r="B2502" s="19" t="s">
        <v>3866</v>
      </c>
      <c r="C2502" s="19" t="s">
        <v>254</v>
      </c>
      <c r="D2502" t="s">
        <v>206</v>
      </c>
      <c r="E2502" t="s">
        <v>3863</v>
      </c>
    </row>
    <row r="2503" spans="1:5">
      <c r="A2503" s="2" t="s">
        <v>3867</v>
      </c>
      <c r="B2503" s="19" t="s">
        <v>3866</v>
      </c>
      <c r="C2503" s="19" t="s">
        <v>298</v>
      </c>
      <c r="D2503" t="s">
        <v>206</v>
      </c>
      <c r="E2503" t="s">
        <v>3863</v>
      </c>
    </row>
    <row r="2504" spans="1:5">
      <c r="A2504" s="2" t="s">
        <v>3868</v>
      </c>
      <c r="B2504" s="19" t="s">
        <v>3869</v>
      </c>
      <c r="C2504" s="19" t="s">
        <v>330</v>
      </c>
      <c r="D2504" t="s">
        <v>206</v>
      </c>
      <c r="E2504" t="s">
        <v>3870</v>
      </c>
    </row>
    <row r="2505" spans="1:5">
      <c r="A2505" s="2" t="s">
        <v>3871</v>
      </c>
      <c r="B2505" s="19" t="s">
        <v>3869</v>
      </c>
      <c r="C2505" s="19" t="s">
        <v>298</v>
      </c>
      <c r="D2505" t="s">
        <v>206</v>
      </c>
      <c r="E2505" t="s">
        <v>3870</v>
      </c>
    </row>
    <row r="2506" spans="1:5">
      <c r="A2506" s="2" t="s">
        <v>3872</v>
      </c>
      <c r="B2506" t="s">
        <v>3873</v>
      </c>
      <c r="C2506" t="s">
        <v>254</v>
      </c>
      <c r="D2506" t="s">
        <v>206</v>
      </c>
      <c r="E2506" t="s">
        <v>3870</v>
      </c>
    </row>
    <row r="2507" spans="1:5">
      <c r="A2507" s="2" t="s">
        <v>3874</v>
      </c>
      <c r="B2507" s="20" t="s">
        <v>3875</v>
      </c>
      <c r="C2507" s="20" t="s">
        <v>298</v>
      </c>
      <c r="D2507" t="s">
        <v>195</v>
      </c>
      <c r="E2507" t="s">
        <v>3759</v>
      </c>
    </row>
    <row r="2508" spans="1:5">
      <c r="A2508" s="2" t="s">
        <v>3876</v>
      </c>
      <c r="B2508" s="20" t="s">
        <v>3875</v>
      </c>
      <c r="C2508" s="20" t="s">
        <v>254</v>
      </c>
      <c r="D2508" t="s">
        <v>195</v>
      </c>
      <c r="E2508" t="s">
        <v>3767</v>
      </c>
    </row>
    <row r="2509" spans="1:5">
      <c r="A2509" s="2" t="s">
        <v>3877</v>
      </c>
      <c r="B2509" s="20" t="s">
        <v>3875</v>
      </c>
      <c r="C2509" s="20" t="s">
        <v>902</v>
      </c>
      <c r="D2509" t="s">
        <v>195</v>
      </c>
      <c r="E2509" t="s">
        <v>3759</v>
      </c>
    </row>
    <row r="2510" spans="1:5">
      <c r="A2510" s="2" t="s">
        <v>3878</v>
      </c>
      <c r="B2510" s="20" t="s">
        <v>3875</v>
      </c>
      <c r="C2510" s="20" t="s">
        <v>883</v>
      </c>
      <c r="D2510" t="s">
        <v>195</v>
      </c>
      <c r="E2510" t="s">
        <v>3767</v>
      </c>
    </row>
    <row r="2511" spans="1:5">
      <c r="A2511" s="2" t="s">
        <v>3879</v>
      </c>
      <c r="B2511" s="21" t="s">
        <v>3880</v>
      </c>
      <c r="C2511" s="20" t="s">
        <v>527</v>
      </c>
      <c r="D2511" s="4" t="s">
        <v>197</v>
      </c>
      <c r="E2511" s="4" t="s">
        <v>3881</v>
      </c>
    </row>
    <row r="2512" spans="1:5">
      <c r="A2512" s="2" t="s">
        <v>3882</v>
      </c>
      <c r="B2512" s="21" t="s">
        <v>3880</v>
      </c>
      <c r="C2512" s="20">
        <v>27</v>
      </c>
      <c r="D2512" s="4" t="s">
        <v>197</v>
      </c>
      <c r="E2512" s="4" t="s">
        <v>3881</v>
      </c>
    </row>
    <row r="2513" spans="1:5">
      <c r="A2513" s="2" t="s">
        <v>3883</v>
      </c>
      <c r="B2513" s="21" t="s">
        <v>3880</v>
      </c>
      <c r="C2513" s="20" t="s">
        <v>909</v>
      </c>
      <c r="D2513" s="4" t="s">
        <v>197</v>
      </c>
      <c r="E2513" s="4" t="s">
        <v>3881</v>
      </c>
    </row>
    <row r="2514" spans="1:5">
      <c r="A2514" s="2" t="s">
        <v>3884</v>
      </c>
      <c r="B2514" t="s">
        <v>3880</v>
      </c>
      <c r="C2514" t="s">
        <v>330</v>
      </c>
      <c r="D2514" s="5" t="s">
        <v>197</v>
      </c>
      <c r="E2514" s="5" t="s">
        <v>3881</v>
      </c>
    </row>
    <row r="2515" spans="1:5">
      <c r="A2515" s="2" t="s">
        <v>3885</v>
      </c>
      <c r="B2515" t="s">
        <v>3880</v>
      </c>
      <c r="C2515" s="14" t="s">
        <v>911</v>
      </c>
      <c r="D2515" t="s">
        <v>197</v>
      </c>
      <c r="E2515" t="s">
        <v>3881</v>
      </c>
    </row>
    <row r="2516" spans="1:5">
      <c r="A2516" s="2" t="s">
        <v>3886</v>
      </c>
      <c r="B2516" t="s">
        <v>3880</v>
      </c>
      <c r="C2516" s="14" t="s">
        <v>254</v>
      </c>
      <c r="D2516" t="s">
        <v>197</v>
      </c>
      <c r="E2516" t="s">
        <v>3881</v>
      </c>
    </row>
    <row r="2517" spans="1:5">
      <c r="A2517" s="2" t="s">
        <v>3887</v>
      </c>
      <c r="B2517" t="s">
        <v>3880</v>
      </c>
      <c r="C2517" t="s">
        <v>883</v>
      </c>
      <c r="D2517" t="s">
        <v>197</v>
      </c>
      <c r="E2517" t="s">
        <v>3881</v>
      </c>
    </row>
    <row r="2518" spans="1:5">
      <c r="A2518" s="2" t="s">
        <v>3888</v>
      </c>
      <c r="B2518" t="s">
        <v>3880</v>
      </c>
      <c r="C2518" t="s">
        <v>536</v>
      </c>
      <c r="D2518" s="2" t="s">
        <v>197</v>
      </c>
      <c r="E2518" s="2" t="s">
        <v>3881</v>
      </c>
    </row>
    <row r="2519" spans="1:5">
      <c r="A2519" s="2" t="s">
        <v>3889</v>
      </c>
      <c r="B2519" s="22" t="s">
        <v>3880</v>
      </c>
      <c r="C2519" s="22" t="s">
        <v>532</v>
      </c>
      <c r="D2519" t="s">
        <v>197</v>
      </c>
      <c r="E2519" t="s">
        <v>3881</v>
      </c>
    </row>
    <row r="2520" spans="1:5">
      <c r="A2520" s="2" t="s">
        <v>3890</v>
      </c>
      <c r="B2520" s="22" t="s">
        <v>3880</v>
      </c>
      <c r="C2520" s="22" t="s">
        <v>880</v>
      </c>
      <c r="D2520" t="s">
        <v>197</v>
      </c>
      <c r="E2520" t="s">
        <v>3881</v>
      </c>
    </row>
    <row r="2521" spans="1:5">
      <c r="A2521" s="2" t="s">
        <v>3891</v>
      </c>
      <c r="B2521" s="22" t="s">
        <v>3880</v>
      </c>
      <c r="C2521" s="22" t="s">
        <v>592</v>
      </c>
      <c r="D2521" t="s">
        <v>197</v>
      </c>
      <c r="E2521" t="s">
        <v>3881</v>
      </c>
    </row>
    <row r="2522" spans="1:5">
      <c r="A2522" s="2" t="s">
        <v>3892</v>
      </c>
      <c r="B2522" s="20" t="s">
        <v>3880</v>
      </c>
      <c r="C2522" s="20" t="s">
        <v>326</v>
      </c>
      <c r="D2522" s="5" t="s">
        <v>197</v>
      </c>
      <c r="E2522" s="5" t="s">
        <v>3881</v>
      </c>
    </row>
    <row r="2523" spans="1:5">
      <c r="A2523" s="2" t="s">
        <v>3892</v>
      </c>
      <c r="B2523" s="20" t="s">
        <v>3893</v>
      </c>
      <c r="C2523" s="20" t="s">
        <v>326</v>
      </c>
      <c r="D2523" s="5" t="s">
        <v>197</v>
      </c>
      <c r="E2523" s="5" t="s">
        <v>3881</v>
      </c>
    </row>
    <row r="2524" spans="1:5">
      <c r="A2524" s="2" t="s">
        <v>3894</v>
      </c>
      <c r="B2524" s="20" t="s">
        <v>3880</v>
      </c>
      <c r="C2524" s="20" t="s">
        <v>1271</v>
      </c>
      <c r="D2524" t="s">
        <v>197</v>
      </c>
      <c r="E2524" t="s">
        <v>3881</v>
      </c>
    </row>
    <row r="2525" spans="1:5">
      <c r="A2525" s="2" t="str">
        <f>B2525&amp;C2525</f>
        <v>ZWE211R-GEXXBD28</v>
      </c>
      <c r="B2525" s="20" t="s">
        <v>3893</v>
      </c>
      <c r="C2525" s="20">
        <v>28</v>
      </c>
      <c r="D2525" t="s">
        <v>197</v>
      </c>
      <c r="E2525" t="s">
        <v>3881</v>
      </c>
    </row>
    <row r="2526" spans="1:5">
      <c r="A2526" s="2" t="str">
        <f>B2526&amp;C2526</f>
        <v>ZWE211R-GEXXBD29</v>
      </c>
      <c r="B2526" s="20" t="s">
        <v>3893</v>
      </c>
      <c r="C2526" s="20">
        <v>29</v>
      </c>
      <c r="D2526" t="s">
        <v>197</v>
      </c>
      <c r="E2526" t="s">
        <v>3881</v>
      </c>
    </row>
    <row r="2527" spans="1:5">
      <c r="A2527" s="2" t="s">
        <v>3895</v>
      </c>
      <c r="B2527" s="20" t="s">
        <v>3880</v>
      </c>
      <c r="C2527" s="20" t="s">
        <v>3896</v>
      </c>
      <c r="D2527" t="s">
        <v>197</v>
      </c>
      <c r="E2527" t="s">
        <v>3881</v>
      </c>
    </row>
    <row r="2528" spans="1:5">
      <c r="A2528" s="2" t="s">
        <v>3897</v>
      </c>
      <c r="B2528" s="20" t="s">
        <v>3898</v>
      </c>
      <c r="C2528" s="20" t="s">
        <v>254</v>
      </c>
      <c r="D2528" t="s">
        <v>179</v>
      </c>
      <c r="E2528" t="s">
        <v>3899</v>
      </c>
    </row>
    <row r="2529" spans="1:5">
      <c r="A2529" s="2" t="s">
        <v>3900</v>
      </c>
      <c r="B2529" s="20" t="s">
        <v>3898</v>
      </c>
      <c r="C2529" s="20" t="s">
        <v>1541</v>
      </c>
      <c r="D2529" s="2" t="s">
        <v>179</v>
      </c>
      <c r="E2529" s="2" t="s">
        <v>3899</v>
      </c>
    </row>
    <row r="2530" spans="1:5">
      <c r="A2530" s="2" t="s">
        <v>3901</v>
      </c>
      <c r="B2530" s="20" t="s">
        <v>3898</v>
      </c>
      <c r="C2530" s="20" t="s">
        <v>298</v>
      </c>
      <c r="D2530" t="s">
        <v>179</v>
      </c>
      <c r="E2530" t="s">
        <v>3899</v>
      </c>
    </row>
    <row r="2531" spans="1:5">
      <c r="A2531" s="2" t="s">
        <v>3902</v>
      </c>
      <c r="B2531" s="20" t="s">
        <v>3898</v>
      </c>
      <c r="C2531" s="20" t="s">
        <v>1560</v>
      </c>
      <c r="D2531" t="s">
        <v>179</v>
      </c>
      <c r="E2531" t="s">
        <v>3899</v>
      </c>
    </row>
    <row r="2532" spans="1:5">
      <c r="A2532" s="2" t="s">
        <v>3903</v>
      </c>
      <c r="B2532" s="20" t="s">
        <v>3904</v>
      </c>
      <c r="C2532" s="20" t="s">
        <v>1556</v>
      </c>
      <c r="D2532" s="2" t="s">
        <v>179</v>
      </c>
      <c r="E2532" s="2" t="s">
        <v>3899</v>
      </c>
    </row>
    <row r="2533" spans="1:5">
      <c r="A2533" s="2" t="s">
        <v>3905</v>
      </c>
      <c r="B2533" s="20" t="s">
        <v>3904</v>
      </c>
      <c r="C2533" s="20" t="s">
        <v>532</v>
      </c>
      <c r="D2533" s="2" t="s">
        <v>179</v>
      </c>
      <c r="E2533" s="2" t="s">
        <v>3899</v>
      </c>
    </row>
    <row r="2534" spans="1:5">
      <c r="A2534" t="s">
        <v>3906</v>
      </c>
      <c r="B2534" t="s">
        <v>3904</v>
      </c>
      <c r="C2534" t="s">
        <v>536</v>
      </c>
      <c r="D2534" t="s">
        <v>179</v>
      </c>
      <c r="E2534" t="s">
        <v>3899</v>
      </c>
    </row>
    <row r="2535" spans="1:5">
      <c r="A2535" t="s">
        <v>3907</v>
      </c>
      <c r="B2535" t="s">
        <v>3904</v>
      </c>
      <c r="C2535" t="s">
        <v>2412</v>
      </c>
      <c r="D2535" t="s">
        <v>179</v>
      </c>
      <c r="E2535" t="s">
        <v>3899</v>
      </c>
    </row>
    <row r="2536" spans="1:5">
      <c r="A2536" t="s">
        <v>3908</v>
      </c>
      <c r="B2536" t="s">
        <v>3904</v>
      </c>
      <c r="C2536" t="s">
        <v>2622</v>
      </c>
      <c r="D2536" t="s">
        <v>179</v>
      </c>
      <c r="E2536" t="s">
        <v>3899</v>
      </c>
    </row>
    <row r="2537" spans="1:5">
      <c r="A2537" t="s">
        <v>3909</v>
      </c>
      <c r="B2537" t="s">
        <v>3904</v>
      </c>
      <c r="C2537" t="s">
        <v>767</v>
      </c>
      <c r="D2537" t="s">
        <v>179</v>
      </c>
      <c r="E2537" t="s">
        <v>3899</v>
      </c>
    </row>
    <row r="2538" spans="1:5">
      <c r="A2538" t="s">
        <v>3910</v>
      </c>
      <c r="B2538" t="s">
        <v>3904</v>
      </c>
      <c r="C2538" s="632" t="s">
        <v>534</v>
      </c>
      <c r="D2538" t="s">
        <v>179</v>
      </c>
      <c r="E2538" t="s">
        <v>3899</v>
      </c>
    </row>
    <row r="2539" spans="1:5">
      <c r="A2539" t="s">
        <v>3911</v>
      </c>
      <c r="B2539" t="s">
        <v>3904</v>
      </c>
      <c r="C2539" s="632" t="s">
        <v>530</v>
      </c>
      <c r="D2539" t="s">
        <v>179</v>
      </c>
      <c r="E2539" t="s">
        <v>3899</v>
      </c>
    </row>
    <row r="2540" spans="1:5">
      <c r="A2540" t="s">
        <v>3912</v>
      </c>
      <c r="B2540" t="s">
        <v>3904</v>
      </c>
      <c r="C2540" s="632" t="s">
        <v>1441</v>
      </c>
      <c r="D2540" t="s">
        <v>179</v>
      </c>
      <c r="E2540" t="s">
        <v>3899</v>
      </c>
    </row>
    <row r="2541" spans="1:5">
      <c r="A2541" t="s">
        <v>3913</v>
      </c>
      <c r="B2541" t="s">
        <v>3904</v>
      </c>
      <c r="C2541" s="632" t="s">
        <v>3914</v>
      </c>
      <c r="D2541" t="s">
        <v>179</v>
      </c>
      <c r="E2541" t="s">
        <v>3899</v>
      </c>
    </row>
    <row r="2542" spans="1:5">
      <c r="A2542" t="s">
        <v>3915</v>
      </c>
      <c r="B2542" t="s">
        <v>3904</v>
      </c>
      <c r="C2542" t="s">
        <v>1439</v>
      </c>
      <c r="D2542" t="s">
        <v>179</v>
      </c>
      <c r="E2542" t="s">
        <v>3899</v>
      </c>
    </row>
    <row r="2543" spans="1:5">
      <c r="A2543" t="s">
        <v>3916</v>
      </c>
      <c r="B2543" t="s">
        <v>3904</v>
      </c>
      <c r="C2543" t="s">
        <v>3607</v>
      </c>
      <c r="D2543" t="s">
        <v>179</v>
      </c>
      <c r="E2543" t="s">
        <v>3899</v>
      </c>
    </row>
    <row r="2544" spans="1:5">
      <c r="A2544" t="s">
        <v>3917</v>
      </c>
      <c r="B2544" t="s">
        <v>3904</v>
      </c>
      <c r="C2544" t="s">
        <v>1963</v>
      </c>
      <c r="D2544" t="s">
        <v>179</v>
      </c>
      <c r="E2544" t="s">
        <v>3899</v>
      </c>
    </row>
    <row r="2545" spans="1:5">
      <c r="A2545" t="s">
        <v>3918</v>
      </c>
      <c r="B2545" t="s">
        <v>3904</v>
      </c>
      <c r="C2545" t="s">
        <v>3919</v>
      </c>
      <c r="D2545" t="s">
        <v>179</v>
      </c>
      <c r="E2545" t="s">
        <v>3899</v>
      </c>
    </row>
    <row r="2546" spans="1:5">
      <c r="A2546" t="s">
        <v>3920</v>
      </c>
      <c r="B2546" t="s">
        <v>3904</v>
      </c>
      <c r="C2546" t="s">
        <v>1560</v>
      </c>
      <c r="D2546" t="s">
        <v>179</v>
      </c>
      <c r="E2546" t="s">
        <v>3899</v>
      </c>
    </row>
    <row r="2547" spans="1:5">
      <c r="A2547" t="s">
        <v>3921</v>
      </c>
      <c r="B2547" t="s">
        <v>3904</v>
      </c>
      <c r="C2547" t="s">
        <v>1541</v>
      </c>
      <c r="D2547" t="s">
        <v>179</v>
      </c>
      <c r="E2547" t="s">
        <v>3899</v>
      </c>
    </row>
    <row r="2548" spans="1:5">
      <c r="A2548" t="s">
        <v>3922</v>
      </c>
      <c r="B2548" t="s">
        <v>3904</v>
      </c>
      <c r="C2548" t="s">
        <v>298</v>
      </c>
      <c r="D2548" t="s">
        <v>179</v>
      </c>
      <c r="E2548" t="s">
        <v>3899</v>
      </c>
    </row>
    <row r="2549" spans="1:5">
      <c r="A2549" t="s">
        <v>3923</v>
      </c>
      <c r="B2549" t="s">
        <v>3904</v>
      </c>
      <c r="C2549" t="s">
        <v>254</v>
      </c>
      <c r="D2549" t="s">
        <v>179</v>
      </c>
      <c r="E2549" t="s">
        <v>3899</v>
      </c>
    </row>
    <row r="2550" spans="1:5">
      <c r="A2550" t="s">
        <v>3924</v>
      </c>
      <c r="B2550" t="s">
        <v>3925</v>
      </c>
      <c r="C2550" t="s">
        <v>254</v>
      </c>
      <c r="D2550" t="s">
        <v>195</v>
      </c>
      <c r="E2550" t="s">
        <v>3926</v>
      </c>
    </row>
    <row r="2551" spans="1:5">
      <c r="A2551" t="s">
        <v>3927</v>
      </c>
      <c r="B2551" t="s">
        <v>3928</v>
      </c>
      <c r="C2551" t="s">
        <v>254</v>
      </c>
      <c r="D2551" t="s">
        <v>195</v>
      </c>
      <c r="E2551" t="s">
        <v>3767</v>
      </c>
    </row>
    <row r="2552" spans="1:5">
      <c r="A2552" t="s">
        <v>3929</v>
      </c>
      <c r="B2552" t="s">
        <v>3930</v>
      </c>
      <c r="C2552" t="s">
        <v>254</v>
      </c>
      <c r="D2552" t="s">
        <v>195</v>
      </c>
      <c r="E2552" t="s">
        <v>3759</v>
      </c>
    </row>
    <row r="2553" spans="1:5">
      <c r="A2553" t="s">
        <v>3931</v>
      </c>
      <c r="B2553" t="s">
        <v>1593</v>
      </c>
      <c r="C2553">
        <v>30</v>
      </c>
      <c r="D2553" t="s">
        <v>184</v>
      </c>
      <c r="E2553" t="s">
        <v>1586</v>
      </c>
    </row>
    <row r="2554" spans="1:5">
      <c r="A2554" t="s">
        <v>3932</v>
      </c>
      <c r="B2554" t="s">
        <v>3290</v>
      </c>
      <c r="C2554" t="s">
        <v>681</v>
      </c>
      <c r="D2554" t="s">
        <v>393</v>
      </c>
      <c r="E2554" t="s">
        <v>3291</v>
      </c>
    </row>
    <row r="2555" spans="1:5">
      <c r="A2555" t="s">
        <v>3933</v>
      </c>
      <c r="B2555" t="s">
        <v>347</v>
      </c>
      <c r="C2555">
        <v>31</v>
      </c>
      <c r="D2555" t="s">
        <v>395</v>
      </c>
      <c r="E2555" t="s">
        <v>522</v>
      </c>
    </row>
    <row r="2556" spans="1:5">
      <c r="A2556" t="str">
        <f>B2556&amp;C2556</f>
        <v>A250RA-GBVVJ00</v>
      </c>
      <c r="B2556" t="s">
        <v>347</v>
      </c>
      <c r="C2556" s="632" t="s">
        <v>254</v>
      </c>
      <c r="D2556" t="s">
        <v>395</v>
      </c>
      <c r="E2556" t="s">
        <v>522</v>
      </c>
    </row>
    <row r="2557" spans="1:5">
      <c r="A2557" t="s">
        <v>1471</v>
      </c>
      <c r="B2557" t="s">
        <v>277</v>
      </c>
      <c r="C2557" t="s">
        <v>254</v>
      </c>
      <c r="D2557" t="s">
        <v>190</v>
      </c>
      <c r="E2557" t="s">
        <v>1472</v>
      </c>
    </row>
    <row r="2558" spans="1:5">
      <c r="A2558" s="23" t="s">
        <v>3934</v>
      </c>
      <c r="B2558" t="s">
        <v>277</v>
      </c>
      <c r="C2558">
        <v>11</v>
      </c>
      <c r="D2558" t="s">
        <v>190</v>
      </c>
      <c r="E2558" t="s">
        <v>1472</v>
      </c>
    </row>
    <row r="2559" spans="1:5">
      <c r="A2559" t="s">
        <v>801</v>
      </c>
      <c r="B2559" t="s">
        <v>800</v>
      </c>
      <c r="C2559" t="s">
        <v>298</v>
      </c>
      <c r="D2559" t="s">
        <v>187</v>
      </c>
      <c r="E2559" t="s">
        <v>775</v>
      </c>
    </row>
    <row r="2560" spans="1:5">
      <c r="A2560" t="s">
        <v>737</v>
      </c>
      <c r="B2560" t="s">
        <v>731</v>
      </c>
      <c r="C2560" t="s">
        <v>298</v>
      </c>
      <c r="D2560" t="s">
        <v>732</v>
      </c>
      <c r="E2560" t="s">
        <v>733</v>
      </c>
    </row>
    <row r="2561" spans="1:5">
      <c r="A2561" t="str">
        <f>B2561&amp;C2561</f>
        <v>AAHH40R-PFXLBWA</v>
      </c>
      <c r="B2561" t="s">
        <v>731</v>
      </c>
      <c r="C2561" t="s">
        <v>3935</v>
      </c>
      <c r="D2561" t="s">
        <v>732</v>
      </c>
      <c r="E2561" t="s">
        <v>733</v>
      </c>
    </row>
    <row r="2562" spans="1:5">
      <c r="A2562" t="str">
        <f>B2562&amp;C2562</f>
        <v>AAHH40R-PFXLB10</v>
      </c>
      <c r="B2562" t="s">
        <v>731</v>
      </c>
      <c r="C2562" s="632" t="s">
        <v>530</v>
      </c>
      <c r="D2562" t="s">
        <v>732</v>
      </c>
      <c r="E2562" t="s">
        <v>733</v>
      </c>
    </row>
    <row r="2563" spans="1:5">
      <c r="A2563" t="str">
        <f>B2563&amp;C2563</f>
        <v>AAHH40R-PFXLB03</v>
      </c>
      <c r="B2563" t="s">
        <v>731</v>
      </c>
      <c r="C2563" s="632" t="s">
        <v>527</v>
      </c>
      <c r="D2563" t="s">
        <v>732</v>
      </c>
      <c r="E2563" t="s">
        <v>733</v>
      </c>
    </row>
    <row r="2564" spans="1:5">
      <c r="A2564" t="s">
        <v>3936</v>
      </c>
      <c r="B2564" t="s">
        <v>731</v>
      </c>
      <c r="C2564">
        <v>70</v>
      </c>
      <c r="D2564" t="s">
        <v>732</v>
      </c>
      <c r="E2564" t="s">
        <v>733</v>
      </c>
    </row>
    <row r="2565" spans="1:5">
      <c r="A2565" s="8" t="s">
        <v>731</v>
      </c>
      <c r="B2565" t="s">
        <v>731</v>
      </c>
      <c r="C2565" t="s">
        <v>254</v>
      </c>
      <c r="D2565" t="s">
        <v>732</v>
      </c>
      <c r="E2565" t="s">
        <v>733</v>
      </c>
    </row>
    <row r="2566" spans="1:5">
      <c r="A2566" t="s">
        <v>3937</v>
      </c>
      <c r="B2566" t="s">
        <v>297</v>
      </c>
      <c r="C2566" t="s">
        <v>298</v>
      </c>
      <c r="D2566" t="s">
        <v>396</v>
      </c>
      <c r="E2566" t="s">
        <v>2184</v>
      </c>
    </row>
    <row r="2567" spans="1:5">
      <c r="A2567" t="str">
        <f>B2567&amp;C2567</f>
        <v>MAGA10R-BRXLBDFD</v>
      </c>
      <c r="B2567" t="s">
        <v>297</v>
      </c>
      <c r="C2567" s="632" t="s">
        <v>3938</v>
      </c>
      <c r="D2567" t="s">
        <v>396</v>
      </c>
      <c r="E2567" t="s">
        <v>2184</v>
      </c>
    </row>
    <row r="2568" spans="1:5">
      <c r="A2568" s="23" t="s">
        <v>3939</v>
      </c>
      <c r="B2568" t="s">
        <v>297</v>
      </c>
      <c r="C2568">
        <v>11</v>
      </c>
      <c r="D2568" t="s">
        <v>396</v>
      </c>
      <c r="E2568" t="s">
        <v>2184</v>
      </c>
    </row>
    <row r="2569" spans="1:5">
      <c r="A2569" t="s">
        <v>3940</v>
      </c>
      <c r="B2569" t="s">
        <v>1367</v>
      </c>
      <c r="C2569" t="s">
        <v>870</v>
      </c>
      <c r="D2569" t="s">
        <v>1328</v>
      </c>
      <c r="E2569" t="s">
        <v>1343</v>
      </c>
    </row>
    <row r="2570" spans="1:5">
      <c r="A2570" t="s">
        <v>3941</v>
      </c>
      <c r="B2570" t="s">
        <v>1367</v>
      </c>
      <c r="C2570" t="s">
        <v>554</v>
      </c>
      <c r="D2570" t="s">
        <v>1328</v>
      </c>
      <c r="E2570" t="s">
        <v>1343</v>
      </c>
    </row>
    <row r="2571" spans="1:5">
      <c r="A2571" t="s">
        <v>3942</v>
      </c>
      <c r="B2571" t="s">
        <v>1390</v>
      </c>
      <c r="C2571" t="s">
        <v>870</v>
      </c>
      <c r="D2571" t="s">
        <v>1328</v>
      </c>
      <c r="E2571" t="s">
        <v>1357</v>
      </c>
    </row>
    <row r="2572" spans="1:5">
      <c r="A2572" t="s">
        <v>3943</v>
      </c>
      <c r="B2572" t="s">
        <v>347</v>
      </c>
      <c r="C2572" t="s">
        <v>1406</v>
      </c>
      <c r="D2572" t="s">
        <v>395</v>
      </c>
      <c r="E2572" t="s">
        <v>522</v>
      </c>
    </row>
    <row r="2573" spans="1:5">
      <c r="A2573" t="s">
        <v>3944</v>
      </c>
      <c r="B2573" t="s">
        <v>2792</v>
      </c>
      <c r="C2573" t="s">
        <v>3945</v>
      </c>
      <c r="D2573" t="s">
        <v>2793</v>
      </c>
      <c r="E2573" t="s">
        <v>2794</v>
      </c>
    </row>
    <row r="2574" spans="1:5">
      <c r="A2574" t="str">
        <f>B2574&amp;C2574</f>
        <v>NYC200R-DHXHBD08</v>
      </c>
      <c r="B2574" t="s">
        <v>2792</v>
      </c>
      <c r="C2574" s="632" t="s">
        <v>313</v>
      </c>
      <c r="D2574" t="s">
        <v>2793</v>
      </c>
      <c r="E2574" t="s">
        <v>2794</v>
      </c>
    </row>
    <row r="2575" spans="1:5">
      <c r="A2575" t="s">
        <v>3946</v>
      </c>
      <c r="B2575" t="s">
        <v>285</v>
      </c>
      <c r="C2575" t="s">
        <v>564</v>
      </c>
      <c r="D2575" t="s">
        <v>387</v>
      </c>
      <c r="E2575" t="s">
        <v>1071</v>
      </c>
    </row>
    <row r="2576" spans="1:5">
      <c r="A2576" t="str">
        <f>B2576&amp;C2576</f>
        <v>B401RA-GMZFJFA</v>
      </c>
      <c r="B2576" t="s">
        <v>285</v>
      </c>
      <c r="C2576" t="s">
        <v>1093</v>
      </c>
      <c r="D2576" t="s">
        <v>387</v>
      </c>
      <c r="E2576" t="s">
        <v>1071</v>
      </c>
    </row>
    <row r="2577" spans="1:5">
      <c r="A2577" t="s">
        <v>3947</v>
      </c>
      <c r="B2577" t="s">
        <v>1383</v>
      </c>
      <c r="C2577" t="s">
        <v>815</v>
      </c>
      <c r="D2577" t="s">
        <v>1328</v>
      </c>
      <c r="E2577" t="s">
        <v>1333</v>
      </c>
    </row>
    <row r="2578" spans="1:5">
      <c r="A2578" t="s">
        <v>3948</v>
      </c>
      <c r="B2578" t="s">
        <v>1383</v>
      </c>
      <c r="C2578" t="s">
        <v>548</v>
      </c>
      <c r="D2578" t="s">
        <v>1328</v>
      </c>
      <c r="E2578" t="s">
        <v>1333</v>
      </c>
    </row>
    <row r="2579" spans="1:5">
      <c r="A2579" t="s">
        <v>3949</v>
      </c>
      <c r="B2579" t="s">
        <v>1408</v>
      </c>
      <c r="C2579" t="s">
        <v>815</v>
      </c>
      <c r="D2579" t="s">
        <v>1328</v>
      </c>
      <c r="E2579" t="s">
        <v>1350</v>
      </c>
    </row>
    <row r="2580" spans="1:5">
      <c r="A2580" t="s">
        <v>3950</v>
      </c>
      <c r="B2580" t="s">
        <v>265</v>
      </c>
      <c r="C2580" t="s">
        <v>552</v>
      </c>
      <c r="D2580" t="s">
        <v>389</v>
      </c>
      <c r="E2580" t="s">
        <v>2212</v>
      </c>
    </row>
    <row r="2581" spans="1:5">
      <c r="A2581" t="s">
        <v>3951</v>
      </c>
      <c r="B2581" t="s">
        <v>265</v>
      </c>
      <c r="C2581" t="s">
        <v>2217</v>
      </c>
      <c r="D2581" t="s">
        <v>389</v>
      </c>
      <c r="E2581" t="s">
        <v>2212</v>
      </c>
    </row>
    <row r="2582" spans="1:5">
      <c r="A2582" t="s">
        <v>3952</v>
      </c>
      <c r="B2582" t="s">
        <v>265</v>
      </c>
      <c r="C2582">
        <v>11</v>
      </c>
      <c r="D2582" t="s">
        <v>389</v>
      </c>
      <c r="E2582" t="s">
        <v>2212</v>
      </c>
    </row>
    <row r="2583" spans="1:5">
      <c r="A2583" t="s">
        <v>3953</v>
      </c>
      <c r="B2583" t="s">
        <v>265</v>
      </c>
      <c r="C2583" t="s">
        <v>689</v>
      </c>
      <c r="D2583" t="s">
        <v>389</v>
      </c>
      <c r="E2583" t="s">
        <v>2212</v>
      </c>
    </row>
    <row r="2584" spans="1:5">
      <c r="A2584" t="s">
        <v>3954</v>
      </c>
      <c r="B2584" t="s">
        <v>265</v>
      </c>
      <c r="C2584" t="s">
        <v>3955</v>
      </c>
      <c r="D2584" t="s">
        <v>389</v>
      </c>
      <c r="E2584" t="s">
        <v>2212</v>
      </c>
    </row>
    <row r="2585" spans="1:5">
      <c r="A2585" t="s">
        <v>3956</v>
      </c>
      <c r="B2585" t="s">
        <v>265</v>
      </c>
      <c r="C2585" t="s">
        <v>3957</v>
      </c>
      <c r="D2585" t="s">
        <v>389</v>
      </c>
      <c r="E2585" t="s">
        <v>2212</v>
      </c>
    </row>
    <row r="2586" spans="1:5">
      <c r="A2586" t="s">
        <v>3958</v>
      </c>
      <c r="B2586" t="s">
        <v>265</v>
      </c>
      <c r="C2586" t="s">
        <v>3938</v>
      </c>
      <c r="D2586" t="s">
        <v>389</v>
      </c>
      <c r="E2586" t="s">
        <v>2212</v>
      </c>
    </row>
    <row r="2587" spans="1:5">
      <c r="A2587" t="s">
        <v>3959</v>
      </c>
      <c r="B2587" t="s">
        <v>3407</v>
      </c>
      <c r="C2587" t="s">
        <v>681</v>
      </c>
      <c r="D2587" t="s">
        <v>3329</v>
      </c>
      <c r="E2587" t="s">
        <v>1187</v>
      </c>
    </row>
    <row r="2588" spans="1:5">
      <c r="A2588" s="23" t="s">
        <v>3960</v>
      </c>
      <c r="B2588" t="s">
        <v>3407</v>
      </c>
      <c r="C2588">
        <v>11</v>
      </c>
      <c r="D2588" t="s">
        <v>3329</v>
      </c>
      <c r="E2588" t="s">
        <v>1187</v>
      </c>
    </row>
    <row r="2589" spans="1:5">
      <c r="A2589" t="s">
        <v>3961</v>
      </c>
      <c r="B2589" t="s">
        <v>347</v>
      </c>
      <c r="C2589" t="s">
        <v>2801</v>
      </c>
      <c r="D2589" t="s">
        <v>395</v>
      </c>
      <c r="E2589" t="s">
        <v>522</v>
      </c>
    </row>
    <row r="2590" spans="1:5">
      <c r="A2590" t="str">
        <f>B2590&amp;C2590</f>
        <v>A250RA-GBVVJ30</v>
      </c>
      <c r="B2590" t="s">
        <v>347</v>
      </c>
      <c r="C2590">
        <v>30</v>
      </c>
      <c r="D2590" t="s">
        <v>395</v>
      </c>
      <c r="E2590" t="s">
        <v>522</v>
      </c>
    </row>
    <row r="2591" spans="1:5">
      <c r="A2591" t="s">
        <v>3962</v>
      </c>
      <c r="B2591" t="s">
        <v>3348</v>
      </c>
      <c r="C2591" t="s">
        <v>1406</v>
      </c>
      <c r="D2591" t="s">
        <v>3329</v>
      </c>
      <c r="E2591" t="s">
        <v>3349</v>
      </c>
    </row>
    <row r="2592" spans="1:5">
      <c r="A2592" t="s">
        <v>3963</v>
      </c>
      <c r="B2592" t="s">
        <v>2792</v>
      </c>
      <c r="C2592" t="s">
        <v>3391</v>
      </c>
      <c r="D2592" t="s">
        <v>2793</v>
      </c>
      <c r="E2592" t="s">
        <v>2794</v>
      </c>
    </row>
    <row r="2593" spans="1:5">
      <c r="A2593" t="s">
        <v>3964</v>
      </c>
      <c r="B2593" t="s">
        <v>652</v>
      </c>
      <c r="C2593" t="s">
        <v>681</v>
      </c>
      <c r="D2593" t="s">
        <v>395</v>
      </c>
      <c r="E2593" t="s">
        <v>653</v>
      </c>
    </row>
    <row r="2594" spans="1:5">
      <c r="A2594" t="str">
        <f>B2594&amp;C2594</f>
        <v>A250RA-GBXVJ10</v>
      </c>
      <c r="B2594" t="s">
        <v>652</v>
      </c>
      <c r="C2594">
        <v>10</v>
      </c>
      <c r="D2594" t="s">
        <v>395</v>
      </c>
      <c r="E2594" t="s">
        <v>653</v>
      </c>
    </row>
    <row r="2595" spans="1:5">
      <c r="A2595" s="23" t="s">
        <v>3965</v>
      </c>
      <c r="B2595" t="s">
        <v>652</v>
      </c>
      <c r="C2595">
        <v>11</v>
      </c>
      <c r="D2595" t="s">
        <v>395</v>
      </c>
      <c r="E2595" t="s">
        <v>653</v>
      </c>
    </row>
    <row r="2596" spans="1:5">
      <c r="A2596" t="s">
        <v>3966</v>
      </c>
      <c r="B2596" t="s">
        <v>3328</v>
      </c>
      <c r="C2596" t="s">
        <v>2801</v>
      </c>
      <c r="D2596" t="s">
        <v>3329</v>
      </c>
      <c r="E2596" t="s">
        <v>3330</v>
      </c>
    </row>
    <row r="2597" spans="1:5">
      <c r="A2597" t="s">
        <v>3967</v>
      </c>
      <c r="B2597" t="s">
        <v>3328</v>
      </c>
      <c r="C2597" s="632" t="s">
        <v>330</v>
      </c>
      <c r="D2597" t="s">
        <v>3329</v>
      </c>
      <c r="E2597" t="s">
        <v>3330</v>
      </c>
    </row>
    <row r="2598" spans="1:5">
      <c r="A2598" t="s">
        <v>3968</v>
      </c>
      <c r="B2598" t="s">
        <v>2792</v>
      </c>
      <c r="C2598" t="s">
        <v>3969</v>
      </c>
      <c r="D2598" t="s">
        <v>2793</v>
      </c>
      <c r="E2598" t="s">
        <v>2794</v>
      </c>
    </row>
    <row r="2599" spans="1:5">
      <c r="A2599" t="s">
        <v>3970</v>
      </c>
      <c r="B2599" t="s">
        <v>2475</v>
      </c>
      <c r="C2599" t="s">
        <v>681</v>
      </c>
      <c r="D2599" t="s">
        <v>2793</v>
      </c>
      <c r="E2599" t="s">
        <v>2794</v>
      </c>
    </row>
    <row r="2600" spans="1:5">
      <c r="A2600" t="s">
        <v>3971</v>
      </c>
      <c r="B2600" t="s">
        <v>3972</v>
      </c>
      <c r="C2600" t="s">
        <v>254</v>
      </c>
      <c r="D2600" t="s">
        <v>415</v>
      </c>
      <c r="E2600" t="s">
        <v>3973</v>
      </c>
    </row>
    <row r="2601" spans="1:5">
      <c r="A2601" t="str">
        <f>B2601&amp;C2601</f>
        <v>GUN110R-ATTHXD12</v>
      </c>
      <c r="B2601" t="s">
        <v>3972</v>
      </c>
      <c r="C2601" s="632" t="s">
        <v>532</v>
      </c>
      <c r="D2601" t="s">
        <v>415</v>
      </c>
      <c r="E2601" t="s">
        <v>3973</v>
      </c>
    </row>
    <row r="2602" spans="1:5">
      <c r="A2602" t="s">
        <v>3974</v>
      </c>
      <c r="B2602" t="s">
        <v>3972</v>
      </c>
      <c r="C2602">
        <v>10</v>
      </c>
      <c r="D2602" t="s">
        <v>415</v>
      </c>
      <c r="E2602" t="s">
        <v>3973</v>
      </c>
    </row>
    <row r="2603" spans="1:5">
      <c r="A2603" t="s">
        <v>3975</v>
      </c>
      <c r="B2603" t="s">
        <v>3972</v>
      </c>
      <c r="C2603">
        <v>2</v>
      </c>
      <c r="D2603" t="s">
        <v>415</v>
      </c>
      <c r="E2603" t="s">
        <v>3973</v>
      </c>
    </row>
    <row r="2604" spans="1:5">
      <c r="A2604" t="s">
        <v>3976</v>
      </c>
      <c r="B2604" t="s">
        <v>3977</v>
      </c>
      <c r="C2604" t="s">
        <v>254</v>
      </c>
      <c r="D2604" t="s">
        <v>415</v>
      </c>
      <c r="E2604" t="s">
        <v>3978</v>
      </c>
    </row>
    <row r="2605" spans="1:5">
      <c r="A2605" t="str">
        <f>B2605&amp;C2605</f>
        <v>GUN110R-ATTHXD310</v>
      </c>
      <c r="B2605" t="s">
        <v>3977</v>
      </c>
      <c r="C2605" s="632" t="s">
        <v>530</v>
      </c>
      <c r="D2605" t="s">
        <v>415</v>
      </c>
      <c r="E2605" t="s">
        <v>3978</v>
      </c>
    </row>
    <row r="2606" spans="1:5">
      <c r="A2606" t="s">
        <v>3979</v>
      </c>
      <c r="B2606" t="s">
        <v>3977</v>
      </c>
      <c r="C2606">
        <v>11</v>
      </c>
      <c r="D2606" t="s">
        <v>415</v>
      </c>
      <c r="E2606" t="s">
        <v>3978</v>
      </c>
    </row>
    <row r="2607" spans="1:5">
      <c r="A2607" t="s">
        <v>3980</v>
      </c>
      <c r="B2607" t="s">
        <v>3977</v>
      </c>
      <c r="C2607" s="632" t="s">
        <v>330</v>
      </c>
      <c r="D2607" t="s">
        <v>415</v>
      </c>
      <c r="E2607" t="s">
        <v>3978</v>
      </c>
    </row>
    <row r="2608" spans="1:5">
      <c r="A2608" t="s">
        <v>3981</v>
      </c>
      <c r="B2608" t="s">
        <v>3977</v>
      </c>
      <c r="C2608" t="s">
        <v>298</v>
      </c>
      <c r="D2608" t="s">
        <v>415</v>
      </c>
      <c r="E2608" t="s">
        <v>3982</v>
      </c>
    </row>
    <row r="2609" spans="1:5">
      <c r="A2609" t="s">
        <v>3983</v>
      </c>
      <c r="B2609" t="s">
        <v>3984</v>
      </c>
      <c r="C2609" t="s">
        <v>254</v>
      </c>
      <c r="D2609" t="s">
        <v>415</v>
      </c>
      <c r="E2609" t="s">
        <v>3985</v>
      </c>
    </row>
    <row r="2610" spans="1:5">
      <c r="A2610" t="str">
        <f>B2610&amp;C2610</f>
        <v>GUN112R-ATMHXD12</v>
      </c>
      <c r="B2610" t="s">
        <v>3984</v>
      </c>
      <c r="C2610" s="632" t="s">
        <v>532</v>
      </c>
      <c r="D2610" t="s">
        <v>415</v>
      </c>
      <c r="E2610" t="s">
        <v>3985</v>
      </c>
    </row>
    <row r="2611" spans="1:5">
      <c r="A2611" t="s">
        <v>3986</v>
      </c>
      <c r="B2611" t="s">
        <v>3984</v>
      </c>
      <c r="C2611">
        <v>10</v>
      </c>
      <c r="D2611" t="s">
        <v>415</v>
      </c>
      <c r="E2611" t="s">
        <v>3985</v>
      </c>
    </row>
    <row r="2612" spans="1:5">
      <c r="A2612" t="s">
        <v>3987</v>
      </c>
      <c r="B2612" t="s">
        <v>3984</v>
      </c>
      <c r="C2612">
        <v>2</v>
      </c>
      <c r="D2612" t="s">
        <v>415</v>
      </c>
      <c r="E2612" t="s">
        <v>3985</v>
      </c>
    </row>
    <row r="2613" spans="1:5">
      <c r="A2613" t="s">
        <v>3988</v>
      </c>
      <c r="B2613" t="s">
        <v>3989</v>
      </c>
      <c r="C2613">
        <v>10</v>
      </c>
      <c r="D2613" t="s">
        <v>415</v>
      </c>
      <c r="E2613" t="s">
        <v>3990</v>
      </c>
    </row>
    <row r="2614" spans="1:5">
      <c r="A2614" t="s">
        <v>3991</v>
      </c>
      <c r="B2614" t="s">
        <v>3989</v>
      </c>
      <c r="C2614">
        <v>11</v>
      </c>
      <c r="D2614" t="s">
        <v>415</v>
      </c>
      <c r="E2614" t="s">
        <v>3990</v>
      </c>
    </row>
    <row r="2615" spans="1:5">
      <c r="A2615" t="s">
        <v>3992</v>
      </c>
      <c r="B2615" t="s">
        <v>3989</v>
      </c>
      <c r="C2615" t="s">
        <v>254</v>
      </c>
      <c r="D2615" t="s">
        <v>415</v>
      </c>
      <c r="E2615" t="s">
        <v>3990</v>
      </c>
    </row>
    <row r="2616" spans="1:5">
      <c r="A2616" t="s">
        <v>3993</v>
      </c>
      <c r="B2616" t="s">
        <v>3989</v>
      </c>
      <c r="C2616" s="632" t="s">
        <v>330</v>
      </c>
      <c r="D2616" t="s">
        <v>415</v>
      </c>
      <c r="E2616" t="s">
        <v>3990</v>
      </c>
    </row>
    <row r="2617" spans="1:5">
      <c r="A2617" t="s">
        <v>3994</v>
      </c>
      <c r="B2617" t="s">
        <v>3989</v>
      </c>
      <c r="C2617" t="s">
        <v>298</v>
      </c>
      <c r="D2617" t="s">
        <v>415</v>
      </c>
      <c r="E2617" t="s">
        <v>3995</v>
      </c>
    </row>
    <row r="2618" spans="1:5">
      <c r="A2618" t="s">
        <v>3996</v>
      </c>
      <c r="B2618" t="s">
        <v>3997</v>
      </c>
      <c r="C2618" t="s">
        <v>254</v>
      </c>
      <c r="D2618" t="s">
        <v>415</v>
      </c>
      <c r="E2618" t="s">
        <v>3998</v>
      </c>
    </row>
    <row r="2619" spans="1:5">
      <c r="A2619" s="23" t="s">
        <v>3999</v>
      </c>
      <c r="B2619" t="s">
        <v>3997</v>
      </c>
      <c r="C2619" s="23" t="s">
        <v>2062</v>
      </c>
      <c r="D2619" t="s">
        <v>415</v>
      </c>
      <c r="E2619" t="s">
        <v>3998</v>
      </c>
    </row>
    <row r="2620" spans="1:5">
      <c r="A2620" t="s">
        <v>4000</v>
      </c>
      <c r="B2620" t="s">
        <v>3997</v>
      </c>
      <c r="C2620" t="s">
        <v>3580</v>
      </c>
      <c r="D2620" t="s">
        <v>415</v>
      </c>
      <c r="E2620" t="s">
        <v>3998</v>
      </c>
    </row>
    <row r="2621" spans="1:5">
      <c r="A2621" t="s">
        <v>3996</v>
      </c>
      <c r="B2621" t="s">
        <v>3997</v>
      </c>
      <c r="C2621" t="s">
        <v>3580</v>
      </c>
      <c r="D2621" t="s">
        <v>415</v>
      </c>
      <c r="E2621" t="s">
        <v>3998</v>
      </c>
    </row>
    <row r="2622" spans="1:5">
      <c r="A2622" t="s">
        <v>3996</v>
      </c>
      <c r="B2622" t="s">
        <v>3997</v>
      </c>
      <c r="C2622" t="s">
        <v>3580</v>
      </c>
      <c r="D2622" t="s">
        <v>415</v>
      </c>
      <c r="E2622" t="s">
        <v>3998</v>
      </c>
    </row>
    <row r="2623" spans="1:5">
      <c r="A2623" t="s">
        <v>4001</v>
      </c>
      <c r="B2623" t="s">
        <v>3997</v>
      </c>
      <c r="C2623" t="s">
        <v>298</v>
      </c>
      <c r="D2623" t="s">
        <v>415</v>
      </c>
      <c r="E2623" t="s">
        <v>4002</v>
      </c>
    </row>
    <row r="2624" spans="1:5">
      <c r="A2624" t="s">
        <v>4003</v>
      </c>
      <c r="B2624" t="s">
        <v>3997</v>
      </c>
      <c r="C2624" t="s">
        <v>2307</v>
      </c>
      <c r="D2624" t="s">
        <v>415</v>
      </c>
      <c r="E2624" t="s">
        <v>4002</v>
      </c>
    </row>
    <row r="2625" spans="1:5">
      <c r="A2625" t="s">
        <v>4004</v>
      </c>
      <c r="B2625" t="s">
        <v>4005</v>
      </c>
      <c r="C2625" t="s">
        <v>254</v>
      </c>
      <c r="D2625" t="s">
        <v>415</v>
      </c>
      <c r="E2625" t="s">
        <v>4006</v>
      </c>
    </row>
    <row r="2626" spans="1:5">
      <c r="A2626" t="s">
        <v>4007</v>
      </c>
      <c r="B2626" t="s">
        <v>4005</v>
      </c>
      <c r="C2626" t="s">
        <v>2307</v>
      </c>
      <c r="D2626" t="s">
        <v>415</v>
      </c>
      <c r="E2626" t="s">
        <v>4006</v>
      </c>
    </row>
    <row r="2627" spans="1:5">
      <c r="A2627" t="s">
        <v>4008</v>
      </c>
      <c r="B2627" t="s">
        <v>4005</v>
      </c>
      <c r="C2627">
        <v>10</v>
      </c>
      <c r="D2627" t="s">
        <v>415</v>
      </c>
      <c r="E2627" t="s">
        <v>4006</v>
      </c>
    </row>
    <row r="2628" spans="1:5">
      <c r="A2628" t="s">
        <v>4009</v>
      </c>
      <c r="B2628" t="s">
        <v>4005</v>
      </c>
      <c r="C2628">
        <v>2</v>
      </c>
      <c r="D2628" t="s">
        <v>415</v>
      </c>
      <c r="E2628" t="s">
        <v>4006</v>
      </c>
    </row>
    <row r="2629" spans="1:5">
      <c r="A2629" t="s">
        <v>4010</v>
      </c>
      <c r="B2629" t="s">
        <v>4005</v>
      </c>
      <c r="C2629" t="s">
        <v>4011</v>
      </c>
      <c r="D2629" t="s">
        <v>415</v>
      </c>
      <c r="E2629" t="s">
        <v>4006</v>
      </c>
    </row>
    <row r="2630" spans="1:5">
      <c r="A2630" t="s">
        <v>4012</v>
      </c>
      <c r="B2630" t="s">
        <v>4005</v>
      </c>
      <c r="C2630" t="s">
        <v>254</v>
      </c>
      <c r="D2630" t="s">
        <v>415</v>
      </c>
      <c r="E2630" t="s">
        <v>4006</v>
      </c>
    </row>
    <row r="2631" spans="1:5">
      <c r="A2631" t="s">
        <v>4013</v>
      </c>
      <c r="B2631" t="s">
        <v>4014</v>
      </c>
      <c r="C2631" t="s">
        <v>254</v>
      </c>
      <c r="D2631" t="s">
        <v>415</v>
      </c>
      <c r="E2631" t="s">
        <v>4015</v>
      </c>
    </row>
    <row r="2632" spans="1:5">
      <c r="A2632" t="s">
        <v>4016</v>
      </c>
      <c r="B2632" t="s">
        <v>4014</v>
      </c>
      <c r="C2632">
        <v>10</v>
      </c>
      <c r="D2632" t="s">
        <v>415</v>
      </c>
      <c r="E2632" t="s">
        <v>4015</v>
      </c>
    </row>
    <row r="2633" spans="1:5">
      <c r="A2633" t="s">
        <v>4017</v>
      </c>
      <c r="B2633" t="s">
        <v>4014</v>
      </c>
      <c r="C2633">
        <v>11</v>
      </c>
      <c r="D2633" t="s">
        <v>415</v>
      </c>
      <c r="E2633" t="s">
        <v>4015</v>
      </c>
    </row>
    <row r="2634" spans="1:5">
      <c r="A2634" t="s">
        <v>4018</v>
      </c>
      <c r="B2634" t="s">
        <v>4014</v>
      </c>
      <c r="C2634" s="632" t="s">
        <v>330</v>
      </c>
      <c r="D2634" t="s">
        <v>415</v>
      </c>
      <c r="E2634" t="s">
        <v>4015</v>
      </c>
    </row>
    <row r="2635" spans="1:5">
      <c r="A2635" t="s">
        <v>4019</v>
      </c>
      <c r="B2635" t="s">
        <v>4014</v>
      </c>
      <c r="C2635" t="s">
        <v>298</v>
      </c>
      <c r="D2635" t="s">
        <v>415</v>
      </c>
      <c r="E2635" t="s">
        <v>4020</v>
      </c>
    </row>
    <row r="2636" spans="1:5">
      <c r="A2636" t="s">
        <v>4021</v>
      </c>
      <c r="B2636" t="s">
        <v>4022</v>
      </c>
      <c r="C2636" t="s">
        <v>254</v>
      </c>
      <c r="D2636" t="s">
        <v>415</v>
      </c>
      <c r="E2636" t="s">
        <v>4023</v>
      </c>
    </row>
    <row r="2637" spans="1:5">
      <c r="A2637" t="str">
        <f>B2637&amp;C2637</f>
        <v>TGN110R-ATMSKD310</v>
      </c>
      <c r="B2637" t="s">
        <v>4022</v>
      </c>
      <c r="C2637" s="632" t="s">
        <v>530</v>
      </c>
      <c r="D2637" t="s">
        <v>415</v>
      </c>
      <c r="E2637" t="s">
        <v>4023</v>
      </c>
    </row>
    <row r="2638" spans="1:5">
      <c r="A2638" s="23" t="s">
        <v>4024</v>
      </c>
      <c r="B2638" t="s">
        <v>4022</v>
      </c>
      <c r="C2638">
        <v>11</v>
      </c>
      <c r="D2638" t="s">
        <v>415</v>
      </c>
      <c r="E2638" t="s">
        <v>4023</v>
      </c>
    </row>
    <row r="2639" spans="1:5">
      <c r="A2639" s="23" t="s">
        <v>4025</v>
      </c>
      <c r="B2639" t="s">
        <v>4022</v>
      </c>
      <c r="C2639" s="23" t="s">
        <v>4026</v>
      </c>
      <c r="D2639" t="s">
        <v>415</v>
      </c>
      <c r="E2639" t="s">
        <v>4023</v>
      </c>
    </row>
    <row r="2640" spans="1:5">
      <c r="A2640" t="s">
        <v>4027</v>
      </c>
      <c r="B2640" t="s">
        <v>4022</v>
      </c>
      <c r="C2640" t="s">
        <v>298</v>
      </c>
      <c r="D2640" t="s">
        <v>415</v>
      </c>
      <c r="E2640" t="s">
        <v>4028</v>
      </c>
    </row>
    <row r="2641" spans="1:5">
      <c r="A2641" t="s">
        <v>4029</v>
      </c>
      <c r="B2641" t="s">
        <v>4022</v>
      </c>
      <c r="C2641" t="s">
        <v>4030</v>
      </c>
      <c r="D2641" t="s">
        <v>415</v>
      </c>
      <c r="E2641" t="s">
        <v>4028</v>
      </c>
    </row>
    <row r="2642" spans="1:5">
      <c r="A2642" t="s">
        <v>4031</v>
      </c>
      <c r="B2642" t="s">
        <v>4022</v>
      </c>
      <c r="C2642" t="s">
        <v>4032</v>
      </c>
      <c r="D2642" t="s">
        <v>415</v>
      </c>
      <c r="E2642" t="s">
        <v>4028</v>
      </c>
    </row>
    <row r="2643" spans="1:5">
      <c r="A2643" t="s">
        <v>4033</v>
      </c>
      <c r="B2643" t="s">
        <v>4022</v>
      </c>
      <c r="C2643" t="s">
        <v>4034</v>
      </c>
      <c r="D2643" t="s">
        <v>415</v>
      </c>
      <c r="E2643" t="s">
        <v>4028</v>
      </c>
    </row>
    <row r="2644" spans="1:5">
      <c r="A2644" t="s">
        <v>4035</v>
      </c>
      <c r="B2644" t="s">
        <v>4036</v>
      </c>
      <c r="C2644" t="s">
        <v>254</v>
      </c>
      <c r="D2644" t="s">
        <v>415</v>
      </c>
      <c r="E2644" t="s">
        <v>4037</v>
      </c>
    </row>
    <row r="2645" spans="1:5">
      <c r="A2645" t="s">
        <v>4038</v>
      </c>
      <c r="B2645" t="s">
        <v>4036</v>
      </c>
      <c r="C2645" t="s">
        <v>298</v>
      </c>
      <c r="D2645" t="s">
        <v>415</v>
      </c>
      <c r="E2645" t="s">
        <v>4039</v>
      </c>
    </row>
    <row r="2646" spans="1:5">
      <c r="A2646" t="s">
        <v>4040</v>
      </c>
      <c r="B2646" t="s">
        <v>3989</v>
      </c>
      <c r="C2646" t="s">
        <v>689</v>
      </c>
      <c r="D2646" t="s">
        <v>415</v>
      </c>
      <c r="E2646" t="s">
        <v>4020</v>
      </c>
    </row>
    <row r="2647" spans="1:5">
      <c r="A2647" t="str">
        <f t="shared" ref="A2647" si="3">B2647&amp;C2647</f>
        <v>W102RE-LBVFJ11</v>
      </c>
      <c r="B2647" t="s">
        <v>312</v>
      </c>
      <c r="C2647">
        <v>11</v>
      </c>
      <c r="D2647" t="s">
        <v>394</v>
      </c>
      <c r="E2647" t="s">
        <v>4041</v>
      </c>
    </row>
    <row r="2648" spans="1:5">
      <c r="A2648" t="str">
        <f t="shared" ref="A2648" si="4">B2648&amp;C2648</f>
        <v>W102RE-LBVFJED</v>
      </c>
      <c r="B2648" t="s">
        <v>312</v>
      </c>
      <c r="C2648" s="632" t="s">
        <v>587</v>
      </c>
      <c r="D2648" t="s">
        <v>394</v>
      </c>
      <c r="E2648" t="s">
        <v>4041</v>
      </c>
    </row>
    <row r="2649" spans="1:5">
      <c r="A2649" t="str">
        <f t="shared" ref="A2649:A2670" si="5">B2649&amp;C2649</f>
        <v>W102RE-LBVFJEB</v>
      </c>
      <c r="B2649" t="s">
        <v>312</v>
      </c>
      <c r="C2649" s="632" t="s">
        <v>579</v>
      </c>
      <c r="D2649" t="s">
        <v>394</v>
      </c>
      <c r="E2649" t="s">
        <v>4041</v>
      </c>
    </row>
    <row r="2650" spans="1:5">
      <c r="A2650" t="str">
        <f t="shared" si="5"/>
        <v>W102RE-LBVFJ03</v>
      </c>
      <c r="B2650" t="s">
        <v>312</v>
      </c>
      <c r="C2650" s="632" t="s">
        <v>527</v>
      </c>
      <c r="D2650" t="s">
        <v>394</v>
      </c>
      <c r="E2650" t="s">
        <v>4042</v>
      </c>
    </row>
    <row r="2651" spans="1:5">
      <c r="A2651" t="str">
        <f t="shared" si="5"/>
        <v>W102RE-LBVFJ09</v>
      </c>
      <c r="B2651" t="s">
        <v>312</v>
      </c>
      <c r="C2651" s="632" t="s">
        <v>1434</v>
      </c>
      <c r="D2651" t="s">
        <v>394</v>
      </c>
      <c r="E2651" t="s">
        <v>4043</v>
      </c>
    </row>
    <row r="2652" spans="1:5">
      <c r="A2652" t="str">
        <f t="shared" si="5"/>
        <v>W102RE-LBVFJ00</v>
      </c>
      <c r="B2652" s="20" t="s">
        <v>312</v>
      </c>
      <c r="C2652" s="632" t="s">
        <v>254</v>
      </c>
      <c r="D2652" t="s">
        <v>394</v>
      </c>
      <c r="E2652" t="s">
        <v>4044</v>
      </c>
    </row>
    <row r="2653" spans="1:5">
      <c r="A2653" t="str">
        <f t="shared" si="5"/>
        <v>W102RE-LBVFJ05</v>
      </c>
      <c r="B2653" t="s">
        <v>312</v>
      </c>
      <c r="C2653" s="632" t="s">
        <v>1223</v>
      </c>
      <c r="D2653" t="s">
        <v>394</v>
      </c>
      <c r="E2653" t="s">
        <v>4045</v>
      </c>
    </row>
    <row r="2654" spans="1:5">
      <c r="A2654" t="str">
        <f t="shared" si="5"/>
        <v>W102RE-LBVFJ01</v>
      </c>
      <c r="B2654" t="s">
        <v>312</v>
      </c>
      <c r="C2654" s="632" t="s">
        <v>298</v>
      </c>
      <c r="D2654" t="s">
        <v>394</v>
      </c>
      <c r="E2654" t="s">
        <v>4042</v>
      </c>
    </row>
    <row r="2655" spans="1:5">
      <c r="A2655" t="str">
        <f t="shared" si="5"/>
        <v>W102RE-LBVFJ02</v>
      </c>
      <c r="B2655" t="s">
        <v>312</v>
      </c>
      <c r="C2655" s="632" t="s">
        <v>330</v>
      </c>
      <c r="D2655" t="s">
        <v>394</v>
      </c>
      <c r="E2655" t="s">
        <v>4044</v>
      </c>
    </row>
    <row r="2656" spans="1:5">
      <c r="A2656" t="str">
        <f t="shared" si="5"/>
        <v>W102RE-LBVFJ03</v>
      </c>
      <c r="B2656" t="s">
        <v>312</v>
      </c>
      <c r="C2656" s="632" t="s">
        <v>527</v>
      </c>
      <c r="D2656" t="s">
        <v>394</v>
      </c>
      <c r="E2656" t="s">
        <v>4042</v>
      </c>
    </row>
    <row r="2657" spans="1:5">
      <c r="A2657" t="str">
        <f t="shared" si="5"/>
        <v>W102RE-LBVFJ04</v>
      </c>
      <c r="B2657" t="s">
        <v>312</v>
      </c>
      <c r="C2657" s="632" t="s">
        <v>1026</v>
      </c>
      <c r="D2657" t="s">
        <v>394</v>
      </c>
      <c r="E2657" t="s">
        <v>4046</v>
      </c>
    </row>
    <row r="2658" spans="1:5">
      <c r="A2658" t="str">
        <f t="shared" si="5"/>
        <v>W102RE-LBVFJ06</v>
      </c>
      <c r="B2658" t="s">
        <v>312</v>
      </c>
      <c r="C2658" s="632" t="s">
        <v>1212</v>
      </c>
      <c r="D2658" t="s">
        <v>394</v>
      </c>
      <c r="E2658" t="s">
        <v>4046</v>
      </c>
    </row>
    <row r="2659" spans="1:5">
      <c r="A2659" t="str">
        <f t="shared" si="5"/>
        <v>W102RE-LBVFJ07</v>
      </c>
      <c r="B2659" t="s">
        <v>312</v>
      </c>
      <c r="C2659" s="632" t="s">
        <v>1210</v>
      </c>
      <c r="D2659" t="s">
        <v>394</v>
      </c>
      <c r="E2659" t="s">
        <v>4045</v>
      </c>
    </row>
    <row r="2660" spans="1:5">
      <c r="A2660" t="str">
        <f t="shared" si="5"/>
        <v>W102RE-LBVFJ08</v>
      </c>
      <c r="B2660" t="s">
        <v>312</v>
      </c>
      <c r="C2660" s="632" t="s">
        <v>313</v>
      </c>
      <c r="D2660" t="s">
        <v>394</v>
      </c>
      <c r="E2660" t="s">
        <v>4047</v>
      </c>
    </row>
    <row r="2661" spans="1:5">
      <c r="A2661" t="str">
        <f t="shared" si="5"/>
        <v>W102RE-LBVFJ09</v>
      </c>
      <c r="B2661" t="s">
        <v>312</v>
      </c>
      <c r="C2661" s="632" t="s">
        <v>1434</v>
      </c>
      <c r="D2661" t="s">
        <v>394</v>
      </c>
      <c r="E2661" t="s">
        <v>4043</v>
      </c>
    </row>
    <row r="2662" spans="1:5">
      <c r="A2662" t="str">
        <f t="shared" si="5"/>
        <v>W102RE-LBVFJ10</v>
      </c>
      <c r="B2662" t="s">
        <v>312</v>
      </c>
      <c r="C2662" s="632" t="s">
        <v>530</v>
      </c>
      <c r="D2662" t="s">
        <v>394</v>
      </c>
      <c r="E2662" t="s">
        <v>4048</v>
      </c>
    </row>
    <row r="2663" spans="1:5">
      <c r="A2663" t="str">
        <f t="shared" si="5"/>
        <v>W101RE-LMMFJGA</v>
      </c>
      <c r="B2663" t="s">
        <v>281</v>
      </c>
      <c r="C2663" t="s">
        <v>690</v>
      </c>
      <c r="D2663" t="s">
        <v>393</v>
      </c>
      <c r="E2663" t="s">
        <v>4049</v>
      </c>
    </row>
    <row r="2664" spans="1:5">
      <c r="A2664" t="str">
        <f t="shared" ref="A2664" si="6">B2664&amp;C2664</f>
        <v>NYC100R-TEXHB10</v>
      </c>
      <c r="B2664" s="15" t="s">
        <v>4050</v>
      </c>
      <c r="C2664" s="632" t="s">
        <v>530</v>
      </c>
      <c r="D2664" s="15" t="s">
        <v>188</v>
      </c>
      <c r="E2664" s="15" t="s">
        <v>4051</v>
      </c>
    </row>
    <row r="2665" spans="1:5">
      <c r="A2665" t="str">
        <f t="shared" si="5"/>
        <v>NYC100R-TEXHB04</v>
      </c>
      <c r="B2665" s="15" t="s">
        <v>4050</v>
      </c>
      <c r="C2665" s="632" t="s">
        <v>1026</v>
      </c>
      <c r="D2665" s="15" t="s">
        <v>188</v>
      </c>
      <c r="E2665" s="15" t="s">
        <v>4051</v>
      </c>
    </row>
    <row r="2666" spans="1:5">
      <c r="A2666" t="str">
        <f t="shared" si="5"/>
        <v>GUN226R-BTFXXD00</v>
      </c>
      <c r="B2666" s="15" t="s">
        <v>4052</v>
      </c>
      <c r="C2666" s="632" t="s">
        <v>254</v>
      </c>
      <c r="D2666" t="s">
        <v>191</v>
      </c>
      <c r="E2666" t="s">
        <v>4053</v>
      </c>
    </row>
    <row r="2667" spans="1:5">
      <c r="A2667" s="24" t="str">
        <f t="shared" si="5"/>
        <v>GUN226R-DTTHXD00</v>
      </c>
      <c r="B2667" t="s">
        <v>4054</v>
      </c>
      <c r="C2667" s="638" t="s">
        <v>254</v>
      </c>
      <c r="D2667" t="s">
        <v>184</v>
      </c>
      <c r="E2667" t="s">
        <v>4055</v>
      </c>
    </row>
    <row r="2668" spans="1:5">
      <c r="A2668" s="24" t="str">
        <f t="shared" si="5"/>
        <v>GUN226R-DTFMXD00</v>
      </c>
      <c r="B2668" t="s">
        <v>4056</v>
      </c>
      <c r="C2668" s="638" t="s">
        <v>254</v>
      </c>
      <c r="D2668" t="s">
        <v>184</v>
      </c>
      <c r="E2668" t="s">
        <v>4057</v>
      </c>
    </row>
    <row r="2669" spans="1:5">
      <c r="A2669" s="24" t="str">
        <f t="shared" si="5"/>
        <v>GUN226R-DTFLXD00</v>
      </c>
      <c r="B2669" t="s">
        <v>4058</v>
      </c>
      <c r="C2669" s="638" t="s">
        <v>254</v>
      </c>
      <c r="D2669" t="s">
        <v>184</v>
      </c>
      <c r="E2669" t="s">
        <v>4057</v>
      </c>
    </row>
    <row r="2670" spans="1:5">
      <c r="A2670" s="24" t="str">
        <f t="shared" si="5"/>
        <v>GUN165R-SDTSXD31</v>
      </c>
      <c r="B2670" t="s">
        <v>1882</v>
      </c>
      <c r="C2670" s="632" t="s">
        <v>817</v>
      </c>
      <c r="D2670" t="s">
        <v>392</v>
      </c>
      <c r="E2670" t="s">
        <v>4059</v>
      </c>
    </row>
  </sheetData>
  <autoFilter xmlns:etc="http://www.wps.cn/officeDocument/2017/etCustomData" ref="A1:E2670" etc:filterBottomFollowUsedRange="0">
    <extLst/>
  </autoFilter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3A3F7B1F-393C-42AB-89E0-09F6806FDA54}">
  <ds:schemaRefs/>
</ds:datastoreItem>
</file>

<file path=customXml/itemProps2.xml><?xml version="1.0" encoding="utf-8"?>
<ds:datastoreItem xmlns:ds="http://schemas.openxmlformats.org/officeDocument/2006/customXml" ds:itemID="{B3A6BA25-2C3A-40B7-9DFD-4DAC2AA5D971}">
  <ds:schemaRefs/>
</ds:datastoreItem>
</file>

<file path=customXml/itemProps3.xml><?xml version="1.0" encoding="utf-8"?>
<ds:datastoreItem xmlns:ds="http://schemas.openxmlformats.org/officeDocument/2006/customXml" ds:itemID="{C0E853DF-7C7A-467A-9BB7-1094E59BCD7B}">
  <ds:schemaRefs/>
</ds:datastoreItem>
</file>

<file path=customXml/itemProps4.xml><?xml version="1.0" encoding="utf-8"?>
<ds:datastoreItem xmlns:ds="http://schemas.openxmlformats.org/officeDocument/2006/customXml" ds:itemID="{9E050745-EB9B-4E6F-AC8E-42B80567D4EE}">
  <ds:schemaRefs/>
</ds:datastoreItem>
</file>

<file path=customXml/itemProps5.xml><?xml version="1.0" encoding="utf-8"?>
<ds:datastoreItem xmlns:ds="http://schemas.openxmlformats.org/officeDocument/2006/customXml" ds:itemID="{B4DA8E13-2EE6-4CCA-9F97-8A6352EC599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HP Inc.</Company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How To</vt:lpstr>
      <vt:lpstr>AO Report(0)</vt:lpstr>
      <vt:lpstr>Remaining Target</vt:lpstr>
      <vt:lpstr>by MDL</vt:lpstr>
      <vt:lpstr>OS</vt:lpstr>
      <vt:lpstr>Pvt OS</vt:lpstr>
      <vt:lpstr>Aging</vt:lpstr>
      <vt:lpstr>Reason Unmatch</vt:lpstr>
      <vt:lpstr>Action Plan</vt:lpstr>
      <vt:lpstr>List</vt:lpstr>
      <vt:lpstr>List 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Rendy Wisudya</dc:creator>
  <cp:lastModifiedBy>Tunas</cp:lastModifiedBy>
  <dcterms:created xsi:type="dcterms:W3CDTF">2021-07-29T08:29:00Z</dcterms:created>
  <cp:lastPrinted>2025-08-05T06:31:00Z</cp:lastPrinted>
  <dcterms:modified xsi:type="dcterms:W3CDTF">2026-08-10T13:07:24Z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934B38ACF367401AB47CA551A2C2BC5C_13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